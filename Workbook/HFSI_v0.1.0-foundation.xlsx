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8_{47D4D5A3-27CE-4095-8C71-818EB701034C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Raw_Data" sheetId="1" r:id="rId1"/>
    <sheet name="Data_Quality_Assessment" sheetId="2" r:id="rId2"/>
    <sheet name="Derived_Indicators" sheetId="21" r:id="rId3"/>
    <sheet name="HF_Stratification_Index" sheetId="15" r:id="rId4"/>
    <sheet name="Facility_Selection" sheetId="25" r:id="rId5"/>
    <sheet name="Lookup_Tables" sheetId="11" r:id="rId6"/>
    <sheet name="Dashboard" sheetId="6" r:id="rId7"/>
    <sheet name="Methodology" sheetId="7" r:id="rId8"/>
  </sheets>
  <definedNames>
    <definedName name="_xlnm._FilterDatabase" localSheetId="1" hidden="1">Data_Quality_Assessment!$A$1:$M$415</definedName>
    <definedName name="_xlnm._FilterDatabase" localSheetId="3" hidden="1">HF_Stratification_Index!$A$1:$O$399</definedName>
    <definedName name="_xlnm._FilterDatabase" localSheetId="0" hidden="1">Raw_Data!$A$1:$CO$1</definedName>
  </definedNames>
  <calcPr calcId="191029"/>
</workbook>
</file>

<file path=xl/calcChain.xml><?xml version="1.0" encoding="utf-8"?>
<calcChain xmlns="http://schemas.openxmlformats.org/spreadsheetml/2006/main">
  <c r="O2" i="21" l="1"/>
  <c r="J398" i="2"/>
  <c r="F398" i="2"/>
  <c r="E398" i="2" s="1"/>
  <c r="D398" i="2"/>
  <c r="K398" i="2" s="1"/>
  <c r="J397" i="2"/>
  <c r="F397" i="2"/>
  <c r="E397" i="2" s="1"/>
  <c r="D397" i="2"/>
  <c r="J396" i="2"/>
  <c r="F396" i="2"/>
  <c r="E396" i="2" s="1"/>
  <c r="D396" i="2"/>
  <c r="K395" i="2"/>
  <c r="J395" i="2"/>
  <c r="G395" i="2"/>
  <c r="I395" i="2" s="1"/>
  <c r="F395" i="2"/>
  <c r="E395" i="2" s="1"/>
  <c r="D395" i="2"/>
  <c r="J394" i="2"/>
  <c r="F394" i="2"/>
  <c r="E394" i="2" s="1"/>
  <c r="D394" i="2"/>
  <c r="K394" i="2" s="1"/>
  <c r="J393" i="2"/>
  <c r="F393" i="2"/>
  <c r="K393" i="2" s="1"/>
  <c r="E393" i="2"/>
  <c r="D393" i="2"/>
  <c r="J392" i="2"/>
  <c r="F392" i="2"/>
  <c r="E392" i="2" s="1"/>
  <c r="D392" i="2"/>
  <c r="K391" i="2"/>
  <c r="J391" i="2"/>
  <c r="G391" i="2"/>
  <c r="I391" i="2" s="1"/>
  <c r="F391" i="2"/>
  <c r="E391" i="2" s="1"/>
  <c r="D391" i="2"/>
  <c r="J390" i="2"/>
  <c r="F390" i="2"/>
  <c r="E390" i="2" s="1"/>
  <c r="D390" i="2"/>
  <c r="K390" i="2" s="1"/>
  <c r="J389" i="2"/>
  <c r="F389" i="2"/>
  <c r="K389" i="2" s="1"/>
  <c r="E389" i="2"/>
  <c r="D389" i="2"/>
  <c r="J388" i="2"/>
  <c r="F388" i="2"/>
  <c r="E388" i="2" s="1"/>
  <c r="D388" i="2"/>
  <c r="K387" i="2"/>
  <c r="J387" i="2"/>
  <c r="G387" i="2"/>
  <c r="I387" i="2" s="1"/>
  <c r="F387" i="2"/>
  <c r="E387" i="2" s="1"/>
  <c r="D387" i="2"/>
  <c r="J386" i="2"/>
  <c r="F386" i="2"/>
  <c r="E386" i="2" s="1"/>
  <c r="D386" i="2"/>
  <c r="K386" i="2" s="1"/>
  <c r="J385" i="2"/>
  <c r="F385" i="2"/>
  <c r="K385" i="2" s="1"/>
  <c r="E385" i="2"/>
  <c r="D385" i="2"/>
  <c r="J384" i="2"/>
  <c r="F384" i="2"/>
  <c r="E384" i="2" s="1"/>
  <c r="D384" i="2"/>
  <c r="K383" i="2"/>
  <c r="J383" i="2"/>
  <c r="G383" i="2"/>
  <c r="I383" i="2" s="1"/>
  <c r="F383" i="2"/>
  <c r="E383" i="2" s="1"/>
  <c r="D383" i="2"/>
  <c r="J382" i="2"/>
  <c r="F382" i="2"/>
  <c r="E382" i="2" s="1"/>
  <c r="D382" i="2"/>
  <c r="K382" i="2" s="1"/>
  <c r="J381" i="2"/>
  <c r="F381" i="2"/>
  <c r="K381" i="2" s="1"/>
  <c r="E381" i="2"/>
  <c r="D381" i="2"/>
  <c r="J380" i="2"/>
  <c r="F380" i="2"/>
  <c r="E380" i="2" s="1"/>
  <c r="D380" i="2"/>
  <c r="K379" i="2"/>
  <c r="J379" i="2"/>
  <c r="G379" i="2"/>
  <c r="I379" i="2" s="1"/>
  <c r="F379" i="2"/>
  <c r="E379" i="2" s="1"/>
  <c r="D379" i="2"/>
  <c r="J378" i="2"/>
  <c r="F378" i="2"/>
  <c r="E378" i="2" s="1"/>
  <c r="D378" i="2"/>
  <c r="K378" i="2" s="1"/>
  <c r="J377" i="2"/>
  <c r="F377" i="2"/>
  <c r="K377" i="2" s="1"/>
  <c r="E377" i="2"/>
  <c r="D377" i="2"/>
  <c r="J376" i="2"/>
  <c r="F376" i="2"/>
  <c r="E376" i="2" s="1"/>
  <c r="D376" i="2"/>
  <c r="K375" i="2"/>
  <c r="J375" i="2"/>
  <c r="G375" i="2"/>
  <c r="I375" i="2" s="1"/>
  <c r="F375" i="2"/>
  <c r="D375" i="2"/>
  <c r="E375" i="2" s="1"/>
  <c r="J374" i="2"/>
  <c r="F374" i="2"/>
  <c r="E374" i="2" s="1"/>
  <c r="D374" i="2"/>
  <c r="K374" i="2" s="1"/>
  <c r="K373" i="2"/>
  <c r="J373" i="2"/>
  <c r="I373" i="2"/>
  <c r="G373" i="2"/>
  <c r="H373" i="2" s="1"/>
  <c r="F373" i="2"/>
  <c r="E373" i="2"/>
  <c r="D373" i="2"/>
  <c r="J372" i="2"/>
  <c r="F372" i="2"/>
  <c r="E372" i="2" s="1"/>
  <c r="D372" i="2"/>
  <c r="K372" i="2" s="1"/>
  <c r="K371" i="2"/>
  <c r="J371" i="2"/>
  <c r="G371" i="2"/>
  <c r="I371" i="2" s="1"/>
  <c r="F371" i="2"/>
  <c r="E371" i="2" s="1"/>
  <c r="D371" i="2"/>
  <c r="J370" i="2"/>
  <c r="F370" i="2"/>
  <c r="E370" i="2" s="1"/>
  <c r="D370" i="2"/>
  <c r="K370" i="2" s="1"/>
  <c r="J369" i="2"/>
  <c r="F369" i="2"/>
  <c r="K369" i="2" s="1"/>
  <c r="E369" i="2"/>
  <c r="D369" i="2"/>
  <c r="J368" i="2"/>
  <c r="F368" i="2"/>
  <c r="E368" i="2" s="1"/>
  <c r="D368" i="2"/>
  <c r="K367" i="2"/>
  <c r="J367" i="2"/>
  <c r="G367" i="2"/>
  <c r="I367" i="2" s="1"/>
  <c r="F367" i="2"/>
  <c r="D367" i="2"/>
  <c r="E367" i="2" s="1"/>
  <c r="J366" i="2"/>
  <c r="F366" i="2"/>
  <c r="D366" i="2"/>
  <c r="K366" i="2" s="1"/>
  <c r="J365" i="2"/>
  <c r="F365" i="2"/>
  <c r="K365" i="2" s="1"/>
  <c r="E365" i="2"/>
  <c r="D365" i="2"/>
  <c r="J364" i="2"/>
  <c r="F364" i="2"/>
  <c r="E364" i="2" s="1"/>
  <c r="D364" i="2"/>
  <c r="K363" i="2"/>
  <c r="J363" i="2"/>
  <c r="G363" i="2"/>
  <c r="I363" i="2" s="1"/>
  <c r="F363" i="2"/>
  <c r="E363" i="2" s="1"/>
  <c r="D363" i="2"/>
  <c r="J362" i="2"/>
  <c r="F362" i="2"/>
  <c r="D362" i="2"/>
  <c r="K362" i="2" s="1"/>
  <c r="J361" i="2"/>
  <c r="F361" i="2"/>
  <c r="K361" i="2" s="1"/>
  <c r="E361" i="2"/>
  <c r="D361" i="2"/>
  <c r="J360" i="2"/>
  <c r="F360" i="2"/>
  <c r="E360" i="2" s="1"/>
  <c r="D360" i="2"/>
  <c r="K359" i="2"/>
  <c r="J359" i="2"/>
  <c r="G359" i="2"/>
  <c r="I359" i="2" s="1"/>
  <c r="F359" i="2"/>
  <c r="E359" i="2" s="1"/>
  <c r="D359" i="2"/>
  <c r="J358" i="2"/>
  <c r="F358" i="2"/>
  <c r="D358" i="2"/>
  <c r="K358" i="2" s="1"/>
  <c r="J357" i="2"/>
  <c r="F357" i="2"/>
  <c r="K357" i="2" s="1"/>
  <c r="E357" i="2"/>
  <c r="D357" i="2"/>
  <c r="J356" i="2"/>
  <c r="F356" i="2"/>
  <c r="D356" i="2"/>
  <c r="K355" i="2"/>
  <c r="J355" i="2"/>
  <c r="G355" i="2"/>
  <c r="F355" i="2"/>
  <c r="E355" i="2" s="1"/>
  <c r="D355" i="2"/>
  <c r="J354" i="2"/>
  <c r="F354" i="2"/>
  <c r="D354" i="2"/>
  <c r="J353" i="2"/>
  <c r="F353" i="2"/>
  <c r="K353" i="2" s="1"/>
  <c r="E353" i="2"/>
  <c r="D353" i="2"/>
  <c r="J352" i="2"/>
  <c r="F352" i="2"/>
  <c r="D352" i="2"/>
  <c r="K351" i="2"/>
  <c r="J351" i="2"/>
  <c r="G351" i="2"/>
  <c r="F351" i="2"/>
  <c r="E351" i="2" s="1"/>
  <c r="D351" i="2"/>
  <c r="J350" i="2"/>
  <c r="F350" i="2"/>
  <c r="D350" i="2"/>
  <c r="J349" i="2"/>
  <c r="F349" i="2"/>
  <c r="E349" i="2"/>
  <c r="D349" i="2"/>
  <c r="J348" i="2"/>
  <c r="G348" i="2"/>
  <c r="F348" i="2"/>
  <c r="E348" i="2" s="1"/>
  <c r="D348" i="2"/>
  <c r="K347" i="2"/>
  <c r="J347" i="2"/>
  <c r="G347" i="2"/>
  <c r="I347" i="2" s="1"/>
  <c r="F347" i="2"/>
  <c r="E347" i="2" s="1"/>
  <c r="D347" i="2"/>
  <c r="J346" i="2"/>
  <c r="F346" i="2"/>
  <c r="E346" i="2"/>
  <c r="D346" i="2"/>
  <c r="J345" i="2"/>
  <c r="F345" i="2"/>
  <c r="E345" i="2" s="1"/>
  <c r="D345" i="2"/>
  <c r="J344" i="2"/>
  <c r="F344" i="2"/>
  <c r="E344" i="2" s="1"/>
  <c r="D344" i="2"/>
  <c r="J343" i="2"/>
  <c r="G343" i="2"/>
  <c r="I343" i="2" s="1"/>
  <c r="F343" i="2"/>
  <c r="D343" i="2"/>
  <c r="K343" i="2" s="1"/>
  <c r="J342" i="2"/>
  <c r="F342" i="2"/>
  <c r="E342" i="2" s="1"/>
  <c r="D342" i="2"/>
  <c r="G342" i="2" s="1"/>
  <c r="J341" i="2"/>
  <c r="F341" i="2"/>
  <c r="K341" i="2" s="1"/>
  <c r="D341" i="2"/>
  <c r="J340" i="2"/>
  <c r="F340" i="2"/>
  <c r="K340" i="2" s="1"/>
  <c r="D340" i="2"/>
  <c r="K339" i="2"/>
  <c r="J339" i="2"/>
  <c r="G339" i="2"/>
  <c r="I339" i="2" s="1"/>
  <c r="F339" i="2"/>
  <c r="D339" i="2"/>
  <c r="E339" i="2" s="1"/>
  <c r="J338" i="2"/>
  <c r="F338" i="2"/>
  <c r="E338" i="2" s="1"/>
  <c r="D338" i="2"/>
  <c r="K338" i="2" s="1"/>
  <c r="K337" i="2"/>
  <c r="J337" i="2"/>
  <c r="G337" i="2"/>
  <c r="I337" i="2" s="1"/>
  <c r="F337" i="2"/>
  <c r="E337" i="2" s="1"/>
  <c r="D337" i="2"/>
  <c r="J336" i="2"/>
  <c r="F336" i="2"/>
  <c r="E336" i="2" s="1"/>
  <c r="D336" i="2"/>
  <c r="K336" i="2" s="1"/>
  <c r="K335" i="2"/>
  <c r="J335" i="2"/>
  <c r="I335" i="2"/>
  <c r="G335" i="2"/>
  <c r="H335" i="2" s="1"/>
  <c r="F335" i="2"/>
  <c r="E335" i="2"/>
  <c r="D335" i="2"/>
  <c r="J334" i="2"/>
  <c r="F334" i="2"/>
  <c r="E334" i="2" s="1"/>
  <c r="D334" i="2"/>
  <c r="K334" i="2" s="1"/>
  <c r="K333" i="2"/>
  <c r="J333" i="2"/>
  <c r="G333" i="2"/>
  <c r="I333" i="2" s="1"/>
  <c r="F333" i="2"/>
  <c r="E333" i="2" s="1"/>
  <c r="D333" i="2"/>
  <c r="J332" i="2"/>
  <c r="F332" i="2"/>
  <c r="E332" i="2" s="1"/>
  <c r="D332" i="2"/>
  <c r="K332" i="2" s="1"/>
  <c r="K331" i="2"/>
  <c r="J331" i="2"/>
  <c r="G331" i="2"/>
  <c r="H331" i="2" s="1"/>
  <c r="F331" i="2"/>
  <c r="E331" i="2"/>
  <c r="D331" i="2"/>
  <c r="J330" i="2"/>
  <c r="F330" i="2"/>
  <c r="E330" i="2" s="1"/>
  <c r="D330" i="2"/>
  <c r="K330" i="2" s="1"/>
  <c r="K329" i="2"/>
  <c r="J329" i="2"/>
  <c r="G329" i="2"/>
  <c r="I329" i="2" s="1"/>
  <c r="F329" i="2"/>
  <c r="E329" i="2" s="1"/>
  <c r="D329" i="2"/>
  <c r="J328" i="2"/>
  <c r="F328" i="2"/>
  <c r="E328" i="2" s="1"/>
  <c r="D328" i="2"/>
  <c r="K328" i="2" s="1"/>
  <c r="K327" i="2"/>
  <c r="J327" i="2"/>
  <c r="G327" i="2"/>
  <c r="H327" i="2" s="1"/>
  <c r="F327" i="2"/>
  <c r="E327" i="2"/>
  <c r="D327" i="2"/>
  <c r="J326" i="2"/>
  <c r="F326" i="2"/>
  <c r="E326" i="2" s="1"/>
  <c r="D326" i="2"/>
  <c r="K326" i="2" s="1"/>
  <c r="K325" i="2"/>
  <c r="J325" i="2"/>
  <c r="G325" i="2"/>
  <c r="I325" i="2" s="1"/>
  <c r="F325" i="2"/>
  <c r="E325" i="2" s="1"/>
  <c r="D325" i="2"/>
  <c r="J324" i="2"/>
  <c r="F324" i="2"/>
  <c r="E324" i="2" s="1"/>
  <c r="D324" i="2"/>
  <c r="K324" i="2" s="1"/>
  <c r="K323" i="2"/>
  <c r="J323" i="2"/>
  <c r="G323" i="2"/>
  <c r="H323" i="2" s="1"/>
  <c r="F323" i="2"/>
  <c r="E323" i="2"/>
  <c r="D323" i="2"/>
  <c r="J322" i="2"/>
  <c r="F322" i="2"/>
  <c r="E322" i="2" s="1"/>
  <c r="D322" i="2"/>
  <c r="K322" i="2" s="1"/>
  <c r="K321" i="2"/>
  <c r="J321" i="2"/>
  <c r="G321" i="2"/>
  <c r="I321" i="2" s="1"/>
  <c r="F321" i="2"/>
  <c r="E321" i="2" s="1"/>
  <c r="D321" i="2"/>
  <c r="J320" i="2"/>
  <c r="F320" i="2"/>
  <c r="E320" i="2" s="1"/>
  <c r="D320" i="2"/>
  <c r="K320" i="2" s="1"/>
  <c r="K319" i="2"/>
  <c r="J319" i="2"/>
  <c r="G319" i="2"/>
  <c r="H319" i="2" s="1"/>
  <c r="F319" i="2"/>
  <c r="E319" i="2"/>
  <c r="D319" i="2"/>
  <c r="J318" i="2"/>
  <c r="F318" i="2"/>
  <c r="E318" i="2" s="1"/>
  <c r="D318" i="2"/>
  <c r="K318" i="2" s="1"/>
  <c r="K317" i="2"/>
  <c r="J317" i="2"/>
  <c r="G317" i="2"/>
  <c r="I317" i="2" s="1"/>
  <c r="F317" i="2"/>
  <c r="E317" i="2" s="1"/>
  <c r="D317" i="2"/>
  <c r="J316" i="2"/>
  <c r="F316" i="2"/>
  <c r="E316" i="2" s="1"/>
  <c r="D316" i="2"/>
  <c r="K316" i="2" s="1"/>
  <c r="K315" i="2"/>
  <c r="J315" i="2"/>
  <c r="G315" i="2"/>
  <c r="H315" i="2" s="1"/>
  <c r="F315" i="2"/>
  <c r="E315" i="2"/>
  <c r="D315" i="2"/>
  <c r="J314" i="2"/>
  <c r="F314" i="2"/>
  <c r="E314" i="2" s="1"/>
  <c r="D314" i="2"/>
  <c r="K313" i="2"/>
  <c r="J313" i="2"/>
  <c r="G313" i="2"/>
  <c r="F313" i="2"/>
  <c r="E313" i="2" s="1"/>
  <c r="D313" i="2"/>
  <c r="J312" i="2"/>
  <c r="F312" i="2"/>
  <c r="E312" i="2" s="1"/>
  <c r="D312" i="2"/>
  <c r="K311" i="2"/>
  <c r="J311" i="2"/>
  <c r="G311" i="2"/>
  <c r="H311" i="2" s="1"/>
  <c r="F311" i="2"/>
  <c r="E311" i="2"/>
  <c r="D311" i="2"/>
  <c r="J310" i="2"/>
  <c r="F310" i="2"/>
  <c r="E310" i="2" s="1"/>
  <c r="D310" i="2"/>
  <c r="K309" i="2"/>
  <c r="J309" i="2"/>
  <c r="G309" i="2"/>
  <c r="F309" i="2"/>
  <c r="E309" i="2" s="1"/>
  <c r="D309" i="2"/>
  <c r="J308" i="2"/>
  <c r="F308" i="2"/>
  <c r="D308" i="2"/>
  <c r="K307" i="2"/>
  <c r="J307" i="2"/>
  <c r="G307" i="2"/>
  <c r="H307" i="2" s="1"/>
  <c r="F307" i="2"/>
  <c r="E307" i="2"/>
  <c r="D307" i="2"/>
  <c r="J306" i="2"/>
  <c r="F306" i="2"/>
  <c r="E306" i="2" s="1"/>
  <c r="D306" i="2"/>
  <c r="J305" i="2"/>
  <c r="G305" i="2"/>
  <c r="F305" i="2"/>
  <c r="E305" i="2" s="1"/>
  <c r="D305" i="2"/>
  <c r="J304" i="2"/>
  <c r="G304" i="2"/>
  <c r="I304" i="2" s="1"/>
  <c r="F304" i="2"/>
  <c r="E304" i="2" s="1"/>
  <c r="D304" i="2"/>
  <c r="K303" i="2"/>
  <c r="J303" i="2"/>
  <c r="G303" i="2"/>
  <c r="I303" i="2" s="1"/>
  <c r="F303" i="2"/>
  <c r="E303" i="2"/>
  <c r="D303" i="2"/>
  <c r="J302" i="2"/>
  <c r="F302" i="2"/>
  <c r="E302" i="2" s="1"/>
  <c r="D302" i="2"/>
  <c r="J301" i="2"/>
  <c r="G301" i="2"/>
  <c r="H301" i="2" s="1"/>
  <c r="F301" i="2"/>
  <c r="K301" i="2" s="1"/>
  <c r="E301" i="2"/>
  <c r="D301" i="2"/>
  <c r="J300" i="2"/>
  <c r="F300" i="2"/>
  <c r="D300" i="2"/>
  <c r="G300" i="2" s="1"/>
  <c r="J299" i="2"/>
  <c r="F299" i="2"/>
  <c r="E299" i="2"/>
  <c r="D299" i="2"/>
  <c r="K299" i="2" s="1"/>
  <c r="J298" i="2"/>
  <c r="F298" i="2"/>
  <c r="D298" i="2"/>
  <c r="J297" i="2"/>
  <c r="G297" i="2"/>
  <c r="H297" i="2" s="1"/>
  <c r="F297" i="2"/>
  <c r="E297" i="2" s="1"/>
  <c r="D297" i="2"/>
  <c r="J296" i="2"/>
  <c r="G296" i="2"/>
  <c r="I296" i="2" s="1"/>
  <c r="F296" i="2"/>
  <c r="K296" i="2" s="1"/>
  <c r="E296" i="2"/>
  <c r="D296" i="2"/>
  <c r="J295" i="2"/>
  <c r="F295" i="2"/>
  <c r="E295" i="2" s="1"/>
  <c r="D295" i="2"/>
  <c r="K295" i="2" s="1"/>
  <c r="K294" i="2"/>
  <c r="L294" i="2" s="1"/>
  <c r="J294" i="2"/>
  <c r="G294" i="2"/>
  <c r="H294" i="2" s="1"/>
  <c r="F294" i="2"/>
  <c r="E294" i="2"/>
  <c r="D294" i="2"/>
  <c r="J293" i="2"/>
  <c r="F293" i="2"/>
  <c r="E293" i="2" s="1"/>
  <c r="D293" i="2"/>
  <c r="K293" i="2" s="1"/>
  <c r="K292" i="2"/>
  <c r="J292" i="2"/>
  <c r="G292" i="2"/>
  <c r="I292" i="2" s="1"/>
  <c r="F292" i="2"/>
  <c r="E292" i="2"/>
  <c r="D292" i="2"/>
  <c r="J291" i="2"/>
  <c r="F291" i="2"/>
  <c r="E291" i="2" s="1"/>
  <c r="D291" i="2"/>
  <c r="K291" i="2" s="1"/>
  <c r="K290" i="2"/>
  <c r="J290" i="2"/>
  <c r="G290" i="2"/>
  <c r="H290" i="2" s="1"/>
  <c r="F290" i="2"/>
  <c r="E290" i="2"/>
  <c r="D290" i="2"/>
  <c r="J289" i="2"/>
  <c r="F289" i="2"/>
  <c r="E289" i="2" s="1"/>
  <c r="D289" i="2"/>
  <c r="K289" i="2" s="1"/>
  <c r="K288" i="2"/>
  <c r="J288" i="2"/>
  <c r="G288" i="2"/>
  <c r="I288" i="2" s="1"/>
  <c r="F288" i="2"/>
  <c r="E288" i="2"/>
  <c r="D288" i="2"/>
  <c r="J287" i="2"/>
  <c r="F287" i="2"/>
  <c r="E287" i="2" s="1"/>
  <c r="D287" i="2"/>
  <c r="K287" i="2" s="1"/>
  <c r="K286" i="2"/>
  <c r="J286" i="2"/>
  <c r="G286" i="2"/>
  <c r="H286" i="2" s="1"/>
  <c r="F286" i="2"/>
  <c r="E286" i="2"/>
  <c r="D286" i="2"/>
  <c r="J285" i="2"/>
  <c r="F285" i="2"/>
  <c r="E285" i="2" s="1"/>
  <c r="D285" i="2"/>
  <c r="K285" i="2" s="1"/>
  <c r="K284" i="2"/>
  <c r="J284" i="2"/>
  <c r="G284" i="2"/>
  <c r="I284" i="2" s="1"/>
  <c r="F284" i="2"/>
  <c r="E284" i="2"/>
  <c r="D284" i="2"/>
  <c r="J283" i="2"/>
  <c r="F283" i="2"/>
  <c r="E283" i="2" s="1"/>
  <c r="D283" i="2"/>
  <c r="K283" i="2" s="1"/>
  <c r="K282" i="2"/>
  <c r="J282" i="2"/>
  <c r="G282" i="2"/>
  <c r="H282" i="2" s="1"/>
  <c r="F282" i="2"/>
  <c r="E282" i="2"/>
  <c r="D282" i="2"/>
  <c r="J281" i="2"/>
  <c r="F281" i="2"/>
  <c r="E281" i="2" s="1"/>
  <c r="D281" i="2"/>
  <c r="K281" i="2" s="1"/>
  <c r="K280" i="2"/>
  <c r="J280" i="2"/>
  <c r="G280" i="2"/>
  <c r="I280" i="2" s="1"/>
  <c r="F280" i="2"/>
  <c r="E280" i="2"/>
  <c r="D280" i="2"/>
  <c r="J279" i="2"/>
  <c r="F279" i="2"/>
  <c r="E279" i="2" s="1"/>
  <c r="D279" i="2"/>
  <c r="K279" i="2" s="1"/>
  <c r="K278" i="2"/>
  <c r="J278" i="2"/>
  <c r="G278" i="2"/>
  <c r="H278" i="2" s="1"/>
  <c r="F278" i="2"/>
  <c r="E278" i="2"/>
  <c r="D278" i="2"/>
  <c r="J277" i="2"/>
  <c r="F277" i="2"/>
  <c r="E277" i="2" s="1"/>
  <c r="D277" i="2"/>
  <c r="K277" i="2" s="1"/>
  <c r="K276" i="2"/>
  <c r="J276" i="2"/>
  <c r="G276" i="2"/>
  <c r="I276" i="2" s="1"/>
  <c r="F276" i="2"/>
  <c r="E276" i="2"/>
  <c r="D276" i="2"/>
  <c r="J275" i="2"/>
  <c r="F275" i="2"/>
  <c r="E275" i="2" s="1"/>
  <c r="D275" i="2"/>
  <c r="K275" i="2" s="1"/>
  <c r="K274" i="2"/>
  <c r="J274" i="2"/>
  <c r="G274" i="2"/>
  <c r="H274" i="2" s="1"/>
  <c r="F274" i="2"/>
  <c r="E274" i="2"/>
  <c r="D274" i="2"/>
  <c r="J273" i="2"/>
  <c r="F273" i="2"/>
  <c r="E273" i="2" s="1"/>
  <c r="D273" i="2"/>
  <c r="K273" i="2" s="1"/>
  <c r="K272" i="2"/>
  <c r="J272" i="2"/>
  <c r="G272" i="2"/>
  <c r="I272" i="2" s="1"/>
  <c r="F272" i="2"/>
  <c r="E272" i="2"/>
  <c r="D272" i="2"/>
  <c r="J271" i="2"/>
  <c r="F271" i="2"/>
  <c r="E271" i="2" s="1"/>
  <c r="D271" i="2"/>
  <c r="K271" i="2" s="1"/>
  <c r="K270" i="2"/>
  <c r="J270" i="2"/>
  <c r="G270" i="2"/>
  <c r="H270" i="2" s="1"/>
  <c r="F270" i="2"/>
  <c r="E270" i="2"/>
  <c r="D270" i="2"/>
  <c r="J269" i="2"/>
  <c r="F269" i="2"/>
  <c r="E269" i="2" s="1"/>
  <c r="D269" i="2"/>
  <c r="K269" i="2" s="1"/>
  <c r="K268" i="2"/>
  <c r="J268" i="2"/>
  <c r="G268" i="2"/>
  <c r="I268" i="2" s="1"/>
  <c r="F268" i="2"/>
  <c r="E268" i="2"/>
  <c r="D268" i="2"/>
  <c r="J267" i="2"/>
  <c r="F267" i="2"/>
  <c r="E267" i="2" s="1"/>
  <c r="D267" i="2"/>
  <c r="K267" i="2" s="1"/>
  <c r="K266" i="2"/>
  <c r="J266" i="2"/>
  <c r="G266" i="2"/>
  <c r="H266" i="2" s="1"/>
  <c r="F266" i="2"/>
  <c r="E266" i="2"/>
  <c r="D266" i="2"/>
  <c r="J265" i="2"/>
  <c r="F265" i="2"/>
  <c r="E265" i="2" s="1"/>
  <c r="D265" i="2"/>
  <c r="K265" i="2" s="1"/>
  <c r="K264" i="2"/>
  <c r="J264" i="2"/>
  <c r="G264" i="2"/>
  <c r="I264" i="2" s="1"/>
  <c r="F264" i="2"/>
  <c r="E264" i="2"/>
  <c r="D264" i="2"/>
  <c r="J263" i="2"/>
  <c r="F263" i="2"/>
  <c r="E263" i="2" s="1"/>
  <c r="D263" i="2"/>
  <c r="K263" i="2" s="1"/>
  <c r="K262" i="2"/>
  <c r="J262" i="2"/>
  <c r="G262" i="2"/>
  <c r="H262" i="2" s="1"/>
  <c r="F262" i="2"/>
  <c r="E262" i="2"/>
  <c r="D262" i="2"/>
  <c r="J261" i="2"/>
  <c r="F261" i="2"/>
  <c r="E261" i="2" s="1"/>
  <c r="D261" i="2"/>
  <c r="K261" i="2" s="1"/>
  <c r="K260" i="2"/>
  <c r="J260" i="2"/>
  <c r="G260" i="2"/>
  <c r="I260" i="2" s="1"/>
  <c r="F260" i="2"/>
  <c r="E260" i="2"/>
  <c r="D260" i="2"/>
  <c r="J259" i="2"/>
  <c r="F259" i="2"/>
  <c r="E259" i="2" s="1"/>
  <c r="D259" i="2"/>
  <c r="K259" i="2" s="1"/>
  <c r="K258" i="2"/>
  <c r="J258" i="2"/>
  <c r="G258" i="2"/>
  <c r="H258" i="2" s="1"/>
  <c r="F258" i="2"/>
  <c r="E258" i="2"/>
  <c r="D258" i="2"/>
  <c r="J257" i="2"/>
  <c r="F257" i="2"/>
  <c r="E257" i="2" s="1"/>
  <c r="D257" i="2"/>
  <c r="K257" i="2" s="1"/>
  <c r="K256" i="2"/>
  <c r="J256" i="2"/>
  <c r="G256" i="2"/>
  <c r="I256" i="2" s="1"/>
  <c r="F256" i="2"/>
  <c r="E256" i="2"/>
  <c r="D256" i="2"/>
  <c r="J255" i="2"/>
  <c r="F255" i="2"/>
  <c r="E255" i="2" s="1"/>
  <c r="D255" i="2"/>
  <c r="K255" i="2" s="1"/>
  <c r="K254" i="2"/>
  <c r="J254" i="2"/>
  <c r="G254" i="2"/>
  <c r="H254" i="2" s="1"/>
  <c r="F254" i="2"/>
  <c r="E254" i="2"/>
  <c r="D254" i="2"/>
  <c r="J253" i="2"/>
  <c r="F253" i="2"/>
  <c r="E253" i="2" s="1"/>
  <c r="D253" i="2"/>
  <c r="K253" i="2" s="1"/>
  <c r="K252" i="2"/>
  <c r="J252" i="2"/>
  <c r="G252" i="2"/>
  <c r="I252" i="2" s="1"/>
  <c r="F252" i="2"/>
  <c r="E252" i="2"/>
  <c r="D252" i="2"/>
  <c r="J251" i="2"/>
  <c r="F251" i="2"/>
  <c r="E251" i="2" s="1"/>
  <c r="D251" i="2"/>
  <c r="K251" i="2" s="1"/>
  <c r="K250" i="2"/>
  <c r="J250" i="2"/>
  <c r="G250" i="2"/>
  <c r="H250" i="2" s="1"/>
  <c r="F250" i="2"/>
  <c r="E250" i="2"/>
  <c r="D250" i="2"/>
  <c r="J249" i="2"/>
  <c r="F249" i="2"/>
  <c r="E249" i="2" s="1"/>
  <c r="D249" i="2"/>
  <c r="K249" i="2" s="1"/>
  <c r="K248" i="2"/>
  <c r="J248" i="2"/>
  <c r="G248" i="2"/>
  <c r="I248" i="2" s="1"/>
  <c r="F248" i="2"/>
  <c r="E248" i="2"/>
  <c r="D248" i="2"/>
  <c r="J247" i="2"/>
  <c r="F247" i="2"/>
  <c r="E247" i="2" s="1"/>
  <c r="D247" i="2"/>
  <c r="K247" i="2" s="1"/>
  <c r="K246" i="2"/>
  <c r="J246" i="2"/>
  <c r="G246" i="2"/>
  <c r="H246" i="2" s="1"/>
  <c r="F246" i="2"/>
  <c r="E246" i="2"/>
  <c r="D246" i="2"/>
  <c r="J245" i="2"/>
  <c r="F245" i="2"/>
  <c r="E245" i="2" s="1"/>
  <c r="D245" i="2"/>
  <c r="K245" i="2" s="1"/>
  <c r="K244" i="2"/>
  <c r="J244" i="2"/>
  <c r="G244" i="2"/>
  <c r="I244" i="2" s="1"/>
  <c r="F244" i="2"/>
  <c r="E244" i="2"/>
  <c r="D244" i="2"/>
  <c r="J243" i="2"/>
  <c r="F243" i="2"/>
  <c r="E243" i="2" s="1"/>
  <c r="D243" i="2"/>
  <c r="K243" i="2" s="1"/>
  <c r="K242" i="2"/>
  <c r="J242" i="2"/>
  <c r="G242" i="2"/>
  <c r="H242" i="2" s="1"/>
  <c r="F242" i="2"/>
  <c r="E242" i="2"/>
  <c r="D242" i="2"/>
  <c r="J241" i="2"/>
  <c r="F241" i="2"/>
  <c r="E241" i="2" s="1"/>
  <c r="D241" i="2"/>
  <c r="K241" i="2" s="1"/>
  <c r="K240" i="2"/>
  <c r="J240" i="2"/>
  <c r="G240" i="2"/>
  <c r="I240" i="2" s="1"/>
  <c r="F240" i="2"/>
  <c r="E240" i="2"/>
  <c r="D240" i="2"/>
  <c r="J239" i="2"/>
  <c r="F239" i="2"/>
  <c r="E239" i="2" s="1"/>
  <c r="D239" i="2"/>
  <c r="K239" i="2" s="1"/>
  <c r="K238" i="2"/>
  <c r="J238" i="2"/>
  <c r="G238" i="2"/>
  <c r="H238" i="2" s="1"/>
  <c r="F238" i="2"/>
  <c r="E238" i="2"/>
  <c r="D238" i="2"/>
  <c r="J237" i="2"/>
  <c r="F237" i="2"/>
  <c r="E237" i="2" s="1"/>
  <c r="D237" i="2"/>
  <c r="K237" i="2" s="1"/>
  <c r="K236" i="2"/>
  <c r="J236" i="2"/>
  <c r="G236" i="2"/>
  <c r="I236" i="2" s="1"/>
  <c r="F236" i="2"/>
  <c r="E236" i="2"/>
  <c r="D236" i="2"/>
  <c r="J235" i="2"/>
  <c r="F235" i="2"/>
  <c r="E235" i="2" s="1"/>
  <c r="D235" i="2"/>
  <c r="K235" i="2" s="1"/>
  <c r="K234" i="2"/>
  <c r="J234" i="2"/>
  <c r="G234" i="2"/>
  <c r="H234" i="2" s="1"/>
  <c r="F234" i="2"/>
  <c r="E234" i="2"/>
  <c r="D234" i="2"/>
  <c r="J233" i="2"/>
  <c r="F233" i="2"/>
  <c r="E233" i="2" s="1"/>
  <c r="D233" i="2"/>
  <c r="K233" i="2" s="1"/>
  <c r="K232" i="2"/>
  <c r="J232" i="2"/>
  <c r="G232" i="2"/>
  <c r="I232" i="2" s="1"/>
  <c r="F232" i="2"/>
  <c r="E232" i="2"/>
  <c r="D232" i="2"/>
  <c r="J231" i="2"/>
  <c r="F231" i="2"/>
  <c r="E231" i="2" s="1"/>
  <c r="D231" i="2"/>
  <c r="K231" i="2" s="1"/>
  <c r="K230" i="2"/>
  <c r="J230" i="2"/>
  <c r="G230" i="2"/>
  <c r="H230" i="2" s="1"/>
  <c r="F230" i="2"/>
  <c r="E230" i="2"/>
  <c r="D230" i="2"/>
  <c r="J229" i="2"/>
  <c r="F229" i="2"/>
  <c r="E229" i="2" s="1"/>
  <c r="D229" i="2"/>
  <c r="K229" i="2" s="1"/>
  <c r="K228" i="2"/>
  <c r="J228" i="2"/>
  <c r="G228" i="2"/>
  <c r="I228" i="2" s="1"/>
  <c r="F228" i="2"/>
  <c r="E228" i="2"/>
  <c r="D228" i="2"/>
  <c r="J227" i="2"/>
  <c r="F227" i="2"/>
  <c r="E227" i="2" s="1"/>
  <c r="D227" i="2"/>
  <c r="K227" i="2" s="1"/>
  <c r="K226" i="2"/>
  <c r="J226" i="2"/>
  <c r="G226" i="2"/>
  <c r="H226" i="2" s="1"/>
  <c r="F226" i="2"/>
  <c r="E226" i="2"/>
  <c r="D226" i="2"/>
  <c r="J225" i="2"/>
  <c r="F225" i="2"/>
  <c r="E225" i="2" s="1"/>
  <c r="D225" i="2"/>
  <c r="K225" i="2" s="1"/>
  <c r="K224" i="2"/>
  <c r="J224" i="2"/>
  <c r="G224" i="2"/>
  <c r="I224" i="2" s="1"/>
  <c r="F224" i="2"/>
  <c r="E224" i="2"/>
  <c r="D224" i="2"/>
  <c r="J223" i="2"/>
  <c r="F223" i="2"/>
  <c r="E223" i="2" s="1"/>
  <c r="D223" i="2"/>
  <c r="K223" i="2" s="1"/>
  <c r="K222" i="2"/>
  <c r="J222" i="2"/>
  <c r="G222" i="2"/>
  <c r="H222" i="2" s="1"/>
  <c r="F222" i="2"/>
  <c r="E222" i="2"/>
  <c r="D222" i="2"/>
  <c r="J221" i="2"/>
  <c r="F221" i="2"/>
  <c r="E221" i="2" s="1"/>
  <c r="D221" i="2"/>
  <c r="K221" i="2" s="1"/>
  <c r="K220" i="2"/>
  <c r="J220" i="2"/>
  <c r="G220" i="2"/>
  <c r="I220" i="2" s="1"/>
  <c r="F220" i="2"/>
  <c r="E220" i="2"/>
  <c r="D220" i="2"/>
  <c r="J219" i="2"/>
  <c r="F219" i="2"/>
  <c r="E219" i="2" s="1"/>
  <c r="D219" i="2"/>
  <c r="K219" i="2" s="1"/>
  <c r="K218" i="2"/>
  <c r="J218" i="2"/>
  <c r="G218" i="2"/>
  <c r="H218" i="2" s="1"/>
  <c r="F218" i="2"/>
  <c r="E218" i="2"/>
  <c r="D218" i="2"/>
  <c r="J217" i="2"/>
  <c r="F217" i="2"/>
  <c r="E217" i="2" s="1"/>
  <c r="D217" i="2"/>
  <c r="K216" i="2"/>
  <c r="J216" i="2"/>
  <c r="G216" i="2"/>
  <c r="F216" i="2"/>
  <c r="E216" i="2"/>
  <c r="D216" i="2"/>
  <c r="J215" i="2"/>
  <c r="F215" i="2"/>
  <c r="D215" i="2"/>
  <c r="K214" i="2"/>
  <c r="J214" i="2"/>
  <c r="G214" i="2"/>
  <c r="H214" i="2" s="1"/>
  <c r="F214" i="2"/>
  <c r="E214" i="2"/>
  <c r="D214" i="2"/>
  <c r="J213" i="2"/>
  <c r="F213" i="2"/>
  <c r="E213" i="2" s="1"/>
  <c r="D213" i="2"/>
  <c r="K212" i="2"/>
  <c r="J212" i="2"/>
  <c r="G212" i="2"/>
  <c r="F212" i="2"/>
  <c r="E212" i="2"/>
  <c r="D212" i="2"/>
  <c r="J211" i="2"/>
  <c r="F211" i="2"/>
  <c r="E211" i="2" s="1"/>
  <c r="D211" i="2"/>
  <c r="K210" i="2"/>
  <c r="J210" i="2"/>
  <c r="G210" i="2"/>
  <c r="H210" i="2" s="1"/>
  <c r="F210" i="2"/>
  <c r="E210" i="2"/>
  <c r="D210" i="2"/>
  <c r="J209" i="2"/>
  <c r="F209" i="2"/>
  <c r="E209" i="2" s="1"/>
  <c r="D209" i="2"/>
  <c r="K208" i="2"/>
  <c r="J208" i="2"/>
  <c r="G208" i="2"/>
  <c r="H208" i="2" s="1"/>
  <c r="F208" i="2"/>
  <c r="E208" i="2"/>
  <c r="D208" i="2"/>
  <c r="J207" i="2"/>
  <c r="F207" i="2"/>
  <c r="E207" i="2" s="1"/>
  <c r="D207" i="2"/>
  <c r="K206" i="2"/>
  <c r="J206" i="2"/>
  <c r="G206" i="2"/>
  <c r="H206" i="2" s="1"/>
  <c r="F206" i="2"/>
  <c r="E206" i="2"/>
  <c r="D206" i="2"/>
  <c r="J205" i="2"/>
  <c r="F205" i="2"/>
  <c r="E205" i="2" s="1"/>
  <c r="D205" i="2"/>
  <c r="K204" i="2"/>
  <c r="J204" i="2"/>
  <c r="G204" i="2"/>
  <c r="H204" i="2" s="1"/>
  <c r="F204" i="2"/>
  <c r="E204" i="2"/>
  <c r="D204" i="2"/>
  <c r="J203" i="2"/>
  <c r="F203" i="2"/>
  <c r="E203" i="2" s="1"/>
  <c r="D203" i="2"/>
  <c r="J202" i="2"/>
  <c r="F202" i="2"/>
  <c r="E202" i="2" s="1"/>
  <c r="D202" i="2"/>
  <c r="J201" i="2"/>
  <c r="F201" i="2"/>
  <c r="E201" i="2" s="1"/>
  <c r="D201" i="2"/>
  <c r="G201" i="2" s="1"/>
  <c r="J200" i="2"/>
  <c r="F200" i="2"/>
  <c r="E200" i="2" s="1"/>
  <c r="D200" i="2"/>
  <c r="K200" i="2" s="1"/>
  <c r="K199" i="2"/>
  <c r="J199" i="2"/>
  <c r="G199" i="2"/>
  <c r="I199" i="2" s="1"/>
  <c r="F199" i="2"/>
  <c r="E199" i="2" s="1"/>
  <c r="D199" i="2"/>
  <c r="J198" i="2"/>
  <c r="F198" i="2"/>
  <c r="E198" i="2" s="1"/>
  <c r="D198" i="2"/>
  <c r="K198" i="2" s="1"/>
  <c r="J197" i="2"/>
  <c r="F197" i="2"/>
  <c r="E197" i="2"/>
  <c r="D197" i="2"/>
  <c r="K197" i="2" s="1"/>
  <c r="J196" i="2"/>
  <c r="F196" i="2"/>
  <c r="E196" i="2" s="1"/>
  <c r="D196" i="2"/>
  <c r="K195" i="2"/>
  <c r="J195" i="2"/>
  <c r="G195" i="2"/>
  <c r="I195" i="2" s="1"/>
  <c r="F195" i="2"/>
  <c r="E195" i="2" s="1"/>
  <c r="D195" i="2"/>
  <c r="J194" i="2"/>
  <c r="F194" i="2"/>
  <c r="E194" i="2" s="1"/>
  <c r="D194" i="2"/>
  <c r="K194" i="2" s="1"/>
  <c r="J193" i="2"/>
  <c r="F193" i="2"/>
  <c r="E193" i="2"/>
  <c r="D193" i="2"/>
  <c r="K193" i="2" s="1"/>
  <c r="J192" i="2"/>
  <c r="F192" i="2"/>
  <c r="E192" i="2" s="1"/>
  <c r="D192" i="2"/>
  <c r="K192" i="2" s="1"/>
  <c r="K191" i="2"/>
  <c r="J191" i="2"/>
  <c r="G191" i="2"/>
  <c r="I191" i="2" s="1"/>
  <c r="F191" i="2"/>
  <c r="E191" i="2" s="1"/>
  <c r="D191" i="2"/>
  <c r="J190" i="2"/>
  <c r="F190" i="2"/>
  <c r="E190" i="2" s="1"/>
  <c r="D190" i="2"/>
  <c r="K190" i="2" s="1"/>
  <c r="J189" i="2"/>
  <c r="F189" i="2"/>
  <c r="E189" i="2"/>
  <c r="D189" i="2"/>
  <c r="K189" i="2" s="1"/>
  <c r="J188" i="2"/>
  <c r="F188" i="2"/>
  <c r="E188" i="2" s="1"/>
  <c r="D188" i="2"/>
  <c r="K187" i="2"/>
  <c r="J187" i="2"/>
  <c r="G187" i="2"/>
  <c r="I187" i="2" s="1"/>
  <c r="F187" i="2"/>
  <c r="E187" i="2" s="1"/>
  <c r="D187" i="2"/>
  <c r="J186" i="2"/>
  <c r="F186" i="2"/>
  <c r="E186" i="2" s="1"/>
  <c r="D186" i="2"/>
  <c r="K186" i="2" s="1"/>
  <c r="J185" i="2"/>
  <c r="F185" i="2"/>
  <c r="E185" i="2"/>
  <c r="D185" i="2"/>
  <c r="K185" i="2" s="1"/>
  <c r="J184" i="2"/>
  <c r="F184" i="2"/>
  <c r="E184" i="2" s="1"/>
  <c r="D184" i="2"/>
  <c r="K183" i="2"/>
  <c r="J183" i="2"/>
  <c r="G183" i="2"/>
  <c r="I183" i="2" s="1"/>
  <c r="F183" i="2"/>
  <c r="E183" i="2" s="1"/>
  <c r="D183" i="2"/>
  <c r="J182" i="2"/>
  <c r="F182" i="2"/>
  <c r="E182" i="2" s="1"/>
  <c r="D182" i="2"/>
  <c r="K182" i="2" s="1"/>
  <c r="J181" i="2"/>
  <c r="F181" i="2"/>
  <c r="E181" i="2"/>
  <c r="D181" i="2"/>
  <c r="K181" i="2" s="1"/>
  <c r="J180" i="2"/>
  <c r="F180" i="2"/>
  <c r="E180" i="2" s="1"/>
  <c r="D180" i="2"/>
  <c r="K179" i="2"/>
  <c r="J179" i="2"/>
  <c r="G179" i="2"/>
  <c r="I179" i="2" s="1"/>
  <c r="F179" i="2"/>
  <c r="E179" i="2" s="1"/>
  <c r="D179" i="2"/>
  <c r="J178" i="2"/>
  <c r="F178" i="2"/>
  <c r="E178" i="2" s="1"/>
  <c r="D178" i="2"/>
  <c r="K178" i="2" s="1"/>
  <c r="J177" i="2"/>
  <c r="F177" i="2"/>
  <c r="E177" i="2"/>
  <c r="D177" i="2"/>
  <c r="K177" i="2" s="1"/>
  <c r="J176" i="2"/>
  <c r="F176" i="2"/>
  <c r="D176" i="2"/>
  <c r="K175" i="2"/>
  <c r="J175" i="2"/>
  <c r="G175" i="2"/>
  <c r="F175" i="2"/>
  <c r="E175" i="2" s="1"/>
  <c r="D175" i="2"/>
  <c r="J174" i="2"/>
  <c r="F174" i="2"/>
  <c r="E174" i="2" s="1"/>
  <c r="D174" i="2"/>
  <c r="J173" i="2"/>
  <c r="F173" i="2"/>
  <c r="E173" i="2"/>
  <c r="D173" i="2"/>
  <c r="K173" i="2" s="1"/>
  <c r="J172" i="2"/>
  <c r="F172" i="2"/>
  <c r="D172" i="2"/>
  <c r="K171" i="2"/>
  <c r="J171" i="2"/>
  <c r="G171" i="2"/>
  <c r="F171" i="2"/>
  <c r="E171" i="2" s="1"/>
  <c r="D171" i="2"/>
  <c r="J170" i="2"/>
  <c r="F170" i="2"/>
  <c r="D170" i="2"/>
  <c r="J169" i="2"/>
  <c r="F169" i="2"/>
  <c r="E169" i="2"/>
  <c r="D169" i="2"/>
  <c r="K169" i="2" s="1"/>
  <c r="J168" i="2"/>
  <c r="F168" i="2"/>
  <c r="D168" i="2"/>
  <c r="J167" i="2"/>
  <c r="F167" i="2"/>
  <c r="E167" i="2" s="1"/>
  <c r="D167" i="2"/>
  <c r="J166" i="2"/>
  <c r="G166" i="2"/>
  <c r="I166" i="2" s="1"/>
  <c r="F166" i="2"/>
  <c r="D166" i="2"/>
  <c r="K166" i="2" s="1"/>
  <c r="J165" i="2"/>
  <c r="F165" i="2"/>
  <c r="E165" i="2"/>
  <c r="D165" i="2"/>
  <c r="J164" i="2"/>
  <c r="F164" i="2"/>
  <c r="E164" i="2" s="1"/>
  <c r="D164" i="2"/>
  <c r="J163" i="2"/>
  <c r="F163" i="2"/>
  <c r="E163" i="2" s="1"/>
  <c r="D163" i="2"/>
  <c r="J162" i="2"/>
  <c r="F162" i="2"/>
  <c r="D162" i="2"/>
  <c r="G162" i="2" s="1"/>
  <c r="J161" i="2"/>
  <c r="F161" i="2"/>
  <c r="E161" i="2"/>
  <c r="D161" i="2"/>
  <c r="J160" i="2"/>
  <c r="F160" i="2"/>
  <c r="E160" i="2" s="1"/>
  <c r="D160" i="2"/>
  <c r="J159" i="2"/>
  <c r="G159" i="2"/>
  <c r="I159" i="2" s="1"/>
  <c r="F159" i="2"/>
  <c r="D159" i="2"/>
  <c r="K159" i="2" s="1"/>
  <c r="K158" i="2"/>
  <c r="J158" i="2"/>
  <c r="G158" i="2"/>
  <c r="I158" i="2" s="1"/>
  <c r="F158" i="2"/>
  <c r="E158" i="2"/>
  <c r="D158" i="2"/>
  <c r="J157" i="2"/>
  <c r="F157" i="2"/>
  <c r="E157" i="2" s="1"/>
  <c r="D157" i="2"/>
  <c r="K157" i="2" s="1"/>
  <c r="K156" i="2"/>
  <c r="J156" i="2"/>
  <c r="G156" i="2"/>
  <c r="H156" i="2" s="1"/>
  <c r="F156" i="2"/>
  <c r="E156" i="2"/>
  <c r="D156" i="2"/>
  <c r="J155" i="2"/>
  <c r="F155" i="2"/>
  <c r="E155" i="2" s="1"/>
  <c r="D155" i="2"/>
  <c r="K155" i="2" s="1"/>
  <c r="K154" i="2"/>
  <c r="J154" i="2"/>
  <c r="G154" i="2"/>
  <c r="I154" i="2" s="1"/>
  <c r="F154" i="2"/>
  <c r="E154" i="2"/>
  <c r="D154" i="2"/>
  <c r="J153" i="2"/>
  <c r="F153" i="2"/>
  <c r="E153" i="2" s="1"/>
  <c r="D153" i="2"/>
  <c r="K153" i="2" s="1"/>
  <c r="K152" i="2"/>
  <c r="J152" i="2"/>
  <c r="G152" i="2"/>
  <c r="H152" i="2" s="1"/>
  <c r="F152" i="2"/>
  <c r="E152" i="2"/>
  <c r="D152" i="2"/>
  <c r="J151" i="2"/>
  <c r="F151" i="2"/>
  <c r="E151" i="2" s="1"/>
  <c r="D151" i="2"/>
  <c r="K151" i="2" s="1"/>
  <c r="K150" i="2"/>
  <c r="J150" i="2"/>
  <c r="G150" i="2"/>
  <c r="I150" i="2" s="1"/>
  <c r="F150" i="2"/>
  <c r="E150" i="2"/>
  <c r="D150" i="2"/>
  <c r="J149" i="2"/>
  <c r="F149" i="2"/>
  <c r="E149" i="2" s="1"/>
  <c r="D149" i="2"/>
  <c r="K149" i="2" s="1"/>
  <c r="K148" i="2"/>
  <c r="J148" i="2"/>
  <c r="G148" i="2"/>
  <c r="H148" i="2" s="1"/>
  <c r="F148" i="2"/>
  <c r="E148" i="2"/>
  <c r="D148" i="2"/>
  <c r="J147" i="2"/>
  <c r="F147" i="2"/>
  <c r="E147" i="2" s="1"/>
  <c r="D147" i="2"/>
  <c r="K147" i="2" s="1"/>
  <c r="K146" i="2"/>
  <c r="J146" i="2"/>
  <c r="G146" i="2"/>
  <c r="I146" i="2" s="1"/>
  <c r="F146" i="2"/>
  <c r="E146" i="2"/>
  <c r="D146" i="2"/>
  <c r="J145" i="2"/>
  <c r="F145" i="2"/>
  <c r="E145" i="2" s="1"/>
  <c r="D145" i="2"/>
  <c r="K145" i="2" s="1"/>
  <c r="K144" i="2"/>
  <c r="J144" i="2"/>
  <c r="G144" i="2"/>
  <c r="H144" i="2" s="1"/>
  <c r="F144" i="2"/>
  <c r="E144" i="2"/>
  <c r="D144" i="2"/>
  <c r="J143" i="2"/>
  <c r="F143" i="2"/>
  <c r="E143" i="2" s="1"/>
  <c r="D143" i="2"/>
  <c r="K143" i="2" s="1"/>
  <c r="K142" i="2"/>
  <c r="J142" i="2"/>
  <c r="G142" i="2"/>
  <c r="I142" i="2" s="1"/>
  <c r="F142" i="2"/>
  <c r="E142" i="2"/>
  <c r="D142" i="2"/>
  <c r="J141" i="2"/>
  <c r="F141" i="2"/>
  <c r="E141" i="2" s="1"/>
  <c r="D141" i="2"/>
  <c r="K141" i="2" s="1"/>
  <c r="K140" i="2"/>
  <c r="J140" i="2"/>
  <c r="G140" i="2"/>
  <c r="H140" i="2" s="1"/>
  <c r="F140" i="2"/>
  <c r="E140" i="2"/>
  <c r="D140" i="2"/>
  <c r="J139" i="2"/>
  <c r="F139" i="2"/>
  <c r="E139" i="2" s="1"/>
  <c r="D139" i="2"/>
  <c r="K139" i="2" s="1"/>
  <c r="K138" i="2"/>
  <c r="J138" i="2"/>
  <c r="G138" i="2"/>
  <c r="I138" i="2" s="1"/>
  <c r="F138" i="2"/>
  <c r="E138" i="2"/>
  <c r="D138" i="2"/>
  <c r="J137" i="2"/>
  <c r="F137" i="2"/>
  <c r="E137" i="2" s="1"/>
  <c r="D137" i="2"/>
  <c r="K137" i="2" s="1"/>
  <c r="K136" i="2"/>
  <c r="J136" i="2"/>
  <c r="G136" i="2"/>
  <c r="H136" i="2" s="1"/>
  <c r="F136" i="2"/>
  <c r="E136" i="2"/>
  <c r="D136" i="2"/>
  <c r="J135" i="2"/>
  <c r="F135" i="2"/>
  <c r="E135" i="2" s="1"/>
  <c r="D135" i="2"/>
  <c r="K135" i="2" s="1"/>
  <c r="K134" i="2"/>
  <c r="J134" i="2"/>
  <c r="G134" i="2"/>
  <c r="I134" i="2" s="1"/>
  <c r="F134" i="2"/>
  <c r="E134" i="2"/>
  <c r="D134" i="2"/>
  <c r="J133" i="2"/>
  <c r="F133" i="2"/>
  <c r="E133" i="2" s="1"/>
  <c r="D133" i="2"/>
  <c r="K133" i="2" s="1"/>
  <c r="K132" i="2"/>
  <c r="J132" i="2"/>
  <c r="G132" i="2"/>
  <c r="H132" i="2" s="1"/>
  <c r="F132" i="2"/>
  <c r="E132" i="2"/>
  <c r="D132" i="2"/>
  <c r="J131" i="2"/>
  <c r="F131" i="2"/>
  <c r="E131" i="2" s="1"/>
  <c r="D131" i="2"/>
  <c r="K131" i="2" s="1"/>
  <c r="K130" i="2"/>
  <c r="J130" i="2"/>
  <c r="G130" i="2"/>
  <c r="I130" i="2" s="1"/>
  <c r="F130" i="2"/>
  <c r="E130" i="2"/>
  <c r="D130" i="2"/>
  <c r="J129" i="2"/>
  <c r="F129" i="2"/>
  <c r="E129" i="2" s="1"/>
  <c r="D129" i="2"/>
  <c r="K129" i="2" s="1"/>
  <c r="K128" i="2"/>
  <c r="J128" i="2"/>
  <c r="G128" i="2"/>
  <c r="H128" i="2" s="1"/>
  <c r="F128" i="2"/>
  <c r="E128" i="2"/>
  <c r="D128" i="2"/>
  <c r="J127" i="2"/>
  <c r="F127" i="2"/>
  <c r="E127" i="2" s="1"/>
  <c r="D127" i="2"/>
  <c r="K127" i="2" s="1"/>
  <c r="K126" i="2"/>
  <c r="J126" i="2"/>
  <c r="G126" i="2"/>
  <c r="I126" i="2" s="1"/>
  <c r="F126" i="2"/>
  <c r="E126" i="2"/>
  <c r="D126" i="2"/>
  <c r="J125" i="2"/>
  <c r="F125" i="2"/>
  <c r="E125" i="2" s="1"/>
  <c r="D125" i="2"/>
  <c r="K125" i="2" s="1"/>
  <c r="K124" i="2"/>
  <c r="J124" i="2"/>
  <c r="G124" i="2"/>
  <c r="H124" i="2" s="1"/>
  <c r="F124" i="2"/>
  <c r="E124" i="2"/>
  <c r="D124" i="2"/>
  <c r="J123" i="2"/>
  <c r="F123" i="2"/>
  <c r="E123" i="2" s="1"/>
  <c r="D123" i="2"/>
  <c r="K123" i="2" s="1"/>
  <c r="K122" i="2"/>
  <c r="J122" i="2"/>
  <c r="G122" i="2"/>
  <c r="I122" i="2" s="1"/>
  <c r="F122" i="2"/>
  <c r="E122" i="2"/>
  <c r="D122" i="2"/>
  <c r="J121" i="2"/>
  <c r="F121" i="2"/>
  <c r="E121" i="2" s="1"/>
  <c r="D121" i="2"/>
  <c r="K121" i="2" s="1"/>
  <c r="K120" i="2"/>
  <c r="J120" i="2"/>
  <c r="G120" i="2"/>
  <c r="H120" i="2" s="1"/>
  <c r="F120" i="2"/>
  <c r="E120" i="2"/>
  <c r="D120" i="2"/>
  <c r="J119" i="2"/>
  <c r="F119" i="2"/>
  <c r="E119" i="2" s="1"/>
  <c r="D119" i="2"/>
  <c r="K119" i="2" s="1"/>
  <c r="K118" i="2"/>
  <c r="J118" i="2"/>
  <c r="G118" i="2"/>
  <c r="I118" i="2" s="1"/>
  <c r="F118" i="2"/>
  <c r="E118" i="2"/>
  <c r="D118" i="2"/>
  <c r="J117" i="2"/>
  <c r="F117" i="2"/>
  <c r="E117" i="2" s="1"/>
  <c r="D117" i="2"/>
  <c r="K117" i="2" s="1"/>
  <c r="K116" i="2"/>
  <c r="J116" i="2"/>
  <c r="G116" i="2"/>
  <c r="H116" i="2" s="1"/>
  <c r="F116" i="2"/>
  <c r="E116" i="2"/>
  <c r="D116" i="2"/>
  <c r="J115" i="2"/>
  <c r="F115" i="2"/>
  <c r="E115" i="2" s="1"/>
  <c r="D115" i="2"/>
  <c r="K115" i="2" s="1"/>
  <c r="K114" i="2"/>
  <c r="J114" i="2"/>
  <c r="G114" i="2"/>
  <c r="I114" i="2" s="1"/>
  <c r="F114" i="2"/>
  <c r="E114" i="2"/>
  <c r="D114" i="2"/>
  <c r="J113" i="2"/>
  <c r="F113" i="2"/>
  <c r="E113" i="2" s="1"/>
  <c r="D113" i="2"/>
  <c r="K113" i="2" s="1"/>
  <c r="K112" i="2"/>
  <c r="J112" i="2"/>
  <c r="G112" i="2"/>
  <c r="H112" i="2" s="1"/>
  <c r="F112" i="2"/>
  <c r="E112" i="2"/>
  <c r="D112" i="2"/>
  <c r="J111" i="2"/>
  <c r="F111" i="2"/>
  <c r="E111" i="2" s="1"/>
  <c r="D111" i="2"/>
  <c r="K111" i="2" s="1"/>
  <c r="K110" i="2"/>
  <c r="J110" i="2"/>
  <c r="G110" i="2"/>
  <c r="I110" i="2" s="1"/>
  <c r="F110" i="2"/>
  <c r="E110" i="2"/>
  <c r="D110" i="2"/>
  <c r="J109" i="2"/>
  <c r="F109" i="2"/>
  <c r="E109" i="2" s="1"/>
  <c r="D109" i="2"/>
  <c r="K109" i="2" s="1"/>
  <c r="K108" i="2"/>
  <c r="J108" i="2"/>
  <c r="G108" i="2"/>
  <c r="H108" i="2" s="1"/>
  <c r="F108" i="2"/>
  <c r="E108" i="2"/>
  <c r="D108" i="2"/>
  <c r="J107" i="2"/>
  <c r="F107" i="2"/>
  <c r="E107" i="2" s="1"/>
  <c r="D107" i="2"/>
  <c r="K107" i="2" s="1"/>
  <c r="K106" i="2"/>
  <c r="J106" i="2"/>
  <c r="G106" i="2"/>
  <c r="I106" i="2" s="1"/>
  <c r="F106" i="2"/>
  <c r="E106" i="2"/>
  <c r="D106" i="2"/>
  <c r="J105" i="2"/>
  <c r="F105" i="2"/>
  <c r="E105" i="2" s="1"/>
  <c r="D105" i="2"/>
  <c r="K105" i="2" s="1"/>
  <c r="K104" i="2"/>
  <c r="J104" i="2"/>
  <c r="G104" i="2"/>
  <c r="H104" i="2" s="1"/>
  <c r="F104" i="2"/>
  <c r="E104" i="2"/>
  <c r="D104" i="2"/>
  <c r="J103" i="2"/>
  <c r="F103" i="2"/>
  <c r="E103" i="2" s="1"/>
  <c r="D103" i="2"/>
  <c r="K103" i="2" s="1"/>
  <c r="K102" i="2"/>
  <c r="J102" i="2"/>
  <c r="G102" i="2"/>
  <c r="I102" i="2" s="1"/>
  <c r="F102" i="2"/>
  <c r="E102" i="2"/>
  <c r="D102" i="2"/>
  <c r="J101" i="2"/>
  <c r="F101" i="2"/>
  <c r="E101" i="2" s="1"/>
  <c r="D101" i="2"/>
  <c r="K101" i="2" s="1"/>
  <c r="K100" i="2"/>
  <c r="J100" i="2"/>
  <c r="G100" i="2"/>
  <c r="H100" i="2" s="1"/>
  <c r="F100" i="2"/>
  <c r="E100" i="2"/>
  <c r="D100" i="2"/>
  <c r="J99" i="2"/>
  <c r="F99" i="2"/>
  <c r="E99" i="2" s="1"/>
  <c r="D99" i="2"/>
  <c r="K99" i="2" s="1"/>
  <c r="K98" i="2"/>
  <c r="J98" i="2"/>
  <c r="G98" i="2"/>
  <c r="I98" i="2" s="1"/>
  <c r="F98" i="2"/>
  <c r="E98" i="2"/>
  <c r="D98" i="2"/>
  <c r="J97" i="2"/>
  <c r="F97" i="2"/>
  <c r="E97" i="2" s="1"/>
  <c r="D97" i="2"/>
  <c r="K97" i="2" s="1"/>
  <c r="K96" i="2"/>
  <c r="J96" i="2"/>
  <c r="G96" i="2"/>
  <c r="H96" i="2" s="1"/>
  <c r="F96" i="2"/>
  <c r="E96" i="2"/>
  <c r="D96" i="2"/>
  <c r="J95" i="2"/>
  <c r="F95" i="2"/>
  <c r="E95" i="2" s="1"/>
  <c r="D95" i="2"/>
  <c r="K95" i="2" s="1"/>
  <c r="K94" i="2"/>
  <c r="J94" i="2"/>
  <c r="G94" i="2"/>
  <c r="I94" i="2" s="1"/>
  <c r="F94" i="2"/>
  <c r="E94" i="2"/>
  <c r="D94" i="2"/>
  <c r="J93" i="2"/>
  <c r="F93" i="2"/>
  <c r="E93" i="2" s="1"/>
  <c r="D93" i="2"/>
  <c r="K93" i="2" s="1"/>
  <c r="K92" i="2"/>
  <c r="J92" i="2"/>
  <c r="G92" i="2"/>
  <c r="H92" i="2" s="1"/>
  <c r="F92" i="2"/>
  <c r="E92" i="2"/>
  <c r="D92" i="2"/>
  <c r="J91" i="2"/>
  <c r="F91" i="2"/>
  <c r="E91" i="2" s="1"/>
  <c r="D91" i="2"/>
  <c r="K91" i="2" s="1"/>
  <c r="K90" i="2"/>
  <c r="J90" i="2"/>
  <c r="G90" i="2"/>
  <c r="I90" i="2" s="1"/>
  <c r="F90" i="2"/>
  <c r="E90" i="2"/>
  <c r="D90" i="2"/>
  <c r="J89" i="2"/>
  <c r="F89" i="2"/>
  <c r="E89" i="2" s="1"/>
  <c r="D89" i="2"/>
  <c r="K89" i="2" s="1"/>
  <c r="K88" i="2"/>
  <c r="J88" i="2"/>
  <c r="G88" i="2"/>
  <c r="H88" i="2" s="1"/>
  <c r="F88" i="2"/>
  <c r="E88" i="2"/>
  <c r="D88" i="2"/>
  <c r="J87" i="2"/>
  <c r="F87" i="2"/>
  <c r="E87" i="2" s="1"/>
  <c r="D87" i="2"/>
  <c r="K87" i="2" s="1"/>
  <c r="K86" i="2"/>
  <c r="J86" i="2"/>
  <c r="G86" i="2"/>
  <c r="I86" i="2" s="1"/>
  <c r="F86" i="2"/>
  <c r="E86" i="2"/>
  <c r="D86" i="2"/>
  <c r="J85" i="2"/>
  <c r="F85" i="2"/>
  <c r="E85" i="2" s="1"/>
  <c r="D85" i="2"/>
  <c r="K85" i="2" s="1"/>
  <c r="K84" i="2"/>
  <c r="J84" i="2"/>
  <c r="G84" i="2"/>
  <c r="H84" i="2" s="1"/>
  <c r="F84" i="2"/>
  <c r="E84" i="2"/>
  <c r="D84" i="2"/>
  <c r="J83" i="2"/>
  <c r="F83" i="2"/>
  <c r="E83" i="2" s="1"/>
  <c r="D83" i="2"/>
  <c r="K83" i="2" s="1"/>
  <c r="K82" i="2"/>
  <c r="J82" i="2"/>
  <c r="G82" i="2"/>
  <c r="I82" i="2" s="1"/>
  <c r="F82" i="2"/>
  <c r="E82" i="2"/>
  <c r="D82" i="2"/>
  <c r="J81" i="2"/>
  <c r="F81" i="2"/>
  <c r="E81" i="2" s="1"/>
  <c r="D81" i="2"/>
  <c r="K81" i="2" s="1"/>
  <c r="K80" i="2"/>
  <c r="J80" i="2"/>
  <c r="G80" i="2"/>
  <c r="H80" i="2" s="1"/>
  <c r="F80" i="2"/>
  <c r="E80" i="2"/>
  <c r="D80" i="2"/>
  <c r="J79" i="2"/>
  <c r="F79" i="2"/>
  <c r="E79" i="2" s="1"/>
  <c r="D79" i="2"/>
  <c r="K79" i="2" s="1"/>
  <c r="K78" i="2"/>
  <c r="J78" i="2"/>
  <c r="G78" i="2"/>
  <c r="I78" i="2" s="1"/>
  <c r="F78" i="2"/>
  <c r="E78" i="2"/>
  <c r="D78" i="2"/>
  <c r="J77" i="2"/>
  <c r="F77" i="2"/>
  <c r="E77" i="2" s="1"/>
  <c r="D77" i="2"/>
  <c r="K77" i="2" s="1"/>
  <c r="K76" i="2"/>
  <c r="J76" i="2"/>
  <c r="G76" i="2"/>
  <c r="H76" i="2" s="1"/>
  <c r="F76" i="2"/>
  <c r="E76" i="2"/>
  <c r="D76" i="2"/>
  <c r="J75" i="2"/>
  <c r="F75" i="2"/>
  <c r="E75" i="2" s="1"/>
  <c r="D75" i="2"/>
  <c r="K75" i="2" s="1"/>
  <c r="K74" i="2"/>
  <c r="J74" i="2"/>
  <c r="G74" i="2"/>
  <c r="F74" i="2"/>
  <c r="E74" i="2"/>
  <c r="D74" i="2"/>
  <c r="J73" i="2"/>
  <c r="F73" i="2"/>
  <c r="D73" i="2"/>
  <c r="K72" i="2"/>
  <c r="J72" i="2"/>
  <c r="G72" i="2"/>
  <c r="H72" i="2" s="1"/>
  <c r="F72" i="2"/>
  <c r="E72" i="2"/>
  <c r="D72" i="2"/>
  <c r="J71" i="2"/>
  <c r="F71" i="2"/>
  <c r="D71" i="2"/>
  <c r="K70" i="2"/>
  <c r="J70" i="2"/>
  <c r="G70" i="2"/>
  <c r="H70" i="2" s="1"/>
  <c r="F70" i="2"/>
  <c r="E70" i="2"/>
  <c r="D70" i="2"/>
  <c r="J69" i="2"/>
  <c r="F69" i="2"/>
  <c r="D69" i="2"/>
  <c r="K68" i="2"/>
  <c r="J68" i="2"/>
  <c r="G68" i="2"/>
  <c r="H68" i="2" s="1"/>
  <c r="F68" i="2"/>
  <c r="E68" i="2"/>
  <c r="D68" i="2"/>
  <c r="J67" i="2"/>
  <c r="F67" i="2"/>
  <c r="D67" i="2"/>
  <c r="K66" i="2"/>
  <c r="J66" i="2"/>
  <c r="G66" i="2"/>
  <c r="H66" i="2" s="1"/>
  <c r="F66" i="2"/>
  <c r="E66" i="2"/>
  <c r="D66" i="2"/>
  <c r="J65" i="2"/>
  <c r="F65" i="2"/>
  <c r="D65" i="2"/>
  <c r="J64" i="2"/>
  <c r="F64" i="2"/>
  <c r="G64" i="2" s="1"/>
  <c r="D64" i="2"/>
  <c r="J63" i="2"/>
  <c r="F63" i="2"/>
  <c r="E63" i="2" s="1"/>
  <c r="D63" i="2"/>
  <c r="G63" i="2" s="1"/>
  <c r="K62" i="2"/>
  <c r="J62" i="2"/>
  <c r="G62" i="2"/>
  <c r="H62" i="2" s="1"/>
  <c r="F62" i="2"/>
  <c r="E62" i="2"/>
  <c r="D62" i="2"/>
  <c r="J61" i="2"/>
  <c r="F61" i="2"/>
  <c r="E61" i="2"/>
  <c r="D61" i="2"/>
  <c r="J60" i="2"/>
  <c r="G60" i="2"/>
  <c r="H60" i="2" s="1"/>
  <c r="F60" i="2"/>
  <c r="K60" i="2" s="1"/>
  <c r="E60" i="2"/>
  <c r="D60" i="2"/>
  <c r="J59" i="2"/>
  <c r="F59" i="2"/>
  <c r="D59" i="2"/>
  <c r="G59" i="2" s="1"/>
  <c r="J58" i="2"/>
  <c r="F58" i="2"/>
  <c r="D58" i="2"/>
  <c r="E58" i="2" s="1"/>
  <c r="J57" i="2"/>
  <c r="F57" i="2"/>
  <c r="D57" i="2"/>
  <c r="E57" i="2" s="1"/>
  <c r="J56" i="2"/>
  <c r="F56" i="2"/>
  <c r="G56" i="2" s="1"/>
  <c r="D56" i="2"/>
  <c r="J55" i="2"/>
  <c r="F55" i="2"/>
  <c r="G55" i="2" s="1"/>
  <c r="D55" i="2"/>
  <c r="K54" i="2"/>
  <c r="J54" i="2"/>
  <c r="G54" i="2"/>
  <c r="H54" i="2" s="1"/>
  <c r="F54" i="2"/>
  <c r="E54" i="2" s="1"/>
  <c r="D54" i="2"/>
  <c r="J53" i="2"/>
  <c r="F53" i="2"/>
  <c r="D53" i="2"/>
  <c r="E53" i="2" s="1"/>
  <c r="J52" i="2"/>
  <c r="F52" i="2"/>
  <c r="E52" i="2"/>
  <c r="D52" i="2"/>
  <c r="K52" i="2" s="1"/>
  <c r="J51" i="2"/>
  <c r="F51" i="2"/>
  <c r="K51" i="2" s="1"/>
  <c r="D51" i="2"/>
  <c r="K50" i="2"/>
  <c r="J50" i="2"/>
  <c r="G50" i="2"/>
  <c r="H50" i="2" s="1"/>
  <c r="F50" i="2"/>
  <c r="E50" i="2" s="1"/>
  <c r="D50" i="2"/>
  <c r="J49" i="2"/>
  <c r="F49" i="2"/>
  <c r="D49" i="2"/>
  <c r="E49" i="2" s="1"/>
  <c r="J48" i="2"/>
  <c r="F48" i="2"/>
  <c r="E48" i="2"/>
  <c r="D48" i="2"/>
  <c r="K48" i="2" s="1"/>
  <c r="J47" i="2"/>
  <c r="F47" i="2"/>
  <c r="K47" i="2" s="1"/>
  <c r="D47" i="2"/>
  <c r="K46" i="2"/>
  <c r="J46" i="2"/>
  <c r="G46" i="2"/>
  <c r="H46" i="2" s="1"/>
  <c r="F46" i="2"/>
  <c r="E46" i="2" s="1"/>
  <c r="D46" i="2"/>
  <c r="J45" i="2"/>
  <c r="F45" i="2"/>
  <c r="D45" i="2"/>
  <c r="E45" i="2" s="1"/>
  <c r="J44" i="2"/>
  <c r="F44" i="2"/>
  <c r="E44" i="2"/>
  <c r="D44" i="2"/>
  <c r="K44" i="2" s="1"/>
  <c r="J43" i="2"/>
  <c r="F43" i="2"/>
  <c r="K43" i="2" s="1"/>
  <c r="D43" i="2"/>
  <c r="K42" i="2"/>
  <c r="J42" i="2"/>
  <c r="G42" i="2"/>
  <c r="H42" i="2" s="1"/>
  <c r="F42" i="2"/>
  <c r="E42" i="2" s="1"/>
  <c r="D42" i="2"/>
  <c r="J41" i="2"/>
  <c r="F41" i="2"/>
  <c r="D41" i="2"/>
  <c r="E41" i="2" s="1"/>
  <c r="J40" i="2"/>
  <c r="F40" i="2"/>
  <c r="E40" i="2"/>
  <c r="D40" i="2"/>
  <c r="K40" i="2" s="1"/>
  <c r="J39" i="2"/>
  <c r="F39" i="2"/>
  <c r="K39" i="2" s="1"/>
  <c r="D39" i="2"/>
  <c r="K38" i="2"/>
  <c r="J38" i="2"/>
  <c r="G38" i="2"/>
  <c r="H38" i="2" s="1"/>
  <c r="F38" i="2"/>
  <c r="E38" i="2" s="1"/>
  <c r="D38" i="2"/>
  <c r="J37" i="2"/>
  <c r="F37" i="2"/>
  <c r="D37" i="2"/>
  <c r="E37" i="2" s="1"/>
  <c r="J36" i="2"/>
  <c r="F36" i="2"/>
  <c r="E36" i="2"/>
  <c r="D36" i="2"/>
  <c r="K36" i="2" s="1"/>
  <c r="J35" i="2"/>
  <c r="F35" i="2"/>
  <c r="K35" i="2" s="1"/>
  <c r="D35" i="2"/>
  <c r="K34" i="2"/>
  <c r="J34" i="2"/>
  <c r="G34" i="2"/>
  <c r="H34" i="2" s="1"/>
  <c r="F34" i="2"/>
  <c r="E34" i="2" s="1"/>
  <c r="D34" i="2"/>
  <c r="J33" i="2"/>
  <c r="F33" i="2"/>
  <c r="D33" i="2"/>
  <c r="E33" i="2" s="1"/>
  <c r="J32" i="2"/>
  <c r="F32" i="2"/>
  <c r="E32" i="2"/>
  <c r="D32" i="2"/>
  <c r="K32" i="2" s="1"/>
  <c r="J31" i="2"/>
  <c r="F31" i="2"/>
  <c r="K31" i="2" s="1"/>
  <c r="D31" i="2"/>
  <c r="K30" i="2"/>
  <c r="J30" i="2"/>
  <c r="G30" i="2"/>
  <c r="H30" i="2" s="1"/>
  <c r="F30" i="2"/>
  <c r="E30" i="2" s="1"/>
  <c r="D30" i="2"/>
  <c r="J29" i="2"/>
  <c r="F29" i="2"/>
  <c r="D29" i="2"/>
  <c r="E29" i="2" s="1"/>
  <c r="J28" i="2"/>
  <c r="F28" i="2"/>
  <c r="E28" i="2"/>
  <c r="D28" i="2"/>
  <c r="K28" i="2" s="1"/>
  <c r="J27" i="2"/>
  <c r="F27" i="2"/>
  <c r="K27" i="2" s="1"/>
  <c r="D27" i="2"/>
  <c r="K26" i="2"/>
  <c r="J26" i="2"/>
  <c r="G26" i="2"/>
  <c r="H26" i="2" s="1"/>
  <c r="F26" i="2"/>
  <c r="E26" i="2" s="1"/>
  <c r="D26" i="2"/>
  <c r="J25" i="2"/>
  <c r="F25" i="2"/>
  <c r="D25" i="2"/>
  <c r="E25" i="2" s="1"/>
  <c r="J24" i="2"/>
  <c r="F24" i="2"/>
  <c r="E24" i="2"/>
  <c r="D24" i="2"/>
  <c r="K24" i="2" s="1"/>
  <c r="J23" i="2"/>
  <c r="F23" i="2"/>
  <c r="K23" i="2" s="1"/>
  <c r="D23" i="2"/>
  <c r="K22" i="2"/>
  <c r="J22" i="2"/>
  <c r="G22" i="2"/>
  <c r="H22" i="2" s="1"/>
  <c r="F22" i="2"/>
  <c r="E22" i="2" s="1"/>
  <c r="D22" i="2"/>
  <c r="J21" i="2"/>
  <c r="F21" i="2"/>
  <c r="D21" i="2"/>
  <c r="E21" i="2" s="1"/>
  <c r="J20" i="2"/>
  <c r="F20" i="2"/>
  <c r="E20" i="2"/>
  <c r="D20" i="2"/>
  <c r="K20" i="2" s="1"/>
  <c r="J19" i="2"/>
  <c r="F19" i="2"/>
  <c r="K19" i="2" s="1"/>
  <c r="D19" i="2"/>
  <c r="K18" i="2"/>
  <c r="J18" i="2"/>
  <c r="G18" i="2"/>
  <c r="H18" i="2" s="1"/>
  <c r="F18" i="2"/>
  <c r="E18" i="2" s="1"/>
  <c r="D18" i="2"/>
  <c r="J17" i="2"/>
  <c r="F17" i="2"/>
  <c r="D17" i="2"/>
  <c r="E17" i="2" s="1"/>
  <c r="J16" i="2"/>
  <c r="F16" i="2"/>
  <c r="E16" i="2"/>
  <c r="D16" i="2"/>
  <c r="K16" i="2" s="1"/>
  <c r="J15" i="2"/>
  <c r="F15" i="2"/>
  <c r="K15" i="2" s="1"/>
  <c r="D15" i="2"/>
  <c r="K14" i="2"/>
  <c r="J14" i="2"/>
  <c r="G14" i="2"/>
  <c r="H14" i="2" s="1"/>
  <c r="F14" i="2"/>
  <c r="E14" i="2" s="1"/>
  <c r="D14" i="2"/>
  <c r="J13" i="2"/>
  <c r="F13" i="2"/>
  <c r="D13" i="2"/>
  <c r="E13" i="2" s="1"/>
  <c r="J12" i="2"/>
  <c r="F12" i="2"/>
  <c r="E12" i="2"/>
  <c r="D12" i="2"/>
  <c r="K12" i="2" s="1"/>
  <c r="J11" i="2"/>
  <c r="F11" i="2"/>
  <c r="K11" i="2" s="1"/>
  <c r="D11" i="2"/>
  <c r="K10" i="2"/>
  <c r="J10" i="2"/>
  <c r="G10" i="2"/>
  <c r="H10" i="2" s="1"/>
  <c r="F10" i="2"/>
  <c r="E10" i="2" s="1"/>
  <c r="D10" i="2"/>
  <c r="J9" i="2"/>
  <c r="F9" i="2"/>
  <c r="D9" i="2"/>
  <c r="E9" i="2" s="1"/>
  <c r="J8" i="2"/>
  <c r="F8" i="2"/>
  <c r="E8" i="2"/>
  <c r="D8" i="2"/>
  <c r="K8" i="2" s="1"/>
  <c r="J7" i="2"/>
  <c r="F7" i="2"/>
  <c r="E7" i="2" s="1"/>
  <c r="D7" i="2"/>
  <c r="K6" i="2"/>
  <c r="J6" i="2"/>
  <c r="G6" i="2"/>
  <c r="I6" i="2" s="1"/>
  <c r="F6" i="2"/>
  <c r="E6" i="2" s="1"/>
  <c r="D6" i="2"/>
  <c r="J5" i="2"/>
  <c r="F5" i="2"/>
  <c r="D5" i="2"/>
  <c r="K5" i="2" s="1"/>
  <c r="J4" i="2"/>
  <c r="F4" i="2"/>
  <c r="E4" i="2"/>
  <c r="D4" i="2"/>
  <c r="K4" i="2" s="1"/>
  <c r="J3" i="2"/>
  <c r="F3" i="2"/>
  <c r="K3" i="2" s="1"/>
  <c r="D3" i="2"/>
  <c r="B174" i="11"/>
  <c r="F2" i="2"/>
  <c r="A166" i="11"/>
  <c r="J2" i="2"/>
  <c r="D2" i="2"/>
  <c r="CK398" i="1"/>
  <c r="CK397" i="1"/>
  <c r="CK396" i="1"/>
  <c r="CK395" i="1"/>
  <c r="CK394" i="1"/>
  <c r="CK393" i="1"/>
  <c r="CK392" i="1"/>
  <c r="CK391" i="1"/>
  <c r="CK390" i="1"/>
  <c r="CK389" i="1"/>
  <c r="CK388" i="1"/>
  <c r="CK387" i="1"/>
  <c r="CK386" i="1"/>
  <c r="CK385" i="1"/>
  <c r="CK384" i="1"/>
  <c r="CK383" i="1"/>
  <c r="CK382" i="1"/>
  <c r="CK381" i="1"/>
  <c r="CK380" i="1"/>
  <c r="CK379" i="1"/>
  <c r="CK378" i="1"/>
  <c r="CK377" i="1"/>
  <c r="CK376" i="1"/>
  <c r="CK375" i="1"/>
  <c r="CK374" i="1"/>
  <c r="CK373" i="1"/>
  <c r="CK372" i="1"/>
  <c r="CK371" i="1"/>
  <c r="CK370" i="1"/>
  <c r="CK369" i="1"/>
  <c r="CK368" i="1"/>
  <c r="CK367" i="1"/>
  <c r="CK366" i="1"/>
  <c r="CK365" i="1"/>
  <c r="CK364" i="1"/>
  <c r="CK363" i="1"/>
  <c r="CK362" i="1"/>
  <c r="CK361" i="1"/>
  <c r="CK360" i="1"/>
  <c r="CK359" i="1"/>
  <c r="CK358" i="1"/>
  <c r="CK357" i="1"/>
  <c r="CK356" i="1"/>
  <c r="CK355" i="1"/>
  <c r="CK354" i="1"/>
  <c r="CK353" i="1"/>
  <c r="CK352" i="1"/>
  <c r="CK351" i="1"/>
  <c r="CK350" i="1"/>
  <c r="CK349" i="1"/>
  <c r="CK348" i="1"/>
  <c r="CK347" i="1"/>
  <c r="CK346" i="1"/>
  <c r="CK345" i="1"/>
  <c r="CK344" i="1"/>
  <c r="CK343" i="1"/>
  <c r="CK342" i="1"/>
  <c r="CK341" i="1"/>
  <c r="CK340" i="1"/>
  <c r="CK339" i="1"/>
  <c r="CK338" i="1"/>
  <c r="CK337" i="1"/>
  <c r="CK336" i="1"/>
  <c r="CK335" i="1"/>
  <c r="CK334" i="1"/>
  <c r="CK333" i="1"/>
  <c r="CK332" i="1"/>
  <c r="CK331" i="1"/>
  <c r="CK330" i="1"/>
  <c r="CK329" i="1"/>
  <c r="CK328" i="1"/>
  <c r="CK327" i="1"/>
  <c r="CK326" i="1"/>
  <c r="CK325" i="1"/>
  <c r="CK324" i="1"/>
  <c r="CK323" i="1"/>
  <c r="CK322" i="1"/>
  <c r="CK321" i="1"/>
  <c r="CK320" i="1"/>
  <c r="CK319" i="1"/>
  <c r="CK318" i="1"/>
  <c r="CK317" i="1"/>
  <c r="CK316" i="1"/>
  <c r="CK315" i="1"/>
  <c r="CK314" i="1"/>
  <c r="CK313" i="1"/>
  <c r="CK312" i="1"/>
  <c r="CK311" i="1"/>
  <c r="CK310" i="1"/>
  <c r="CK309" i="1"/>
  <c r="CK308" i="1"/>
  <c r="CK307" i="1"/>
  <c r="CK306" i="1"/>
  <c r="CK305" i="1"/>
  <c r="CK304" i="1"/>
  <c r="CK303" i="1"/>
  <c r="CK302" i="1"/>
  <c r="CK301" i="1"/>
  <c r="CK300" i="1"/>
  <c r="CK299" i="1"/>
  <c r="CK298" i="1"/>
  <c r="CK297" i="1"/>
  <c r="CK296" i="1"/>
  <c r="CK295" i="1"/>
  <c r="CK294" i="1"/>
  <c r="CK293" i="1"/>
  <c r="CK292" i="1"/>
  <c r="CK291" i="1"/>
  <c r="CK290" i="1"/>
  <c r="CK289" i="1"/>
  <c r="CK288" i="1"/>
  <c r="CK287" i="1"/>
  <c r="CK286" i="1"/>
  <c r="CK285" i="1"/>
  <c r="CK284" i="1"/>
  <c r="CK283" i="1"/>
  <c r="CK282" i="1"/>
  <c r="CK281" i="1"/>
  <c r="CK280" i="1"/>
  <c r="CK279" i="1"/>
  <c r="CK278" i="1"/>
  <c r="CK277" i="1"/>
  <c r="CK276" i="1"/>
  <c r="CK275" i="1"/>
  <c r="CK274" i="1"/>
  <c r="CK273" i="1"/>
  <c r="CK272" i="1"/>
  <c r="CK271" i="1"/>
  <c r="CK270" i="1"/>
  <c r="CK269" i="1"/>
  <c r="CK268" i="1"/>
  <c r="CK267" i="1"/>
  <c r="CK266" i="1"/>
  <c r="CK265" i="1"/>
  <c r="CK264" i="1"/>
  <c r="CK263" i="1"/>
  <c r="CK262" i="1"/>
  <c r="CK261" i="1"/>
  <c r="CK260" i="1"/>
  <c r="CK259" i="1"/>
  <c r="CK258" i="1"/>
  <c r="CK257" i="1"/>
  <c r="CK256" i="1"/>
  <c r="CK255" i="1"/>
  <c r="CK254" i="1"/>
  <c r="CK253" i="1"/>
  <c r="CK252" i="1"/>
  <c r="CK251" i="1"/>
  <c r="CK250" i="1"/>
  <c r="CK249" i="1"/>
  <c r="CK248" i="1"/>
  <c r="CK247" i="1"/>
  <c r="CK246" i="1"/>
  <c r="CK245" i="1"/>
  <c r="CK244" i="1"/>
  <c r="CK243" i="1"/>
  <c r="CK242" i="1"/>
  <c r="CK241" i="1"/>
  <c r="CK240" i="1"/>
  <c r="CK239" i="1"/>
  <c r="CK238" i="1"/>
  <c r="CK237" i="1"/>
  <c r="CK236" i="1"/>
  <c r="CK235" i="1"/>
  <c r="CK234" i="1"/>
  <c r="CK233" i="1"/>
  <c r="CK232" i="1"/>
  <c r="CK231" i="1"/>
  <c r="CK230" i="1"/>
  <c r="CK229" i="1"/>
  <c r="CK228" i="1"/>
  <c r="CK227" i="1"/>
  <c r="CK226" i="1"/>
  <c r="CK225" i="1"/>
  <c r="CK224" i="1"/>
  <c r="CK223" i="1"/>
  <c r="CK222" i="1"/>
  <c r="CK221" i="1"/>
  <c r="CK220" i="1"/>
  <c r="CK219" i="1"/>
  <c r="CK218" i="1"/>
  <c r="CK217" i="1"/>
  <c r="CK216" i="1"/>
  <c r="CK215" i="1"/>
  <c r="CK214" i="1"/>
  <c r="CK213" i="1"/>
  <c r="CK212" i="1"/>
  <c r="CK211" i="1"/>
  <c r="CK210" i="1"/>
  <c r="CK209" i="1"/>
  <c r="CK208" i="1"/>
  <c r="CK207" i="1"/>
  <c r="CK206" i="1"/>
  <c r="CK205" i="1"/>
  <c r="CK204" i="1"/>
  <c r="CK203" i="1"/>
  <c r="CK202" i="1"/>
  <c r="CK201" i="1"/>
  <c r="CK200" i="1"/>
  <c r="CK199" i="1"/>
  <c r="CK198" i="1"/>
  <c r="CK197" i="1"/>
  <c r="CK196" i="1"/>
  <c r="CK195" i="1"/>
  <c r="CK194" i="1"/>
  <c r="CK193" i="1"/>
  <c r="CK192" i="1"/>
  <c r="CK191" i="1"/>
  <c r="CK190" i="1"/>
  <c r="CK189" i="1"/>
  <c r="CK188" i="1"/>
  <c r="CK187" i="1"/>
  <c r="CK186" i="1"/>
  <c r="CK185" i="1"/>
  <c r="CK184" i="1"/>
  <c r="CK183" i="1"/>
  <c r="CK182" i="1"/>
  <c r="CK181" i="1"/>
  <c r="CK180" i="1"/>
  <c r="CK179" i="1"/>
  <c r="CK178" i="1"/>
  <c r="CK177" i="1"/>
  <c r="CK176" i="1"/>
  <c r="CK175" i="1"/>
  <c r="CK174" i="1"/>
  <c r="CK173" i="1"/>
  <c r="CK172" i="1"/>
  <c r="CK171" i="1"/>
  <c r="CK170" i="1"/>
  <c r="CK169" i="1"/>
  <c r="CK168" i="1"/>
  <c r="CK167" i="1"/>
  <c r="CK166" i="1"/>
  <c r="CK165" i="1"/>
  <c r="CK164" i="1"/>
  <c r="CK163" i="1"/>
  <c r="CK162" i="1"/>
  <c r="CK161" i="1"/>
  <c r="CK160" i="1"/>
  <c r="CK159" i="1"/>
  <c r="CK158" i="1"/>
  <c r="CK157" i="1"/>
  <c r="CK156" i="1"/>
  <c r="CK155" i="1"/>
  <c r="CK154" i="1"/>
  <c r="CK153" i="1"/>
  <c r="CK152" i="1"/>
  <c r="CK151" i="1"/>
  <c r="CK150" i="1"/>
  <c r="CK149" i="1"/>
  <c r="CK148" i="1"/>
  <c r="CK147" i="1"/>
  <c r="CK146" i="1"/>
  <c r="CK145" i="1"/>
  <c r="CK144" i="1"/>
  <c r="CK143" i="1"/>
  <c r="CK142" i="1"/>
  <c r="CK141" i="1"/>
  <c r="CK140" i="1"/>
  <c r="CK139" i="1"/>
  <c r="CK138" i="1"/>
  <c r="CK137" i="1"/>
  <c r="CK136" i="1"/>
  <c r="CK135" i="1"/>
  <c r="CK134" i="1"/>
  <c r="CK133" i="1"/>
  <c r="CK132" i="1"/>
  <c r="CK131" i="1"/>
  <c r="CK130" i="1"/>
  <c r="CK129" i="1"/>
  <c r="CK128" i="1"/>
  <c r="CK127" i="1"/>
  <c r="CK126" i="1"/>
  <c r="CK125" i="1"/>
  <c r="CK124" i="1"/>
  <c r="CK123" i="1"/>
  <c r="CK122" i="1"/>
  <c r="CK121" i="1"/>
  <c r="CK120" i="1"/>
  <c r="CK119" i="1"/>
  <c r="CK118" i="1"/>
  <c r="CK117" i="1"/>
  <c r="CK116" i="1"/>
  <c r="CK115" i="1"/>
  <c r="CK114" i="1"/>
  <c r="CK113" i="1"/>
  <c r="CK112" i="1"/>
  <c r="CK111" i="1"/>
  <c r="CK110" i="1"/>
  <c r="CK109" i="1"/>
  <c r="CK108" i="1"/>
  <c r="CK107" i="1"/>
  <c r="CK106" i="1"/>
  <c r="CK105" i="1"/>
  <c r="CK104" i="1"/>
  <c r="CK103" i="1"/>
  <c r="CK102" i="1"/>
  <c r="CK101" i="1"/>
  <c r="CK100" i="1"/>
  <c r="CK99" i="1"/>
  <c r="CK98" i="1"/>
  <c r="CK97" i="1"/>
  <c r="CK96" i="1"/>
  <c r="CK95" i="1"/>
  <c r="CK94" i="1"/>
  <c r="CK93" i="1"/>
  <c r="CK92" i="1"/>
  <c r="CK91" i="1"/>
  <c r="CK90" i="1"/>
  <c r="CK89" i="1"/>
  <c r="CK88" i="1"/>
  <c r="CK87" i="1"/>
  <c r="CK86" i="1"/>
  <c r="CK85" i="1"/>
  <c r="CK84" i="1"/>
  <c r="CK83" i="1"/>
  <c r="CK82" i="1"/>
  <c r="CK81" i="1"/>
  <c r="CK80" i="1"/>
  <c r="CK79" i="1"/>
  <c r="CK78" i="1"/>
  <c r="CK77" i="1"/>
  <c r="CK76" i="1"/>
  <c r="CK75" i="1"/>
  <c r="CK74" i="1"/>
  <c r="CK73" i="1"/>
  <c r="CK72" i="1"/>
  <c r="CK71" i="1"/>
  <c r="CK70" i="1"/>
  <c r="CK69" i="1"/>
  <c r="CK68" i="1"/>
  <c r="CK67" i="1"/>
  <c r="CK66" i="1"/>
  <c r="CK65" i="1"/>
  <c r="CK64" i="1"/>
  <c r="CK63" i="1"/>
  <c r="CK62" i="1"/>
  <c r="CK61" i="1"/>
  <c r="CK60" i="1"/>
  <c r="CK59" i="1"/>
  <c r="CK58" i="1"/>
  <c r="CK57" i="1"/>
  <c r="CK56" i="1"/>
  <c r="CK55" i="1"/>
  <c r="CK54" i="1"/>
  <c r="CK53" i="1"/>
  <c r="CK52" i="1"/>
  <c r="CK51" i="1"/>
  <c r="CK50" i="1"/>
  <c r="CK49" i="1"/>
  <c r="CK48" i="1"/>
  <c r="CK47" i="1"/>
  <c r="CK46" i="1"/>
  <c r="CK45" i="1"/>
  <c r="CK44" i="1"/>
  <c r="CK43" i="1"/>
  <c r="CK42" i="1"/>
  <c r="CK41" i="1"/>
  <c r="CK40" i="1"/>
  <c r="CK39" i="1"/>
  <c r="CK38" i="1"/>
  <c r="CK37" i="1"/>
  <c r="CK36" i="1"/>
  <c r="CK35" i="1"/>
  <c r="CK34" i="1"/>
  <c r="CK33" i="1"/>
  <c r="CK32" i="1"/>
  <c r="CK31" i="1"/>
  <c r="CK30" i="1"/>
  <c r="CK29" i="1"/>
  <c r="CK28" i="1"/>
  <c r="CK27" i="1"/>
  <c r="CK26" i="1"/>
  <c r="CK25" i="1"/>
  <c r="CK24" i="1"/>
  <c r="CK23" i="1"/>
  <c r="CK22" i="1"/>
  <c r="CK21" i="1"/>
  <c r="CK20" i="1"/>
  <c r="CK19" i="1"/>
  <c r="CK18" i="1"/>
  <c r="CK17" i="1"/>
  <c r="CK16" i="1"/>
  <c r="CK15" i="1"/>
  <c r="CK14" i="1"/>
  <c r="CK13" i="1"/>
  <c r="CK12" i="1"/>
  <c r="CK11" i="1"/>
  <c r="CK10" i="1"/>
  <c r="CK9" i="1"/>
  <c r="CK8" i="1"/>
  <c r="CK7" i="1"/>
  <c r="CK6" i="1"/>
  <c r="CK5" i="1"/>
  <c r="CK4" i="1"/>
  <c r="CK3" i="1"/>
  <c r="CK2" i="1"/>
  <c r="I398" i="15"/>
  <c r="H398" i="15"/>
  <c r="G398" i="15"/>
  <c r="F398" i="15"/>
  <c r="E398" i="15"/>
  <c r="D398" i="15"/>
  <c r="C398" i="15"/>
  <c r="B398" i="15"/>
  <c r="A398" i="15"/>
  <c r="O397" i="15"/>
  <c r="K397" i="15"/>
  <c r="J397" i="15"/>
  <c r="I397" i="15"/>
  <c r="H397" i="15"/>
  <c r="G397" i="15"/>
  <c r="F397" i="15"/>
  <c r="E397" i="15"/>
  <c r="D397" i="15"/>
  <c r="C397" i="15"/>
  <c r="B397" i="15"/>
  <c r="A397" i="15"/>
  <c r="N396" i="15"/>
  <c r="J396" i="15"/>
  <c r="I396" i="15"/>
  <c r="H396" i="15"/>
  <c r="G396" i="15"/>
  <c r="F396" i="15"/>
  <c r="E396" i="15"/>
  <c r="D396" i="15"/>
  <c r="L396" i="15" s="1"/>
  <c r="M396" i="15" s="1"/>
  <c r="C396" i="15"/>
  <c r="B396" i="15"/>
  <c r="A396" i="15"/>
  <c r="I395" i="15"/>
  <c r="H395" i="15"/>
  <c r="G395" i="15"/>
  <c r="F395" i="15"/>
  <c r="E395" i="15"/>
  <c r="D395" i="15"/>
  <c r="L395" i="15" s="1"/>
  <c r="N395" i="15" s="1"/>
  <c r="C395" i="15"/>
  <c r="B395" i="15"/>
  <c r="A395" i="15"/>
  <c r="L394" i="15"/>
  <c r="N394" i="15" s="1"/>
  <c r="I394" i="15"/>
  <c r="H394" i="15"/>
  <c r="G394" i="15"/>
  <c r="F394" i="15"/>
  <c r="E394" i="15"/>
  <c r="D394" i="15"/>
  <c r="C394" i="15"/>
  <c r="B394" i="15"/>
  <c r="A394" i="15"/>
  <c r="O387" i="15"/>
  <c r="K387" i="15"/>
  <c r="J387" i="15"/>
  <c r="I387" i="15"/>
  <c r="H387" i="15"/>
  <c r="G387" i="15"/>
  <c r="F387" i="15"/>
  <c r="E387" i="15"/>
  <c r="D387" i="15"/>
  <c r="C387" i="15"/>
  <c r="B387" i="15"/>
  <c r="A387" i="15"/>
  <c r="J375" i="15"/>
  <c r="I375" i="15"/>
  <c r="H375" i="15"/>
  <c r="G375" i="15"/>
  <c r="F375" i="15"/>
  <c r="E375" i="15"/>
  <c r="D375" i="15"/>
  <c r="L375" i="15" s="1"/>
  <c r="N375" i="15" s="1"/>
  <c r="C375" i="15"/>
  <c r="B375" i="15"/>
  <c r="A375" i="15"/>
  <c r="I372" i="15"/>
  <c r="H372" i="15"/>
  <c r="G372" i="15"/>
  <c r="F372" i="15"/>
  <c r="E372" i="15"/>
  <c r="D372" i="15"/>
  <c r="C372" i="15"/>
  <c r="B372" i="15"/>
  <c r="A372" i="15"/>
  <c r="L371" i="15"/>
  <c r="N371" i="15" s="1"/>
  <c r="K371" i="15"/>
  <c r="I371" i="15"/>
  <c r="H371" i="15"/>
  <c r="G371" i="15"/>
  <c r="F371" i="15"/>
  <c r="E371" i="15"/>
  <c r="D371" i="15"/>
  <c r="C371" i="15"/>
  <c r="B371" i="15"/>
  <c r="A371" i="15"/>
  <c r="O368" i="15"/>
  <c r="K368" i="15"/>
  <c r="J368" i="15"/>
  <c r="I368" i="15"/>
  <c r="H368" i="15"/>
  <c r="G368" i="15"/>
  <c r="F368" i="15"/>
  <c r="E368" i="15"/>
  <c r="D368" i="15"/>
  <c r="C368" i="15"/>
  <c r="B368" i="15"/>
  <c r="A368" i="15"/>
  <c r="J347" i="15"/>
  <c r="I347" i="15"/>
  <c r="H347" i="15"/>
  <c r="G347" i="15"/>
  <c r="F347" i="15"/>
  <c r="E347" i="15"/>
  <c r="D347" i="15"/>
  <c r="L347" i="15" s="1"/>
  <c r="N347" i="15" s="1"/>
  <c r="C347" i="15"/>
  <c r="B347" i="15"/>
  <c r="A347" i="15"/>
  <c r="M346" i="15"/>
  <c r="L346" i="15"/>
  <c r="N346" i="15" s="1"/>
  <c r="I346" i="15"/>
  <c r="H346" i="15"/>
  <c r="G346" i="15"/>
  <c r="F346" i="15"/>
  <c r="E346" i="15"/>
  <c r="D346" i="15"/>
  <c r="C346" i="15"/>
  <c r="B346" i="15"/>
  <c r="A346" i="15"/>
  <c r="L334" i="15"/>
  <c r="N334" i="15" s="1"/>
  <c r="K334" i="15"/>
  <c r="I334" i="15"/>
  <c r="H334" i="15"/>
  <c r="G334" i="15"/>
  <c r="F334" i="15"/>
  <c r="E334" i="15"/>
  <c r="D334" i="15"/>
  <c r="C334" i="15"/>
  <c r="B334" i="15"/>
  <c r="A334" i="15"/>
  <c r="O328" i="15"/>
  <c r="J328" i="15"/>
  <c r="I328" i="15"/>
  <c r="H328" i="15"/>
  <c r="G328" i="15"/>
  <c r="K328" i="15" s="1"/>
  <c r="F328" i="15"/>
  <c r="E328" i="15"/>
  <c r="D328" i="15"/>
  <c r="C328" i="15"/>
  <c r="B328" i="15"/>
  <c r="A328" i="15"/>
  <c r="N327" i="15"/>
  <c r="K327" i="15"/>
  <c r="J327" i="15"/>
  <c r="I327" i="15"/>
  <c r="H327" i="15"/>
  <c r="G327" i="15"/>
  <c r="F327" i="15"/>
  <c r="E327" i="15"/>
  <c r="D327" i="15"/>
  <c r="L327" i="15" s="1"/>
  <c r="M327" i="15" s="1"/>
  <c r="C327" i="15"/>
  <c r="B327" i="15"/>
  <c r="A327" i="15"/>
  <c r="L326" i="15"/>
  <c r="N326" i="15" s="1"/>
  <c r="I326" i="15"/>
  <c r="H326" i="15"/>
  <c r="G326" i="15"/>
  <c r="F326" i="15"/>
  <c r="E326" i="15"/>
  <c r="D326" i="15"/>
  <c r="M326" i="15" s="1"/>
  <c r="C326" i="15"/>
  <c r="B326" i="15"/>
  <c r="A326" i="15"/>
  <c r="K324" i="15"/>
  <c r="I324" i="15"/>
  <c r="H324" i="15"/>
  <c r="G324" i="15"/>
  <c r="F324" i="15"/>
  <c r="E324" i="15"/>
  <c r="D324" i="15"/>
  <c r="L324" i="15" s="1"/>
  <c r="N324" i="15" s="1"/>
  <c r="C324" i="15"/>
  <c r="B324" i="15"/>
  <c r="A324" i="15"/>
  <c r="O322" i="15"/>
  <c r="I322" i="15"/>
  <c r="H322" i="15"/>
  <c r="G322" i="15"/>
  <c r="K322" i="15" s="1"/>
  <c r="F322" i="15"/>
  <c r="J322" i="15" s="1"/>
  <c r="E322" i="15"/>
  <c r="D322" i="15"/>
  <c r="C322" i="15"/>
  <c r="B322" i="15"/>
  <c r="A322" i="15"/>
  <c r="O318" i="15"/>
  <c r="N318" i="15"/>
  <c r="K318" i="15"/>
  <c r="J318" i="15"/>
  <c r="I318" i="15"/>
  <c r="H318" i="15"/>
  <c r="G318" i="15"/>
  <c r="F318" i="15"/>
  <c r="E318" i="15"/>
  <c r="D318" i="15"/>
  <c r="L318" i="15" s="1"/>
  <c r="M318" i="15" s="1"/>
  <c r="C318" i="15"/>
  <c r="B318" i="15"/>
  <c r="A318" i="15"/>
  <c r="I311" i="15"/>
  <c r="H311" i="15"/>
  <c r="G311" i="15"/>
  <c r="F311" i="15"/>
  <c r="E311" i="15"/>
  <c r="D311" i="15"/>
  <c r="C311" i="15"/>
  <c r="B311" i="15"/>
  <c r="A311" i="15"/>
  <c r="I307" i="15"/>
  <c r="H307" i="15"/>
  <c r="G307" i="15"/>
  <c r="F307" i="15"/>
  <c r="E307" i="15"/>
  <c r="D307" i="15"/>
  <c r="C307" i="15"/>
  <c r="B307" i="15"/>
  <c r="A307" i="15"/>
  <c r="O298" i="15"/>
  <c r="I298" i="15"/>
  <c r="H298" i="15"/>
  <c r="G298" i="15"/>
  <c r="K298" i="15" s="1"/>
  <c r="F298" i="15"/>
  <c r="J298" i="15" s="1"/>
  <c r="E298" i="15"/>
  <c r="D298" i="15"/>
  <c r="C298" i="15"/>
  <c r="B298" i="15"/>
  <c r="A298" i="15"/>
  <c r="O292" i="15"/>
  <c r="N292" i="15"/>
  <c r="K292" i="15"/>
  <c r="J292" i="15"/>
  <c r="I292" i="15"/>
  <c r="H292" i="15"/>
  <c r="G292" i="15"/>
  <c r="F292" i="15"/>
  <c r="E292" i="15"/>
  <c r="D292" i="15"/>
  <c r="L292" i="15" s="1"/>
  <c r="M292" i="15" s="1"/>
  <c r="C292" i="15"/>
  <c r="B292" i="15"/>
  <c r="A292" i="15"/>
  <c r="L288" i="15"/>
  <c r="N288" i="15" s="1"/>
  <c r="I288" i="15"/>
  <c r="H288" i="15"/>
  <c r="G288" i="15"/>
  <c r="F288" i="15"/>
  <c r="E288" i="15"/>
  <c r="D288" i="15"/>
  <c r="M288" i="15" s="1"/>
  <c r="C288" i="15"/>
  <c r="B288" i="15"/>
  <c r="A288" i="15"/>
  <c r="K281" i="15"/>
  <c r="I281" i="15"/>
  <c r="H281" i="15"/>
  <c r="G281" i="15"/>
  <c r="F281" i="15"/>
  <c r="E281" i="15"/>
  <c r="D281" i="15"/>
  <c r="L281" i="15" s="1"/>
  <c r="N281" i="15" s="1"/>
  <c r="C281" i="15"/>
  <c r="B281" i="15"/>
  <c r="A281" i="15"/>
  <c r="O279" i="15"/>
  <c r="I279" i="15"/>
  <c r="H279" i="15"/>
  <c r="G279" i="15"/>
  <c r="K279" i="15" s="1"/>
  <c r="F279" i="15"/>
  <c r="J279" i="15" s="1"/>
  <c r="E279" i="15"/>
  <c r="D279" i="15"/>
  <c r="C279" i="15"/>
  <c r="B279" i="15"/>
  <c r="A279" i="15"/>
  <c r="O278" i="15"/>
  <c r="I278" i="15"/>
  <c r="H278" i="15"/>
  <c r="G278" i="15"/>
  <c r="F278" i="15"/>
  <c r="J278" i="15" s="1"/>
  <c r="E278" i="15"/>
  <c r="D278" i="15"/>
  <c r="C278" i="15"/>
  <c r="B278" i="15"/>
  <c r="A278" i="15"/>
  <c r="I275" i="15"/>
  <c r="H275" i="15"/>
  <c r="G275" i="15"/>
  <c r="F275" i="15"/>
  <c r="E275" i="15"/>
  <c r="D275" i="15"/>
  <c r="C275" i="15"/>
  <c r="B275" i="15"/>
  <c r="A275" i="15"/>
  <c r="L274" i="15"/>
  <c r="N274" i="15" s="1"/>
  <c r="I274" i="15"/>
  <c r="H274" i="15"/>
  <c r="G274" i="15"/>
  <c r="F274" i="15"/>
  <c r="E274" i="15"/>
  <c r="D274" i="15"/>
  <c r="C274" i="15"/>
  <c r="B274" i="15"/>
  <c r="A274" i="15"/>
  <c r="O273" i="15"/>
  <c r="K273" i="15"/>
  <c r="J273" i="15"/>
  <c r="I273" i="15"/>
  <c r="H273" i="15"/>
  <c r="G273" i="15"/>
  <c r="F273" i="15"/>
  <c r="E273" i="15"/>
  <c r="D273" i="15"/>
  <c r="C273" i="15"/>
  <c r="B273" i="15"/>
  <c r="A273" i="15"/>
  <c r="O271" i="15"/>
  <c r="K271" i="15"/>
  <c r="J271" i="15"/>
  <c r="I271" i="15"/>
  <c r="H271" i="15"/>
  <c r="G271" i="15"/>
  <c r="F271" i="15"/>
  <c r="E271" i="15"/>
  <c r="D271" i="15"/>
  <c r="L271" i="15" s="1"/>
  <c r="N271" i="15" s="1"/>
  <c r="C271" i="15"/>
  <c r="B271" i="15"/>
  <c r="A271" i="15"/>
  <c r="M269" i="15"/>
  <c r="L269" i="15"/>
  <c r="N269" i="15" s="1"/>
  <c r="I269" i="15"/>
  <c r="H269" i="15"/>
  <c r="G269" i="15"/>
  <c r="F269" i="15"/>
  <c r="E269" i="15"/>
  <c r="D269" i="15"/>
  <c r="C269" i="15"/>
  <c r="B269" i="15"/>
  <c r="A269" i="15"/>
  <c r="L266" i="15"/>
  <c r="N266" i="15" s="1"/>
  <c r="K266" i="15"/>
  <c r="I266" i="15"/>
  <c r="H266" i="15"/>
  <c r="G266" i="15"/>
  <c r="F266" i="15"/>
  <c r="E266" i="15"/>
  <c r="D266" i="15"/>
  <c r="C266" i="15"/>
  <c r="B266" i="15"/>
  <c r="A266" i="15"/>
  <c r="O265" i="15"/>
  <c r="K265" i="15"/>
  <c r="J265" i="15"/>
  <c r="I265" i="15"/>
  <c r="H265" i="15"/>
  <c r="G265" i="15"/>
  <c r="F265" i="15"/>
  <c r="E265" i="15"/>
  <c r="D265" i="15"/>
  <c r="C265" i="15"/>
  <c r="B265" i="15"/>
  <c r="A265" i="15"/>
  <c r="O263" i="15"/>
  <c r="K263" i="15"/>
  <c r="J263" i="15"/>
  <c r="I263" i="15"/>
  <c r="H263" i="15"/>
  <c r="G263" i="15"/>
  <c r="F263" i="15"/>
  <c r="E263" i="15"/>
  <c r="D263" i="15"/>
  <c r="L263" i="15" s="1"/>
  <c r="M263" i="15" s="1"/>
  <c r="C263" i="15"/>
  <c r="B263" i="15"/>
  <c r="A263" i="15"/>
  <c r="I257" i="15"/>
  <c r="H257" i="15"/>
  <c r="G257" i="15"/>
  <c r="F257" i="15"/>
  <c r="E257" i="15"/>
  <c r="D257" i="15"/>
  <c r="C257" i="15"/>
  <c r="B257" i="15"/>
  <c r="A257" i="15"/>
  <c r="L246" i="15"/>
  <c r="N246" i="15" s="1"/>
  <c r="I246" i="15"/>
  <c r="H246" i="15"/>
  <c r="G246" i="15"/>
  <c r="F246" i="15"/>
  <c r="E246" i="15"/>
  <c r="D246" i="15"/>
  <c r="C246" i="15"/>
  <c r="B246" i="15"/>
  <c r="A246" i="15"/>
  <c r="O218" i="15"/>
  <c r="I218" i="15"/>
  <c r="H218" i="15"/>
  <c r="G218" i="15"/>
  <c r="K218" i="15" s="1"/>
  <c r="F218" i="15"/>
  <c r="J218" i="15" s="1"/>
  <c r="E218" i="15"/>
  <c r="D218" i="15"/>
  <c r="C218" i="15"/>
  <c r="B218" i="15"/>
  <c r="A218" i="15"/>
  <c r="O211" i="15"/>
  <c r="K211" i="15"/>
  <c r="J211" i="15"/>
  <c r="I211" i="15"/>
  <c r="H211" i="15"/>
  <c r="G211" i="15"/>
  <c r="F211" i="15"/>
  <c r="E211" i="15"/>
  <c r="D211" i="15"/>
  <c r="L211" i="15" s="1"/>
  <c r="N211" i="15" s="1"/>
  <c r="C211" i="15"/>
  <c r="B211" i="15"/>
  <c r="A211" i="15"/>
  <c r="I206" i="15"/>
  <c r="H206" i="15"/>
  <c r="G206" i="15"/>
  <c r="F206" i="15"/>
  <c r="E206" i="15"/>
  <c r="D206" i="15"/>
  <c r="C206" i="15"/>
  <c r="B206" i="15"/>
  <c r="A206" i="15"/>
  <c r="L193" i="15"/>
  <c r="N193" i="15" s="1"/>
  <c r="K193" i="15"/>
  <c r="I193" i="15"/>
  <c r="H193" i="15"/>
  <c r="G193" i="15"/>
  <c r="F193" i="15"/>
  <c r="E193" i="15"/>
  <c r="D193" i="15"/>
  <c r="C193" i="15"/>
  <c r="B193" i="15"/>
  <c r="A193" i="15"/>
  <c r="O189" i="15"/>
  <c r="J189" i="15"/>
  <c r="I189" i="15"/>
  <c r="H189" i="15"/>
  <c r="G189" i="15"/>
  <c r="K189" i="15" s="1"/>
  <c r="F189" i="15"/>
  <c r="E189" i="15"/>
  <c r="D189" i="15"/>
  <c r="C189" i="15"/>
  <c r="B189" i="15"/>
  <c r="A189" i="15"/>
  <c r="O184" i="15"/>
  <c r="K184" i="15"/>
  <c r="J184" i="15"/>
  <c r="I184" i="15"/>
  <c r="H184" i="15"/>
  <c r="G184" i="15"/>
  <c r="F184" i="15"/>
  <c r="E184" i="15"/>
  <c r="D184" i="15"/>
  <c r="L184" i="15" s="1"/>
  <c r="M184" i="15" s="1"/>
  <c r="C184" i="15"/>
  <c r="B184" i="15"/>
  <c r="A184" i="15"/>
  <c r="I173" i="15"/>
  <c r="H173" i="15"/>
  <c r="G173" i="15"/>
  <c r="F173" i="15"/>
  <c r="E173" i="15"/>
  <c r="D173" i="15"/>
  <c r="C173" i="15"/>
  <c r="B173" i="15"/>
  <c r="A173" i="15"/>
  <c r="I172" i="15"/>
  <c r="H172" i="15"/>
  <c r="G172" i="15"/>
  <c r="F172" i="15"/>
  <c r="E172" i="15"/>
  <c r="D172" i="15"/>
  <c r="C172" i="15"/>
  <c r="B172" i="15"/>
  <c r="A172" i="15"/>
  <c r="O158" i="15"/>
  <c r="K158" i="15"/>
  <c r="J158" i="15"/>
  <c r="I158" i="15"/>
  <c r="H158" i="15"/>
  <c r="G158" i="15"/>
  <c r="F158" i="15"/>
  <c r="E158" i="15"/>
  <c r="D158" i="15"/>
  <c r="C158" i="15"/>
  <c r="B158" i="15"/>
  <c r="A158" i="15"/>
  <c r="O152" i="15"/>
  <c r="K152" i="15"/>
  <c r="J152" i="15"/>
  <c r="I152" i="15"/>
  <c r="H152" i="15"/>
  <c r="G152" i="15"/>
  <c r="F152" i="15"/>
  <c r="E152" i="15"/>
  <c r="D152" i="15"/>
  <c r="L152" i="15" s="1"/>
  <c r="N152" i="15" s="1"/>
  <c r="C152" i="15"/>
  <c r="B152" i="15"/>
  <c r="A152" i="15"/>
  <c r="I151" i="15"/>
  <c r="H151" i="15"/>
  <c r="G151" i="15"/>
  <c r="F151" i="15"/>
  <c r="E151" i="15"/>
  <c r="D151" i="15"/>
  <c r="C151" i="15"/>
  <c r="B151" i="15"/>
  <c r="A151" i="15"/>
  <c r="L139" i="15"/>
  <c r="N139" i="15" s="1"/>
  <c r="K139" i="15"/>
  <c r="I139" i="15"/>
  <c r="H139" i="15"/>
  <c r="G139" i="15"/>
  <c r="F139" i="15"/>
  <c r="E139" i="15"/>
  <c r="D139" i="15"/>
  <c r="C139" i="15"/>
  <c r="B139" i="15"/>
  <c r="A139" i="15"/>
  <c r="O136" i="15"/>
  <c r="J136" i="15"/>
  <c r="I136" i="15"/>
  <c r="H136" i="15"/>
  <c r="G136" i="15"/>
  <c r="K136" i="15" s="1"/>
  <c r="F136" i="15"/>
  <c r="E136" i="15"/>
  <c r="D136" i="15"/>
  <c r="C136" i="15"/>
  <c r="B136" i="15"/>
  <c r="A136" i="15"/>
  <c r="O103" i="15"/>
  <c r="K103" i="15"/>
  <c r="J103" i="15"/>
  <c r="I103" i="15"/>
  <c r="H103" i="15"/>
  <c r="G103" i="15"/>
  <c r="F103" i="15"/>
  <c r="E103" i="15"/>
  <c r="D103" i="15"/>
  <c r="L103" i="15" s="1"/>
  <c r="M103" i="15" s="1"/>
  <c r="C103" i="15"/>
  <c r="B103" i="15"/>
  <c r="A103" i="15"/>
  <c r="I101" i="15"/>
  <c r="H101" i="15"/>
  <c r="G101" i="15"/>
  <c r="F101" i="15"/>
  <c r="E101" i="15"/>
  <c r="D101" i="15"/>
  <c r="C101" i="15"/>
  <c r="B101" i="15"/>
  <c r="A101" i="15"/>
  <c r="I100" i="15"/>
  <c r="H100" i="15"/>
  <c r="G100" i="15"/>
  <c r="F100" i="15"/>
  <c r="E100" i="15"/>
  <c r="D100" i="15"/>
  <c r="C100" i="15"/>
  <c r="B100" i="15"/>
  <c r="A100" i="15"/>
  <c r="O93" i="15"/>
  <c r="I93" i="15"/>
  <c r="H93" i="15"/>
  <c r="G93" i="15"/>
  <c r="K93" i="15" s="1"/>
  <c r="F93" i="15"/>
  <c r="J93" i="15" s="1"/>
  <c r="E93" i="15"/>
  <c r="D93" i="15"/>
  <c r="C93" i="15"/>
  <c r="B93" i="15"/>
  <c r="A93" i="15"/>
  <c r="O84" i="15"/>
  <c r="K84" i="15"/>
  <c r="J84" i="15"/>
  <c r="I84" i="15"/>
  <c r="H84" i="15"/>
  <c r="G84" i="15"/>
  <c r="F84" i="15"/>
  <c r="E84" i="15"/>
  <c r="D84" i="15"/>
  <c r="L84" i="15" s="1"/>
  <c r="N84" i="15" s="1"/>
  <c r="C84" i="15"/>
  <c r="B84" i="15"/>
  <c r="A84" i="15"/>
  <c r="L81" i="15"/>
  <c r="N81" i="15" s="1"/>
  <c r="I81" i="15"/>
  <c r="H81" i="15"/>
  <c r="G81" i="15"/>
  <c r="F81" i="15"/>
  <c r="E81" i="15"/>
  <c r="D81" i="15"/>
  <c r="C81" i="15"/>
  <c r="B81" i="15"/>
  <c r="A81" i="15"/>
  <c r="O78" i="15"/>
  <c r="I78" i="15"/>
  <c r="H78" i="15"/>
  <c r="G78" i="15"/>
  <c r="K78" i="15" s="1"/>
  <c r="F78" i="15"/>
  <c r="E78" i="15"/>
  <c r="J78" i="15" s="1"/>
  <c r="D78" i="15"/>
  <c r="C78" i="15"/>
  <c r="B78" i="15"/>
  <c r="A78" i="15"/>
  <c r="I75" i="15"/>
  <c r="H75" i="15"/>
  <c r="G75" i="15"/>
  <c r="F75" i="15"/>
  <c r="E75" i="15"/>
  <c r="D75" i="15"/>
  <c r="O75" i="15" s="1"/>
  <c r="C75" i="15"/>
  <c r="B75" i="15"/>
  <c r="A75" i="15"/>
  <c r="O68" i="15"/>
  <c r="K68" i="15"/>
  <c r="I68" i="15"/>
  <c r="H68" i="15"/>
  <c r="G68" i="15"/>
  <c r="F68" i="15"/>
  <c r="E68" i="15"/>
  <c r="D68" i="15"/>
  <c r="J68" i="15" s="1"/>
  <c r="C68" i="15"/>
  <c r="B68" i="15"/>
  <c r="A68" i="15"/>
  <c r="J63" i="15"/>
  <c r="I63" i="15"/>
  <c r="H63" i="15"/>
  <c r="G63" i="15"/>
  <c r="F63" i="15"/>
  <c r="E63" i="15"/>
  <c r="D63" i="15"/>
  <c r="C63" i="15"/>
  <c r="B63" i="15"/>
  <c r="A63" i="15"/>
  <c r="O61" i="15"/>
  <c r="K61" i="15"/>
  <c r="J61" i="15"/>
  <c r="I61" i="15"/>
  <c r="H61" i="15"/>
  <c r="G61" i="15"/>
  <c r="F61" i="15"/>
  <c r="E61" i="15"/>
  <c r="D61" i="15"/>
  <c r="L61" i="15" s="1"/>
  <c r="C61" i="15"/>
  <c r="B61" i="15"/>
  <c r="A61" i="15"/>
  <c r="I57" i="15"/>
  <c r="H57" i="15"/>
  <c r="G57" i="15"/>
  <c r="F57" i="15"/>
  <c r="E57" i="15"/>
  <c r="D57" i="15"/>
  <c r="O57" i="15" s="1"/>
  <c r="C57" i="15"/>
  <c r="B57" i="15"/>
  <c r="A57" i="15"/>
  <c r="O48" i="15"/>
  <c r="K48" i="15"/>
  <c r="I48" i="15"/>
  <c r="H48" i="15"/>
  <c r="G48" i="15"/>
  <c r="F48" i="15"/>
  <c r="E48" i="15"/>
  <c r="D48" i="15"/>
  <c r="J48" i="15" s="1"/>
  <c r="C48" i="15"/>
  <c r="B48" i="15"/>
  <c r="A48" i="15"/>
  <c r="J39" i="15"/>
  <c r="I39" i="15"/>
  <c r="H39" i="15"/>
  <c r="G39" i="15"/>
  <c r="F39" i="15"/>
  <c r="E39" i="15"/>
  <c r="D39" i="15"/>
  <c r="C39" i="15"/>
  <c r="B39" i="15"/>
  <c r="A39" i="15"/>
  <c r="O29" i="15"/>
  <c r="I29" i="15"/>
  <c r="H29" i="15"/>
  <c r="G29" i="15"/>
  <c r="K29" i="15" s="1"/>
  <c r="F29" i="15"/>
  <c r="E29" i="15"/>
  <c r="J29" i="15" s="1"/>
  <c r="D29" i="15"/>
  <c r="C29" i="15"/>
  <c r="B29" i="15"/>
  <c r="A29" i="15"/>
  <c r="I28" i="15"/>
  <c r="H28" i="15"/>
  <c r="G28" i="15"/>
  <c r="F28" i="15"/>
  <c r="E28" i="15"/>
  <c r="D28" i="15"/>
  <c r="O28" i="15" s="1"/>
  <c r="C28" i="15"/>
  <c r="B28" i="15"/>
  <c r="A28" i="15"/>
  <c r="O19" i="15"/>
  <c r="K19" i="15"/>
  <c r="I19" i="15"/>
  <c r="H19" i="15"/>
  <c r="G19" i="15"/>
  <c r="F19" i="15"/>
  <c r="E19" i="15"/>
  <c r="D19" i="15"/>
  <c r="J19" i="15" s="1"/>
  <c r="C19" i="15"/>
  <c r="B19" i="15"/>
  <c r="A19" i="15"/>
  <c r="J12" i="15"/>
  <c r="I12" i="15"/>
  <c r="H12" i="15"/>
  <c r="G12" i="15"/>
  <c r="F12" i="15"/>
  <c r="E12" i="15"/>
  <c r="D12" i="15"/>
  <c r="C12" i="15"/>
  <c r="B12" i="15"/>
  <c r="A12" i="15"/>
  <c r="O11" i="15"/>
  <c r="K11" i="15"/>
  <c r="J11" i="15"/>
  <c r="I11" i="15"/>
  <c r="H11" i="15"/>
  <c r="G11" i="15"/>
  <c r="F11" i="15"/>
  <c r="E11" i="15"/>
  <c r="D11" i="15"/>
  <c r="L11" i="15" s="1"/>
  <c r="C11" i="15"/>
  <c r="B11" i="15"/>
  <c r="A11" i="15"/>
  <c r="I10" i="15"/>
  <c r="H10" i="15"/>
  <c r="G10" i="15"/>
  <c r="F10" i="15"/>
  <c r="E10" i="15"/>
  <c r="D10" i="15"/>
  <c r="O10" i="15" s="1"/>
  <c r="C10" i="15"/>
  <c r="B10" i="15"/>
  <c r="A10" i="15"/>
  <c r="O9" i="15"/>
  <c r="K9" i="15"/>
  <c r="I9" i="15"/>
  <c r="H9" i="15"/>
  <c r="G9" i="15"/>
  <c r="F9" i="15"/>
  <c r="E9" i="15"/>
  <c r="D9" i="15"/>
  <c r="J9" i="15" s="1"/>
  <c r="C9" i="15"/>
  <c r="B9" i="15"/>
  <c r="A9" i="15"/>
  <c r="J8" i="15"/>
  <c r="I8" i="15"/>
  <c r="H8" i="15"/>
  <c r="G8" i="15"/>
  <c r="F8" i="15"/>
  <c r="E8" i="15"/>
  <c r="D8" i="15"/>
  <c r="C8" i="15"/>
  <c r="B8" i="15"/>
  <c r="A8" i="15"/>
  <c r="O7" i="15"/>
  <c r="K7" i="15"/>
  <c r="J7" i="15"/>
  <c r="I7" i="15"/>
  <c r="H7" i="15"/>
  <c r="G7" i="15"/>
  <c r="F7" i="15"/>
  <c r="E7" i="15"/>
  <c r="D7" i="15"/>
  <c r="L7" i="15" s="1"/>
  <c r="C7" i="15"/>
  <c r="B7" i="15"/>
  <c r="A7" i="15"/>
  <c r="I6" i="15"/>
  <c r="H6" i="15"/>
  <c r="G6" i="15"/>
  <c r="F6" i="15"/>
  <c r="E6" i="15"/>
  <c r="D6" i="15"/>
  <c r="O6" i="15" s="1"/>
  <c r="C6" i="15"/>
  <c r="B6" i="15"/>
  <c r="A6" i="15"/>
  <c r="O5" i="15"/>
  <c r="K5" i="15"/>
  <c r="I5" i="15"/>
  <c r="H5" i="15"/>
  <c r="G5" i="15"/>
  <c r="F5" i="15"/>
  <c r="E5" i="15"/>
  <c r="D5" i="15"/>
  <c r="J5" i="15" s="1"/>
  <c r="C5" i="15"/>
  <c r="B5" i="15"/>
  <c r="A5" i="15"/>
  <c r="J4" i="15"/>
  <c r="I4" i="15"/>
  <c r="H4" i="15"/>
  <c r="G4" i="15"/>
  <c r="F4" i="15"/>
  <c r="E4" i="15"/>
  <c r="D4" i="15"/>
  <c r="C4" i="15"/>
  <c r="B4" i="15"/>
  <c r="A4" i="15"/>
  <c r="O3" i="15"/>
  <c r="K3" i="15"/>
  <c r="J3" i="15"/>
  <c r="I3" i="15"/>
  <c r="H3" i="15"/>
  <c r="G3" i="15"/>
  <c r="F3" i="15"/>
  <c r="E3" i="15"/>
  <c r="D3" i="15"/>
  <c r="L3" i="15" s="1"/>
  <c r="C3" i="15"/>
  <c r="B3" i="15"/>
  <c r="A3" i="15"/>
  <c r="J398" i="21"/>
  <c r="N398" i="21" s="1"/>
  <c r="I398" i="21"/>
  <c r="H398" i="21"/>
  <c r="M398" i="21" s="1"/>
  <c r="G398" i="21"/>
  <c r="F398" i="21"/>
  <c r="E398" i="21"/>
  <c r="D398" i="21"/>
  <c r="C398" i="21"/>
  <c r="B398" i="21"/>
  <c r="A398" i="21"/>
  <c r="L397" i="21"/>
  <c r="J397" i="21"/>
  <c r="I397" i="21"/>
  <c r="H397" i="21"/>
  <c r="G397" i="21"/>
  <c r="K397" i="21" s="1"/>
  <c r="F397" i="21"/>
  <c r="E397" i="21"/>
  <c r="D397" i="21"/>
  <c r="C397" i="21"/>
  <c r="B397" i="21"/>
  <c r="A397" i="21"/>
  <c r="L396" i="21"/>
  <c r="J396" i="21"/>
  <c r="I396" i="21"/>
  <c r="H396" i="21"/>
  <c r="N396" i="21" s="1"/>
  <c r="G396" i="21"/>
  <c r="F396" i="21"/>
  <c r="E396" i="21"/>
  <c r="D396" i="21"/>
  <c r="C396" i="21"/>
  <c r="B396" i="21"/>
  <c r="A396" i="21"/>
  <c r="M395" i="21"/>
  <c r="J395" i="21"/>
  <c r="N395" i="21" s="1"/>
  <c r="I395" i="21"/>
  <c r="H395" i="21"/>
  <c r="G395" i="21"/>
  <c r="F395" i="21"/>
  <c r="E395" i="21"/>
  <c r="D395" i="21"/>
  <c r="C395" i="21"/>
  <c r="B395" i="21"/>
  <c r="A395" i="21"/>
  <c r="N394" i="21"/>
  <c r="J394" i="21"/>
  <c r="I394" i="21"/>
  <c r="M394" i="21" s="1"/>
  <c r="H394" i="21"/>
  <c r="P394" i="21" s="1"/>
  <c r="G394" i="21"/>
  <c r="K394" i="21" s="1"/>
  <c r="F394" i="21"/>
  <c r="E394" i="21"/>
  <c r="D394" i="21"/>
  <c r="C394" i="21"/>
  <c r="B394" i="21"/>
  <c r="A394" i="21"/>
  <c r="L393" i="21"/>
  <c r="J393" i="21"/>
  <c r="I393" i="21"/>
  <c r="H393" i="21"/>
  <c r="G393" i="21"/>
  <c r="K393" i="21" s="1"/>
  <c r="O393" i="21" s="1"/>
  <c r="F393" i="21"/>
  <c r="E393" i="21"/>
  <c r="D393" i="21"/>
  <c r="C393" i="21"/>
  <c r="B393" i="21"/>
  <c r="A393" i="21"/>
  <c r="L392" i="21"/>
  <c r="J392" i="21"/>
  <c r="I392" i="21"/>
  <c r="H392" i="21"/>
  <c r="G392" i="21"/>
  <c r="F392" i="21"/>
  <c r="E392" i="21"/>
  <c r="D392" i="21"/>
  <c r="C392" i="21"/>
  <c r="B392" i="21"/>
  <c r="A392" i="21"/>
  <c r="N391" i="21"/>
  <c r="J391" i="21"/>
  <c r="I391" i="21"/>
  <c r="M391" i="21" s="1"/>
  <c r="H391" i="21"/>
  <c r="G391" i="21"/>
  <c r="F391" i="21"/>
  <c r="E391" i="21"/>
  <c r="D391" i="21"/>
  <c r="C391" i="21"/>
  <c r="B391" i="21"/>
  <c r="A391" i="21"/>
  <c r="J390" i="21"/>
  <c r="N390" i="21" s="1"/>
  <c r="I390" i="21"/>
  <c r="M390" i="21" s="1"/>
  <c r="H390" i="21"/>
  <c r="G390" i="21"/>
  <c r="F390" i="21"/>
  <c r="E390" i="21"/>
  <c r="D390" i="21"/>
  <c r="C390" i="21"/>
  <c r="B390" i="21"/>
  <c r="A390" i="21"/>
  <c r="L389" i="21"/>
  <c r="J389" i="21"/>
  <c r="I389" i="21"/>
  <c r="H389" i="21"/>
  <c r="G389" i="21"/>
  <c r="K389" i="21" s="1"/>
  <c r="F389" i="21"/>
  <c r="E389" i="21"/>
  <c r="D389" i="21"/>
  <c r="C389" i="21"/>
  <c r="B389" i="21"/>
  <c r="A389" i="21"/>
  <c r="L388" i="21"/>
  <c r="J388" i="21"/>
  <c r="I388" i="21"/>
  <c r="H388" i="21"/>
  <c r="N388" i="21" s="1"/>
  <c r="G388" i="21"/>
  <c r="F388" i="21"/>
  <c r="E388" i="21"/>
  <c r="D388" i="21"/>
  <c r="C388" i="21"/>
  <c r="B388" i="21"/>
  <c r="A388" i="21"/>
  <c r="M387" i="21"/>
  <c r="J387" i="21"/>
  <c r="N387" i="21" s="1"/>
  <c r="I387" i="21"/>
  <c r="H387" i="21"/>
  <c r="G387" i="21"/>
  <c r="F387" i="21"/>
  <c r="E387" i="21"/>
  <c r="D387" i="21"/>
  <c r="C387" i="21"/>
  <c r="B387" i="21"/>
  <c r="A387" i="21"/>
  <c r="N386" i="21"/>
  <c r="J386" i="21"/>
  <c r="I386" i="21"/>
  <c r="H386" i="21"/>
  <c r="M386" i="21" s="1"/>
  <c r="G386" i="21"/>
  <c r="K386" i="21" s="1"/>
  <c r="F386" i="21"/>
  <c r="E386" i="21"/>
  <c r="D386" i="21"/>
  <c r="C386" i="21"/>
  <c r="B386" i="21"/>
  <c r="A386" i="21"/>
  <c r="J385" i="21"/>
  <c r="I385" i="21"/>
  <c r="H385" i="21"/>
  <c r="G385" i="21"/>
  <c r="L385" i="21" s="1"/>
  <c r="F385" i="21"/>
  <c r="E385" i="21"/>
  <c r="D385" i="21"/>
  <c r="C385" i="21"/>
  <c r="B385" i="21"/>
  <c r="A385" i="21"/>
  <c r="L384" i="21"/>
  <c r="J384" i="21"/>
  <c r="I384" i="21"/>
  <c r="H384" i="21"/>
  <c r="G384" i="21"/>
  <c r="F384" i="21"/>
  <c r="E384" i="21"/>
  <c r="D384" i="21"/>
  <c r="C384" i="21"/>
  <c r="B384" i="21"/>
  <c r="A384" i="21"/>
  <c r="N383" i="21"/>
  <c r="J383" i="21"/>
  <c r="I383" i="21"/>
  <c r="M383" i="21" s="1"/>
  <c r="H383" i="21"/>
  <c r="G383" i="21"/>
  <c r="F383" i="21"/>
  <c r="E383" i="21"/>
  <c r="D383" i="21"/>
  <c r="C383" i="21"/>
  <c r="B383" i="21"/>
  <c r="A383" i="21"/>
  <c r="J382" i="21"/>
  <c r="N382" i="21" s="1"/>
  <c r="I382" i="21"/>
  <c r="H382" i="21"/>
  <c r="M382" i="21" s="1"/>
  <c r="G382" i="21"/>
  <c r="F382" i="21"/>
  <c r="E382" i="21"/>
  <c r="D382" i="21"/>
  <c r="C382" i="21"/>
  <c r="B382" i="21"/>
  <c r="A382" i="21"/>
  <c r="L381" i="21"/>
  <c r="J381" i="21"/>
  <c r="I381" i="21"/>
  <c r="H381" i="21"/>
  <c r="G381" i="21"/>
  <c r="K381" i="21" s="1"/>
  <c r="F381" i="21"/>
  <c r="E381" i="21"/>
  <c r="D381" i="21"/>
  <c r="C381" i="21"/>
  <c r="B381" i="21"/>
  <c r="A381" i="21"/>
  <c r="L380" i="21"/>
  <c r="J380" i="21"/>
  <c r="I380" i="21"/>
  <c r="H380" i="21"/>
  <c r="N380" i="21" s="1"/>
  <c r="G380" i="21"/>
  <c r="F380" i="21"/>
  <c r="E380" i="21"/>
  <c r="D380" i="21"/>
  <c r="C380" i="21"/>
  <c r="B380" i="21"/>
  <c r="A380" i="21"/>
  <c r="M379" i="21"/>
  <c r="J379" i="21"/>
  <c r="N379" i="21" s="1"/>
  <c r="I379" i="21"/>
  <c r="H379" i="21"/>
  <c r="G379" i="21"/>
  <c r="F379" i="21"/>
  <c r="E379" i="21"/>
  <c r="D379" i="21"/>
  <c r="C379" i="21"/>
  <c r="B379" i="21"/>
  <c r="A379" i="21"/>
  <c r="N378" i="21"/>
  <c r="J378" i="21"/>
  <c r="I378" i="21"/>
  <c r="H378" i="21"/>
  <c r="M378" i="21" s="1"/>
  <c r="G378" i="21"/>
  <c r="K378" i="21" s="1"/>
  <c r="F378" i="21"/>
  <c r="E378" i="21"/>
  <c r="D378" i="21"/>
  <c r="C378" i="21"/>
  <c r="B378" i="21"/>
  <c r="A378" i="21"/>
  <c r="J377" i="21"/>
  <c r="I377" i="21"/>
  <c r="H377" i="21"/>
  <c r="G377" i="21"/>
  <c r="L377" i="21" s="1"/>
  <c r="F377" i="21"/>
  <c r="E377" i="21"/>
  <c r="D377" i="21"/>
  <c r="C377" i="21"/>
  <c r="B377" i="21"/>
  <c r="A377" i="21"/>
  <c r="L376" i="21"/>
  <c r="J376" i="21"/>
  <c r="I376" i="21"/>
  <c r="H376" i="21"/>
  <c r="G376" i="21"/>
  <c r="K376" i="21" s="1"/>
  <c r="F376" i="21"/>
  <c r="E376" i="21"/>
  <c r="D376" i="21"/>
  <c r="C376" i="21"/>
  <c r="B376" i="21"/>
  <c r="A376" i="21"/>
  <c r="N375" i="21"/>
  <c r="J375" i="21"/>
  <c r="I375" i="21"/>
  <c r="M375" i="21" s="1"/>
  <c r="H375" i="21"/>
  <c r="G375" i="21"/>
  <c r="F375" i="21"/>
  <c r="E375" i="21"/>
  <c r="D375" i="21"/>
  <c r="C375" i="21"/>
  <c r="B375" i="21"/>
  <c r="A375" i="21"/>
  <c r="J374" i="21"/>
  <c r="N374" i="21" s="1"/>
  <c r="I374" i="21"/>
  <c r="H374" i="21"/>
  <c r="M374" i="21" s="1"/>
  <c r="G374" i="21"/>
  <c r="F374" i="21"/>
  <c r="E374" i="21"/>
  <c r="D374" i="21"/>
  <c r="C374" i="21"/>
  <c r="B374" i="21"/>
  <c r="A374" i="21"/>
  <c r="L373" i="21"/>
  <c r="J373" i="21"/>
  <c r="I373" i="21"/>
  <c r="H373" i="21"/>
  <c r="G373" i="21"/>
  <c r="K373" i="21" s="1"/>
  <c r="F373" i="21"/>
  <c r="E373" i="21"/>
  <c r="D373" i="21"/>
  <c r="C373" i="21"/>
  <c r="B373" i="21"/>
  <c r="A373" i="21"/>
  <c r="L372" i="21"/>
  <c r="J372" i="21"/>
  <c r="I372" i="21"/>
  <c r="H372" i="21"/>
  <c r="N372" i="21" s="1"/>
  <c r="G372" i="21"/>
  <c r="F372" i="21"/>
  <c r="E372" i="21"/>
  <c r="D372" i="21"/>
  <c r="C372" i="21"/>
  <c r="B372" i="21"/>
  <c r="A372" i="21"/>
  <c r="M371" i="21"/>
  <c r="J371" i="21"/>
  <c r="N371" i="21" s="1"/>
  <c r="I371" i="21"/>
  <c r="H371" i="21"/>
  <c r="G371" i="21"/>
  <c r="F371" i="21"/>
  <c r="E371" i="21"/>
  <c r="D371" i="21"/>
  <c r="C371" i="21"/>
  <c r="B371" i="21"/>
  <c r="A371" i="21"/>
  <c r="N370" i="21"/>
  <c r="J370" i="21"/>
  <c r="I370" i="21"/>
  <c r="H370" i="21"/>
  <c r="M370" i="21" s="1"/>
  <c r="G370" i="21"/>
  <c r="K370" i="21" s="1"/>
  <c r="F370" i="21"/>
  <c r="E370" i="21"/>
  <c r="D370" i="21"/>
  <c r="C370" i="21"/>
  <c r="B370" i="21"/>
  <c r="A370" i="21"/>
  <c r="J369" i="21"/>
  <c r="I369" i="21"/>
  <c r="H369" i="21"/>
  <c r="G369" i="21"/>
  <c r="L369" i="21" s="1"/>
  <c r="F369" i="21"/>
  <c r="E369" i="21"/>
  <c r="D369" i="21"/>
  <c r="C369" i="21"/>
  <c r="B369" i="21"/>
  <c r="A369" i="21"/>
  <c r="L368" i="21"/>
  <c r="J368" i="21"/>
  <c r="I368" i="21"/>
  <c r="H368" i="21"/>
  <c r="G368" i="21"/>
  <c r="F368" i="21"/>
  <c r="E368" i="21"/>
  <c r="D368" i="21"/>
  <c r="C368" i="21"/>
  <c r="B368" i="21"/>
  <c r="A368" i="21"/>
  <c r="N367" i="21"/>
  <c r="J367" i="21"/>
  <c r="I367" i="21"/>
  <c r="M367" i="21" s="1"/>
  <c r="H367" i="21"/>
  <c r="G367" i="21"/>
  <c r="F367" i="21"/>
  <c r="E367" i="21"/>
  <c r="D367" i="21"/>
  <c r="C367" i="21"/>
  <c r="B367" i="21"/>
  <c r="A367" i="21"/>
  <c r="J366" i="21"/>
  <c r="N366" i="21" s="1"/>
  <c r="I366" i="21"/>
  <c r="H366" i="21"/>
  <c r="M366" i="21" s="1"/>
  <c r="G366" i="21"/>
  <c r="F366" i="21"/>
  <c r="E366" i="21"/>
  <c r="D366" i="21"/>
  <c r="C366" i="21"/>
  <c r="B366" i="21"/>
  <c r="A366" i="21"/>
  <c r="L365" i="21"/>
  <c r="J365" i="21"/>
  <c r="I365" i="21"/>
  <c r="H365" i="21"/>
  <c r="G365" i="21"/>
  <c r="K365" i="21" s="1"/>
  <c r="F365" i="21"/>
  <c r="E365" i="21"/>
  <c r="D365" i="21"/>
  <c r="C365" i="21"/>
  <c r="B365" i="21"/>
  <c r="A365" i="21"/>
  <c r="L364" i="21"/>
  <c r="J364" i="21"/>
  <c r="I364" i="21"/>
  <c r="P364" i="21" s="1"/>
  <c r="H364" i="21"/>
  <c r="N364" i="21" s="1"/>
  <c r="G364" i="21"/>
  <c r="F364" i="21"/>
  <c r="E364" i="21"/>
  <c r="D364" i="21"/>
  <c r="C364" i="21"/>
  <c r="B364" i="21"/>
  <c r="A364" i="21"/>
  <c r="M363" i="21"/>
  <c r="J363" i="21"/>
  <c r="N363" i="21" s="1"/>
  <c r="I363" i="21"/>
  <c r="H363" i="21"/>
  <c r="G363" i="21"/>
  <c r="F363" i="21"/>
  <c r="E363" i="21"/>
  <c r="D363" i="21"/>
  <c r="C363" i="21"/>
  <c r="B363" i="21"/>
  <c r="A363" i="21"/>
  <c r="N362" i="21"/>
  <c r="J362" i="21"/>
  <c r="I362" i="21"/>
  <c r="H362" i="21"/>
  <c r="M362" i="21" s="1"/>
  <c r="G362" i="21"/>
  <c r="K362" i="21" s="1"/>
  <c r="F362" i="21"/>
  <c r="E362" i="21"/>
  <c r="D362" i="21"/>
  <c r="C362" i="21"/>
  <c r="B362" i="21"/>
  <c r="A362" i="21"/>
  <c r="P361" i="21"/>
  <c r="J361" i="21"/>
  <c r="I361" i="21"/>
  <c r="H361" i="21"/>
  <c r="G361" i="21"/>
  <c r="L361" i="21" s="1"/>
  <c r="F361" i="21"/>
  <c r="E361" i="21"/>
  <c r="D361" i="21"/>
  <c r="C361" i="21"/>
  <c r="B361" i="21"/>
  <c r="A361" i="21"/>
  <c r="L360" i="21"/>
  <c r="J360" i="21"/>
  <c r="I360" i="21"/>
  <c r="H360" i="21"/>
  <c r="G360" i="21"/>
  <c r="F360" i="21"/>
  <c r="E360" i="21"/>
  <c r="D360" i="21"/>
  <c r="C360" i="21"/>
  <c r="B360" i="21"/>
  <c r="A360" i="21"/>
  <c r="N359" i="21"/>
  <c r="J359" i="21"/>
  <c r="I359" i="21"/>
  <c r="M359" i="21" s="1"/>
  <c r="H359" i="21"/>
  <c r="G359" i="21"/>
  <c r="F359" i="21"/>
  <c r="E359" i="21"/>
  <c r="D359" i="21"/>
  <c r="C359" i="21"/>
  <c r="B359" i="21"/>
  <c r="A359" i="21"/>
  <c r="J358" i="21"/>
  <c r="N358" i="21" s="1"/>
  <c r="I358" i="21"/>
  <c r="H358" i="21"/>
  <c r="M358" i="21" s="1"/>
  <c r="G358" i="21"/>
  <c r="F358" i="21"/>
  <c r="E358" i="21"/>
  <c r="D358" i="21"/>
  <c r="C358" i="21"/>
  <c r="B358" i="21"/>
  <c r="A358" i="21"/>
  <c r="L357" i="21"/>
  <c r="J357" i="21"/>
  <c r="I357" i="21"/>
  <c r="H357" i="21"/>
  <c r="G357" i="21"/>
  <c r="K357" i="21" s="1"/>
  <c r="F357" i="21"/>
  <c r="E357" i="21"/>
  <c r="D357" i="21"/>
  <c r="C357" i="21"/>
  <c r="B357" i="21"/>
  <c r="A357" i="21"/>
  <c r="L356" i="21"/>
  <c r="J356" i="21"/>
  <c r="I356" i="21"/>
  <c r="H356" i="21"/>
  <c r="N356" i="21" s="1"/>
  <c r="G356" i="21"/>
  <c r="F356" i="21"/>
  <c r="E356" i="21"/>
  <c r="D356" i="21"/>
  <c r="C356" i="21"/>
  <c r="B356" i="21"/>
  <c r="A356" i="21"/>
  <c r="M355" i="21"/>
  <c r="J355" i="21"/>
  <c r="N355" i="21" s="1"/>
  <c r="I355" i="21"/>
  <c r="H355" i="21"/>
  <c r="G355" i="21"/>
  <c r="F355" i="21"/>
  <c r="E355" i="21"/>
  <c r="D355" i="21"/>
  <c r="C355" i="21"/>
  <c r="B355" i="21"/>
  <c r="A355" i="21"/>
  <c r="N354" i="21"/>
  <c r="J354" i="21"/>
  <c r="I354" i="21"/>
  <c r="H354" i="21"/>
  <c r="M354" i="21" s="1"/>
  <c r="G354" i="21"/>
  <c r="F354" i="21"/>
  <c r="E354" i="21"/>
  <c r="D354" i="21"/>
  <c r="C354" i="21"/>
  <c r="B354" i="21"/>
  <c r="A354" i="21"/>
  <c r="J353" i="21"/>
  <c r="I353" i="21"/>
  <c r="H353" i="21"/>
  <c r="G353" i="21"/>
  <c r="L353" i="21" s="1"/>
  <c r="F353" i="21"/>
  <c r="E353" i="21"/>
  <c r="D353" i="21"/>
  <c r="C353" i="21"/>
  <c r="B353" i="21"/>
  <c r="A353" i="21"/>
  <c r="L352" i="21"/>
  <c r="J352" i="21"/>
  <c r="I352" i="21"/>
  <c r="H352" i="21"/>
  <c r="G352" i="21"/>
  <c r="F352" i="21"/>
  <c r="E352" i="21"/>
  <c r="D352" i="21"/>
  <c r="C352" i="21"/>
  <c r="B352" i="21"/>
  <c r="A352" i="21"/>
  <c r="N351" i="21"/>
  <c r="J351" i="21"/>
  <c r="I351" i="21"/>
  <c r="M351" i="21" s="1"/>
  <c r="H351" i="21"/>
  <c r="G351" i="21"/>
  <c r="F351" i="21"/>
  <c r="E351" i="21"/>
  <c r="D351" i="21"/>
  <c r="C351" i="21"/>
  <c r="B351" i="21"/>
  <c r="A351" i="21"/>
  <c r="L350" i="21"/>
  <c r="J350" i="21"/>
  <c r="I350" i="21"/>
  <c r="H350" i="21"/>
  <c r="G350" i="21"/>
  <c r="F350" i="21"/>
  <c r="O350" i="21" s="1"/>
  <c r="E350" i="21"/>
  <c r="D350" i="21"/>
  <c r="C350" i="21"/>
  <c r="B350" i="21"/>
  <c r="A350" i="21"/>
  <c r="N349" i="21"/>
  <c r="J349" i="21"/>
  <c r="I349" i="21"/>
  <c r="M349" i="21" s="1"/>
  <c r="H349" i="21"/>
  <c r="G349" i="21"/>
  <c r="F349" i="21"/>
  <c r="E349" i="21"/>
  <c r="D349" i="21"/>
  <c r="C349" i="21"/>
  <c r="B349" i="21"/>
  <c r="A349" i="21"/>
  <c r="J348" i="21"/>
  <c r="N348" i="21" s="1"/>
  <c r="I348" i="21"/>
  <c r="H348" i="21"/>
  <c r="M348" i="21" s="1"/>
  <c r="G348" i="21"/>
  <c r="F348" i="21"/>
  <c r="E348" i="21"/>
  <c r="D348" i="21"/>
  <c r="C348" i="21"/>
  <c r="B348" i="21"/>
  <c r="A348" i="21"/>
  <c r="L347" i="21"/>
  <c r="J347" i="21"/>
  <c r="I347" i="21"/>
  <c r="H347" i="21"/>
  <c r="G347" i="21"/>
  <c r="K347" i="21" s="1"/>
  <c r="F347" i="21"/>
  <c r="E347" i="21"/>
  <c r="D347" i="21"/>
  <c r="C347" i="21"/>
  <c r="B347" i="21"/>
  <c r="A347" i="21"/>
  <c r="L346" i="21"/>
  <c r="J346" i="21"/>
  <c r="I346" i="21"/>
  <c r="H346" i="21"/>
  <c r="N346" i="21" s="1"/>
  <c r="G346" i="21"/>
  <c r="F346" i="21"/>
  <c r="E346" i="21"/>
  <c r="D346" i="21"/>
  <c r="C346" i="21"/>
  <c r="B346" i="21"/>
  <c r="A346" i="21"/>
  <c r="M345" i="21"/>
  <c r="J345" i="21"/>
  <c r="N345" i="21" s="1"/>
  <c r="I345" i="21"/>
  <c r="H345" i="21"/>
  <c r="G345" i="21"/>
  <c r="F345" i="21"/>
  <c r="E345" i="21"/>
  <c r="D345" i="21"/>
  <c r="C345" i="21"/>
  <c r="B345" i="21"/>
  <c r="A345" i="21"/>
  <c r="N344" i="21"/>
  <c r="J344" i="21"/>
  <c r="I344" i="21"/>
  <c r="H344" i="21"/>
  <c r="M344" i="21" s="1"/>
  <c r="G344" i="21"/>
  <c r="K344" i="21" s="1"/>
  <c r="F344" i="21"/>
  <c r="E344" i="21"/>
  <c r="D344" i="21"/>
  <c r="C344" i="21"/>
  <c r="B344" i="21"/>
  <c r="A344" i="21"/>
  <c r="J343" i="21"/>
  <c r="I343" i="21"/>
  <c r="H343" i="21"/>
  <c r="G343" i="21"/>
  <c r="L343" i="21" s="1"/>
  <c r="F343" i="21"/>
  <c r="E343" i="21"/>
  <c r="D343" i="21"/>
  <c r="C343" i="21"/>
  <c r="B343" i="21"/>
  <c r="A343" i="21"/>
  <c r="L342" i="21"/>
  <c r="J342" i="21"/>
  <c r="I342" i="21"/>
  <c r="H342" i="21"/>
  <c r="G342" i="21"/>
  <c r="F342" i="21"/>
  <c r="E342" i="21"/>
  <c r="D342" i="21"/>
  <c r="C342" i="21"/>
  <c r="B342" i="21"/>
  <c r="A342" i="21"/>
  <c r="N341" i="21"/>
  <c r="J341" i="21"/>
  <c r="I341" i="21"/>
  <c r="M341" i="21" s="1"/>
  <c r="H341" i="21"/>
  <c r="G341" i="21"/>
  <c r="F341" i="21"/>
  <c r="E341" i="21"/>
  <c r="D341" i="21"/>
  <c r="C341" i="21"/>
  <c r="B341" i="21"/>
  <c r="A341" i="21"/>
  <c r="J340" i="21"/>
  <c r="N340" i="21" s="1"/>
  <c r="I340" i="21"/>
  <c r="H340" i="21"/>
  <c r="M340" i="21" s="1"/>
  <c r="G340" i="21"/>
  <c r="F340" i="21"/>
  <c r="E340" i="21"/>
  <c r="D340" i="21"/>
  <c r="C340" i="21"/>
  <c r="B340" i="21"/>
  <c r="A340" i="21"/>
  <c r="L339" i="21"/>
  <c r="J339" i="21"/>
  <c r="I339" i="21"/>
  <c r="H339" i="21"/>
  <c r="G339" i="21"/>
  <c r="K339" i="21" s="1"/>
  <c r="F339" i="21"/>
  <c r="E339" i="21"/>
  <c r="D339" i="21"/>
  <c r="C339" i="21"/>
  <c r="B339" i="21"/>
  <c r="A339" i="21"/>
  <c r="L338" i="21"/>
  <c r="J338" i="21"/>
  <c r="I338" i="21"/>
  <c r="H338" i="21"/>
  <c r="N338" i="21" s="1"/>
  <c r="G338" i="21"/>
  <c r="F338" i="21"/>
  <c r="E338" i="21"/>
  <c r="D338" i="21"/>
  <c r="C338" i="21"/>
  <c r="B338" i="21"/>
  <c r="A338" i="21"/>
  <c r="M337" i="21"/>
  <c r="J337" i="21"/>
  <c r="N337" i="21" s="1"/>
  <c r="I337" i="21"/>
  <c r="H337" i="21"/>
  <c r="G337" i="21"/>
  <c r="F337" i="21"/>
  <c r="E337" i="21"/>
  <c r="D337" i="21"/>
  <c r="C337" i="21"/>
  <c r="B337" i="21"/>
  <c r="A337" i="21"/>
  <c r="N336" i="21"/>
  <c r="J336" i="21"/>
  <c r="I336" i="21"/>
  <c r="H336" i="21"/>
  <c r="M336" i="21" s="1"/>
  <c r="G336" i="21"/>
  <c r="K336" i="21" s="1"/>
  <c r="F336" i="21"/>
  <c r="E336" i="21"/>
  <c r="D336" i="21"/>
  <c r="C336" i="21"/>
  <c r="B336" i="21"/>
  <c r="A336" i="21"/>
  <c r="L335" i="21"/>
  <c r="J335" i="21"/>
  <c r="I335" i="21"/>
  <c r="H335" i="21"/>
  <c r="G335" i="21"/>
  <c r="K335" i="21" s="1"/>
  <c r="F335" i="21"/>
  <c r="E335" i="21"/>
  <c r="D335" i="21"/>
  <c r="C335" i="21"/>
  <c r="B335" i="21"/>
  <c r="A335" i="21"/>
  <c r="L334" i="21"/>
  <c r="J334" i="21"/>
  <c r="P334" i="21" s="1"/>
  <c r="I334" i="21"/>
  <c r="H334" i="21"/>
  <c r="N334" i="21" s="1"/>
  <c r="G334" i="21"/>
  <c r="F334" i="21"/>
  <c r="E334" i="21"/>
  <c r="D334" i="21"/>
  <c r="C334" i="21"/>
  <c r="B334" i="21"/>
  <c r="A334" i="21"/>
  <c r="J333" i="21"/>
  <c r="N333" i="21" s="1"/>
  <c r="I333" i="21"/>
  <c r="H333" i="21"/>
  <c r="G333" i="21"/>
  <c r="K333" i="21" s="1"/>
  <c r="O333" i="21" s="1"/>
  <c r="F333" i="21"/>
  <c r="L333" i="21" s="1"/>
  <c r="E333" i="21"/>
  <c r="D333" i="21"/>
  <c r="C333" i="21"/>
  <c r="B333" i="21"/>
  <c r="A333" i="21"/>
  <c r="L332" i="21"/>
  <c r="J332" i="21"/>
  <c r="I332" i="21"/>
  <c r="H332" i="21"/>
  <c r="G332" i="21"/>
  <c r="F332" i="21"/>
  <c r="E332" i="21"/>
  <c r="D332" i="21"/>
  <c r="C332" i="21"/>
  <c r="B332" i="21"/>
  <c r="A332" i="21"/>
  <c r="L331" i="21"/>
  <c r="J331" i="21"/>
  <c r="I331" i="21"/>
  <c r="M331" i="21" s="1"/>
  <c r="H331" i="21"/>
  <c r="G331" i="21"/>
  <c r="F331" i="21"/>
  <c r="E331" i="21"/>
  <c r="D331" i="21"/>
  <c r="C331" i="21"/>
  <c r="B331" i="21"/>
  <c r="A331" i="21"/>
  <c r="J330" i="21"/>
  <c r="N330" i="21" s="1"/>
  <c r="I330" i="21"/>
  <c r="M330" i="21" s="1"/>
  <c r="H330" i="21"/>
  <c r="P330" i="21" s="1"/>
  <c r="G330" i="21"/>
  <c r="F330" i="21"/>
  <c r="E330" i="21"/>
  <c r="D330" i="21"/>
  <c r="C330" i="21"/>
  <c r="B330" i="21"/>
  <c r="A330" i="21"/>
  <c r="O329" i="21"/>
  <c r="J329" i="21"/>
  <c r="N329" i="21" s="1"/>
  <c r="I329" i="21"/>
  <c r="H329" i="21"/>
  <c r="M329" i="21" s="1"/>
  <c r="G329" i="21"/>
  <c r="K329" i="21" s="1"/>
  <c r="F329" i="21"/>
  <c r="L329" i="21" s="1"/>
  <c r="E329" i="21"/>
  <c r="D329" i="21"/>
  <c r="C329" i="21"/>
  <c r="B329" i="21"/>
  <c r="A329" i="21"/>
  <c r="L328" i="21"/>
  <c r="J328" i="21"/>
  <c r="I328" i="21"/>
  <c r="H328" i="21"/>
  <c r="G328" i="21"/>
  <c r="F328" i="21"/>
  <c r="E328" i="21"/>
  <c r="D328" i="21"/>
  <c r="C328" i="21"/>
  <c r="B328" i="21"/>
  <c r="A328" i="21"/>
  <c r="L327" i="21"/>
  <c r="J327" i="21"/>
  <c r="I327" i="21"/>
  <c r="H327" i="21"/>
  <c r="G327" i="21"/>
  <c r="F327" i="21"/>
  <c r="E327" i="21"/>
  <c r="D327" i="21"/>
  <c r="C327" i="21"/>
  <c r="B327" i="21"/>
  <c r="A327" i="21"/>
  <c r="M326" i="21"/>
  <c r="J326" i="21"/>
  <c r="N326" i="21" s="1"/>
  <c r="I326" i="21"/>
  <c r="H326" i="21"/>
  <c r="G326" i="21"/>
  <c r="F326" i="21"/>
  <c r="E326" i="21"/>
  <c r="D326" i="21"/>
  <c r="C326" i="21"/>
  <c r="B326" i="21"/>
  <c r="A326" i="21"/>
  <c r="J325" i="21"/>
  <c r="N325" i="21" s="1"/>
  <c r="I325" i="21"/>
  <c r="H325" i="21"/>
  <c r="M325" i="21" s="1"/>
  <c r="G325" i="21"/>
  <c r="F325" i="21"/>
  <c r="E325" i="21"/>
  <c r="D325" i="21"/>
  <c r="C325" i="21"/>
  <c r="B325" i="21"/>
  <c r="A325" i="21"/>
  <c r="J324" i="21"/>
  <c r="I324" i="21"/>
  <c r="H324" i="21"/>
  <c r="G324" i="21"/>
  <c r="L324" i="21" s="1"/>
  <c r="F324" i="21"/>
  <c r="E324" i="21"/>
  <c r="D324" i="21"/>
  <c r="C324" i="21"/>
  <c r="B324" i="21"/>
  <c r="A324" i="21"/>
  <c r="L323" i="21"/>
  <c r="J323" i="21"/>
  <c r="I323" i="21"/>
  <c r="H323" i="21"/>
  <c r="N323" i="21" s="1"/>
  <c r="G323" i="21"/>
  <c r="F323" i="21"/>
  <c r="E323" i="21"/>
  <c r="D323" i="21"/>
  <c r="C323" i="21"/>
  <c r="B323" i="21"/>
  <c r="A323" i="21"/>
  <c r="N322" i="21"/>
  <c r="M322" i="21"/>
  <c r="J322" i="21"/>
  <c r="I322" i="21"/>
  <c r="H322" i="21"/>
  <c r="P322" i="21" s="1"/>
  <c r="G322" i="21"/>
  <c r="F322" i="21"/>
  <c r="E322" i="21"/>
  <c r="D322" i="21"/>
  <c r="C322" i="21"/>
  <c r="B322" i="21"/>
  <c r="A322" i="21"/>
  <c r="N321" i="21"/>
  <c r="J321" i="21"/>
  <c r="I321" i="21"/>
  <c r="H321" i="21"/>
  <c r="M321" i="21" s="1"/>
  <c r="G321" i="21"/>
  <c r="K321" i="21" s="1"/>
  <c r="F321" i="21"/>
  <c r="E321" i="21"/>
  <c r="D321" i="21"/>
  <c r="C321" i="21"/>
  <c r="B321" i="21"/>
  <c r="A321" i="21"/>
  <c r="J320" i="21"/>
  <c r="I320" i="21"/>
  <c r="H320" i="21"/>
  <c r="G320" i="21"/>
  <c r="F320" i="21"/>
  <c r="E320" i="21"/>
  <c r="D320" i="21"/>
  <c r="C320" i="21"/>
  <c r="B320" i="21"/>
  <c r="A320" i="21"/>
  <c r="L319" i="21"/>
  <c r="J319" i="21"/>
  <c r="I319" i="21"/>
  <c r="H319" i="21"/>
  <c r="N319" i="21" s="1"/>
  <c r="G319" i="21"/>
  <c r="F319" i="21"/>
  <c r="E319" i="21"/>
  <c r="D319" i="21"/>
  <c r="C319" i="21"/>
  <c r="B319" i="21"/>
  <c r="A319" i="21"/>
  <c r="M318" i="21"/>
  <c r="J318" i="21"/>
  <c r="N318" i="21" s="1"/>
  <c r="I318" i="21"/>
  <c r="H318" i="21"/>
  <c r="G318" i="21"/>
  <c r="F318" i="21"/>
  <c r="E318" i="21"/>
  <c r="D318" i="21"/>
  <c r="C318" i="21"/>
  <c r="B318" i="21"/>
  <c r="A318" i="21"/>
  <c r="J317" i="21"/>
  <c r="N317" i="21" s="1"/>
  <c r="I317" i="21"/>
  <c r="H317" i="21"/>
  <c r="M317" i="21" s="1"/>
  <c r="G317" i="21"/>
  <c r="F317" i="21"/>
  <c r="E317" i="21"/>
  <c r="D317" i="21"/>
  <c r="C317" i="21"/>
  <c r="B317" i="21"/>
  <c r="A317" i="21"/>
  <c r="J316" i="21"/>
  <c r="I316" i="21"/>
  <c r="H316" i="21"/>
  <c r="P316" i="21" s="1"/>
  <c r="G316" i="21"/>
  <c r="L316" i="21" s="1"/>
  <c r="F316" i="21"/>
  <c r="E316" i="21"/>
  <c r="D316" i="21"/>
  <c r="C316" i="21"/>
  <c r="B316" i="21"/>
  <c r="A316" i="21"/>
  <c r="L315" i="21"/>
  <c r="J315" i="21"/>
  <c r="I315" i="21"/>
  <c r="P315" i="21" s="1"/>
  <c r="H315" i="21"/>
  <c r="N315" i="21" s="1"/>
  <c r="G315" i="21"/>
  <c r="F315" i="21"/>
  <c r="O315" i="21" s="1"/>
  <c r="Q315" i="21" s="1"/>
  <c r="E315" i="21"/>
  <c r="D315" i="21"/>
  <c r="C315" i="21"/>
  <c r="B315" i="21"/>
  <c r="A315" i="21"/>
  <c r="N314" i="21"/>
  <c r="M314" i="21"/>
  <c r="J314" i="21"/>
  <c r="I314" i="21"/>
  <c r="H314" i="21"/>
  <c r="P314" i="21" s="1"/>
  <c r="G314" i="21"/>
  <c r="F314" i="21"/>
  <c r="E314" i="21"/>
  <c r="D314" i="21"/>
  <c r="C314" i="21"/>
  <c r="B314" i="21"/>
  <c r="A314" i="21"/>
  <c r="N313" i="21"/>
  <c r="J313" i="21"/>
  <c r="I313" i="21"/>
  <c r="H313" i="21"/>
  <c r="M313" i="21" s="1"/>
  <c r="G313" i="21"/>
  <c r="K313" i="21" s="1"/>
  <c r="F313" i="21"/>
  <c r="E313" i="21"/>
  <c r="D313" i="21"/>
  <c r="C313" i="21"/>
  <c r="B313" i="21"/>
  <c r="A313" i="21"/>
  <c r="J312" i="21"/>
  <c r="I312" i="21"/>
  <c r="H312" i="21"/>
  <c r="G312" i="21"/>
  <c r="F312" i="21"/>
  <c r="E312" i="21"/>
  <c r="D312" i="21"/>
  <c r="C312" i="21"/>
  <c r="B312" i="21"/>
  <c r="A312" i="21"/>
  <c r="L311" i="21"/>
  <c r="J311" i="21"/>
  <c r="I311" i="21"/>
  <c r="H311" i="21"/>
  <c r="N311" i="21" s="1"/>
  <c r="G311" i="21"/>
  <c r="F311" i="21"/>
  <c r="E311" i="21"/>
  <c r="D311" i="21"/>
  <c r="C311" i="21"/>
  <c r="B311" i="21"/>
  <c r="A311" i="21"/>
  <c r="J310" i="21"/>
  <c r="N310" i="21" s="1"/>
  <c r="I310" i="21"/>
  <c r="M310" i="21" s="1"/>
  <c r="H310" i="21"/>
  <c r="G310" i="21"/>
  <c r="F310" i="21"/>
  <c r="E310" i="21"/>
  <c r="D310" i="21"/>
  <c r="C310" i="21"/>
  <c r="B310" i="21"/>
  <c r="A310" i="21"/>
  <c r="J309" i="21"/>
  <c r="N309" i="21" s="1"/>
  <c r="I309" i="21"/>
  <c r="H309" i="21"/>
  <c r="M309" i="21" s="1"/>
  <c r="G309" i="21"/>
  <c r="F309" i="21"/>
  <c r="E309" i="21"/>
  <c r="D309" i="21"/>
  <c r="C309" i="21"/>
  <c r="B309" i="21"/>
  <c r="A309" i="21"/>
  <c r="J308" i="21"/>
  <c r="I308" i="21"/>
  <c r="H308" i="21"/>
  <c r="P308" i="21" s="1"/>
  <c r="G308" i="21"/>
  <c r="L308" i="21" s="1"/>
  <c r="F308" i="21"/>
  <c r="E308" i="21"/>
  <c r="D308" i="21"/>
  <c r="C308" i="21"/>
  <c r="B308" i="21"/>
  <c r="A308" i="21"/>
  <c r="L307" i="21"/>
  <c r="J307" i="21"/>
  <c r="I307" i="21"/>
  <c r="H307" i="21"/>
  <c r="N307" i="21" s="1"/>
  <c r="G307" i="21"/>
  <c r="F307" i="21"/>
  <c r="E307" i="21"/>
  <c r="D307" i="21"/>
  <c r="C307" i="21"/>
  <c r="B307" i="21"/>
  <c r="A307" i="21"/>
  <c r="N306" i="21"/>
  <c r="M306" i="21"/>
  <c r="J306" i="21"/>
  <c r="I306" i="21"/>
  <c r="H306" i="21"/>
  <c r="P306" i="21" s="1"/>
  <c r="G306" i="21"/>
  <c r="F306" i="21"/>
  <c r="E306" i="21"/>
  <c r="D306" i="21"/>
  <c r="C306" i="21"/>
  <c r="B306" i="21"/>
  <c r="A306" i="21"/>
  <c r="N305" i="21"/>
  <c r="J305" i="21"/>
  <c r="I305" i="21"/>
  <c r="H305" i="21"/>
  <c r="M305" i="21" s="1"/>
  <c r="G305" i="21"/>
  <c r="K305" i="21" s="1"/>
  <c r="F305" i="21"/>
  <c r="E305" i="21"/>
  <c r="D305" i="21"/>
  <c r="C305" i="21"/>
  <c r="B305" i="21"/>
  <c r="A305" i="21"/>
  <c r="J304" i="21"/>
  <c r="I304" i="21"/>
  <c r="H304" i="21"/>
  <c r="G304" i="21"/>
  <c r="F304" i="21"/>
  <c r="E304" i="21"/>
  <c r="D304" i="21"/>
  <c r="C304" i="21"/>
  <c r="B304" i="21"/>
  <c r="A304" i="21"/>
  <c r="L303" i="21"/>
  <c r="J303" i="21"/>
  <c r="I303" i="21"/>
  <c r="H303" i="21"/>
  <c r="N303" i="21" s="1"/>
  <c r="G303" i="21"/>
  <c r="F303" i="21"/>
  <c r="E303" i="21"/>
  <c r="D303" i="21"/>
  <c r="C303" i="21"/>
  <c r="B303" i="21"/>
  <c r="A303" i="21"/>
  <c r="J302" i="21"/>
  <c r="N302" i="21" s="1"/>
  <c r="I302" i="21"/>
  <c r="M302" i="21" s="1"/>
  <c r="H302" i="21"/>
  <c r="G302" i="21"/>
  <c r="F302" i="21"/>
  <c r="E302" i="21"/>
  <c r="D302" i="21"/>
  <c r="C302" i="21"/>
  <c r="B302" i="21"/>
  <c r="A302" i="21"/>
  <c r="L301" i="21"/>
  <c r="J301" i="21"/>
  <c r="I301" i="21"/>
  <c r="H301" i="21"/>
  <c r="G301" i="21"/>
  <c r="F301" i="21"/>
  <c r="K301" i="21" s="1"/>
  <c r="E301" i="21"/>
  <c r="D301" i="21"/>
  <c r="C301" i="21"/>
  <c r="B301" i="21"/>
  <c r="A301" i="21"/>
  <c r="L300" i="21"/>
  <c r="J300" i="21"/>
  <c r="I300" i="21"/>
  <c r="H300" i="21"/>
  <c r="G300" i="21"/>
  <c r="K300" i="21" s="1"/>
  <c r="O300" i="21" s="1"/>
  <c r="F300" i="21"/>
  <c r="E300" i="21"/>
  <c r="D300" i="21"/>
  <c r="C300" i="21"/>
  <c r="B300" i="21"/>
  <c r="A300" i="21"/>
  <c r="N299" i="21"/>
  <c r="L299" i="21"/>
  <c r="J299" i="21"/>
  <c r="I299" i="21"/>
  <c r="P299" i="21" s="1"/>
  <c r="H299" i="21"/>
  <c r="M299" i="21" s="1"/>
  <c r="G299" i="21"/>
  <c r="F299" i="21"/>
  <c r="E299" i="21"/>
  <c r="D299" i="21"/>
  <c r="C299" i="21"/>
  <c r="B299" i="21"/>
  <c r="A299" i="21"/>
  <c r="M298" i="21"/>
  <c r="J298" i="21"/>
  <c r="N298" i="21" s="1"/>
  <c r="I298" i="21"/>
  <c r="H298" i="21"/>
  <c r="G298" i="21"/>
  <c r="F298" i="21"/>
  <c r="E298" i="21"/>
  <c r="D298" i="21"/>
  <c r="C298" i="21"/>
  <c r="B298" i="21"/>
  <c r="A298" i="21"/>
  <c r="N297" i="21"/>
  <c r="P297" i="21" s="1"/>
  <c r="J297" i="21"/>
  <c r="I297" i="21"/>
  <c r="H297" i="21"/>
  <c r="M297" i="21" s="1"/>
  <c r="G297" i="21"/>
  <c r="L297" i="21" s="1"/>
  <c r="F297" i="21"/>
  <c r="E297" i="21"/>
  <c r="D297" i="21"/>
  <c r="C297" i="21"/>
  <c r="B297" i="21"/>
  <c r="A297" i="21"/>
  <c r="J296" i="21"/>
  <c r="I296" i="21"/>
  <c r="P296" i="21" s="1"/>
  <c r="H296" i="21"/>
  <c r="N296" i="21" s="1"/>
  <c r="G296" i="21"/>
  <c r="L296" i="21" s="1"/>
  <c r="F296" i="21"/>
  <c r="E296" i="21"/>
  <c r="D296" i="21"/>
  <c r="C296" i="21"/>
  <c r="B296" i="21"/>
  <c r="A296" i="21"/>
  <c r="J295" i="21"/>
  <c r="I295" i="21"/>
  <c r="H295" i="21"/>
  <c r="M295" i="21" s="1"/>
  <c r="G295" i="21"/>
  <c r="F295" i="21"/>
  <c r="E295" i="21"/>
  <c r="D295" i="21"/>
  <c r="C295" i="21"/>
  <c r="B295" i="21"/>
  <c r="A295" i="21"/>
  <c r="N294" i="21"/>
  <c r="J294" i="21"/>
  <c r="I294" i="21"/>
  <c r="M294" i="21" s="1"/>
  <c r="H294" i="21"/>
  <c r="G294" i="21"/>
  <c r="K294" i="21" s="1"/>
  <c r="F294" i="21"/>
  <c r="E294" i="21"/>
  <c r="D294" i="21"/>
  <c r="C294" i="21"/>
  <c r="B294" i="21"/>
  <c r="A294" i="21"/>
  <c r="J293" i="21"/>
  <c r="I293" i="21"/>
  <c r="H293" i="21"/>
  <c r="M293" i="21" s="1"/>
  <c r="G293" i="21"/>
  <c r="F293" i="21"/>
  <c r="E293" i="21"/>
  <c r="D293" i="21"/>
  <c r="C293" i="21"/>
  <c r="B293" i="21"/>
  <c r="A293" i="21"/>
  <c r="O292" i="21"/>
  <c r="L292" i="21"/>
  <c r="J292" i="21"/>
  <c r="I292" i="21"/>
  <c r="H292" i="21"/>
  <c r="N292" i="21" s="1"/>
  <c r="G292" i="21"/>
  <c r="K292" i="21" s="1"/>
  <c r="F292" i="21"/>
  <c r="E292" i="21"/>
  <c r="D292" i="21"/>
  <c r="C292" i="21"/>
  <c r="B292" i="21"/>
  <c r="A292" i="21"/>
  <c r="N291" i="21"/>
  <c r="L291" i="21"/>
  <c r="J291" i="21"/>
  <c r="I291" i="21"/>
  <c r="H291" i="21"/>
  <c r="M291" i="21" s="1"/>
  <c r="G291" i="21"/>
  <c r="F291" i="21"/>
  <c r="E291" i="21"/>
  <c r="D291" i="21"/>
  <c r="C291" i="21"/>
  <c r="B291" i="21"/>
  <c r="A291" i="21"/>
  <c r="M290" i="21"/>
  <c r="J290" i="21"/>
  <c r="N290" i="21" s="1"/>
  <c r="I290" i="21"/>
  <c r="H290" i="21"/>
  <c r="P290" i="21" s="1"/>
  <c r="G290" i="21"/>
  <c r="F290" i="21"/>
  <c r="L290" i="21" s="1"/>
  <c r="E290" i="21"/>
  <c r="D290" i="21"/>
  <c r="C290" i="21"/>
  <c r="B290" i="21"/>
  <c r="A290" i="21"/>
  <c r="P289" i="21"/>
  <c r="N289" i="21"/>
  <c r="J289" i="21"/>
  <c r="I289" i="21"/>
  <c r="H289" i="21"/>
  <c r="M289" i="21" s="1"/>
  <c r="G289" i="21"/>
  <c r="K289" i="21" s="1"/>
  <c r="F289" i="21"/>
  <c r="E289" i="21"/>
  <c r="D289" i="21"/>
  <c r="C289" i="21"/>
  <c r="B289" i="21"/>
  <c r="A289" i="21"/>
  <c r="P288" i="21"/>
  <c r="J288" i="21"/>
  <c r="I288" i="21"/>
  <c r="M288" i="21" s="1"/>
  <c r="H288" i="21"/>
  <c r="N288" i="21" s="1"/>
  <c r="G288" i="21"/>
  <c r="F288" i="21"/>
  <c r="E288" i="21"/>
  <c r="D288" i="21"/>
  <c r="C288" i="21"/>
  <c r="B288" i="21"/>
  <c r="A288" i="21"/>
  <c r="J287" i="21"/>
  <c r="I287" i="21"/>
  <c r="H287" i="21"/>
  <c r="G287" i="21"/>
  <c r="F287" i="21"/>
  <c r="E287" i="21"/>
  <c r="D287" i="21"/>
  <c r="C287" i="21"/>
  <c r="B287" i="21"/>
  <c r="A287" i="21"/>
  <c r="J286" i="21"/>
  <c r="N286" i="21" s="1"/>
  <c r="I286" i="21"/>
  <c r="M286" i="21" s="1"/>
  <c r="H286" i="21"/>
  <c r="G286" i="21"/>
  <c r="F286" i="21"/>
  <c r="E286" i="21"/>
  <c r="D286" i="21"/>
  <c r="C286" i="21"/>
  <c r="B286" i="21"/>
  <c r="A286" i="21"/>
  <c r="L285" i="21"/>
  <c r="J285" i="21"/>
  <c r="I285" i="21"/>
  <c r="H285" i="21"/>
  <c r="G285" i="21"/>
  <c r="F285" i="21"/>
  <c r="E285" i="21"/>
  <c r="D285" i="21"/>
  <c r="C285" i="21"/>
  <c r="B285" i="21"/>
  <c r="A285" i="21"/>
  <c r="M284" i="21"/>
  <c r="J284" i="21"/>
  <c r="I284" i="21"/>
  <c r="H284" i="21"/>
  <c r="G284" i="21"/>
  <c r="L284" i="21" s="1"/>
  <c r="F284" i="21"/>
  <c r="E284" i="21"/>
  <c r="D284" i="21"/>
  <c r="C284" i="21"/>
  <c r="B284" i="21"/>
  <c r="A284" i="21"/>
  <c r="J283" i="21"/>
  <c r="N283" i="21" s="1"/>
  <c r="I283" i="21"/>
  <c r="H283" i="21"/>
  <c r="M283" i="21" s="1"/>
  <c r="G283" i="21"/>
  <c r="F283" i="21"/>
  <c r="E283" i="21"/>
  <c r="D283" i="21"/>
  <c r="C283" i="21"/>
  <c r="B283" i="21"/>
  <c r="A283" i="21"/>
  <c r="O282" i="21"/>
  <c r="J282" i="21"/>
  <c r="N282" i="21" s="1"/>
  <c r="I282" i="21"/>
  <c r="M282" i="21" s="1"/>
  <c r="H282" i="21"/>
  <c r="P282" i="21" s="1"/>
  <c r="G282" i="21"/>
  <c r="K282" i="21" s="1"/>
  <c r="F282" i="21"/>
  <c r="L282" i="21" s="1"/>
  <c r="E282" i="21"/>
  <c r="D282" i="21"/>
  <c r="C282" i="21"/>
  <c r="B282" i="21"/>
  <c r="A282" i="21"/>
  <c r="L281" i="21"/>
  <c r="J281" i="21"/>
  <c r="I281" i="21"/>
  <c r="H281" i="21"/>
  <c r="G281" i="21"/>
  <c r="F281" i="21"/>
  <c r="E281" i="21"/>
  <c r="D281" i="21"/>
  <c r="C281" i="21"/>
  <c r="B281" i="21"/>
  <c r="A281" i="21"/>
  <c r="J280" i="21"/>
  <c r="I280" i="21"/>
  <c r="M280" i="21" s="1"/>
  <c r="H280" i="21"/>
  <c r="G280" i="21"/>
  <c r="L280" i="21" s="1"/>
  <c r="F280" i="21"/>
  <c r="E280" i="21"/>
  <c r="D280" i="21"/>
  <c r="C280" i="21"/>
  <c r="B280" i="21"/>
  <c r="A280" i="21"/>
  <c r="N279" i="21"/>
  <c r="J279" i="21"/>
  <c r="I279" i="21"/>
  <c r="H279" i="21"/>
  <c r="M279" i="21" s="1"/>
  <c r="G279" i="21"/>
  <c r="F279" i="21"/>
  <c r="E279" i="21"/>
  <c r="D279" i="21"/>
  <c r="C279" i="21"/>
  <c r="B279" i="21"/>
  <c r="A279" i="21"/>
  <c r="J278" i="21"/>
  <c r="N278" i="21" s="1"/>
  <c r="I278" i="21"/>
  <c r="M278" i="21" s="1"/>
  <c r="H278" i="21"/>
  <c r="G278" i="21"/>
  <c r="K278" i="21" s="1"/>
  <c r="O278" i="21" s="1"/>
  <c r="F278" i="21"/>
  <c r="L278" i="21" s="1"/>
  <c r="E278" i="21"/>
  <c r="D278" i="21"/>
  <c r="C278" i="21"/>
  <c r="B278" i="21"/>
  <c r="A278" i="21"/>
  <c r="L277" i="21"/>
  <c r="J277" i="21"/>
  <c r="I277" i="21"/>
  <c r="H277" i="21"/>
  <c r="G277" i="21"/>
  <c r="F277" i="21"/>
  <c r="E277" i="21"/>
  <c r="D277" i="21"/>
  <c r="C277" i="21"/>
  <c r="B277" i="21"/>
  <c r="A277" i="21"/>
  <c r="J276" i="21"/>
  <c r="I276" i="21"/>
  <c r="M276" i="21" s="1"/>
  <c r="H276" i="21"/>
  <c r="G276" i="21"/>
  <c r="L276" i="21" s="1"/>
  <c r="F276" i="21"/>
  <c r="E276" i="21"/>
  <c r="D276" i="21"/>
  <c r="C276" i="21"/>
  <c r="B276" i="21"/>
  <c r="A276" i="21"/>
  <c r="J275" i="21"/>
  <c r="I275" i="21"/>
  <c r="H275" i="21"/>
  <c r="M275" i="21" s="1"/>
  <c r="G275" i="21"/>
  <c r="F275" i="21"/>
  <c r="E275" i="21"/>
  <c r="D275" i="21"/>
  <c r="C275" i="21"/>
  <c r="B275" i="21"/>
  <c r="A275" i="21"/>
  <c r="M274" i="21"/>
  <c r="J274" i="21"/>
  <c r="N274" i="21" s="1"/>
  <c r="I274" i="21"/>
  <c r="H274" i="21"/>
  <c r="P274" i="21" s="1"/>
  <c r="G274" i="21"/>
  <c r="F274" i="21"/>
  <c r="E274" i="21"/>
  <c r="D274" i="21"/>
  <c r="C274" i="21"/>
  <c r="B274" i="21"/>
  <c r="A274" i="21"/>
  <c r="P273" i="21"/>
  <c r="L273" i="21"/>
  <c r="J273" i="21"/>
  <c r="I273" i="21"/>
  <c r="H273" i="21"/>
  <c r="M273" i="21" s="1"/>
  <c r="G273" i="21"/>
  <c r="F273" i="21"/>
  <c r="E273" i="21"/>
  <c r="D273" i="21"/>
  <c r="C273" i="21"/>
  <c r="B273" i="21"/>
  <c r="A273" i="21"/>
  <c r="J272" i="21"/>
  <c r="I272" i="21"/>
  <c r="M272" i="21" s="1"/>
  <c r="H272" i="21"/>
  <c r="G272" i="21"/>
  <c r="L272" i="21" s="1"/>
  <c r="F272" i="21"/>
  <c r="E272" i="21"/>
  <c r="D272" i="21"/>
  <c r="C272" i="21"/>
  <c r="B272" i="21"/>
  <c r="A272" i="21"/>
  <c r="L271" i="21"/>
  <c r="J271" i="21"/>
  <c r="I271" i="21"/>
  <c r="H271" i="21"/>
  <c r="M271" i="21" s="1"/>
  <c r="G271" i="21"/>
  <c r="F271" i="21"/>
  <c r="E271" i="21"/>
  <c r="D271" i="21"/>
  <c r="C271" i="21"/>
  <c r="B271" i="21"/>
  <c r="A271" i="21"/>
  <c r="J270" i="21"/>
  <c r="N270" i="21" s="1"/>
  <c r="I270" i="21"/>
  <c r="M270" i="21" s="1"/>
  <c r="H270" i="21"/>
  <c r="G270" i="21"/>
  <c r="K270" i="21" s="1"/>
  <c r="O270" i="21" s="1"/>
  <c r="F270" i="21"/>
  <c r="L270" i="21" s="1"/>
  <c r="E270" i="21"/>
  <c r="D270" i="21"/>
  <c r="C270" i="21"/>
  <c r="B270" i="21"/>
  <c r="A270" i="21"/>
  <c r="L269" i="21"/>
  <c r="J269" i="21"/>
  <c r="P269" i="21" s="1"/>
  <c r="I269" i="21"/>
  <c r="H269" i="21"/>
  <c r="M269" i="21" s="1"/>
  <c r="G269" i="21"/>
  <c r="F269" i="21"/>
  <c r="E269" i="21"/>
  <c r="D269" i="21"/>
  <c r="C269" i="21"/>
  <c r="B269" i="21"/>
  <c r="A269" i="21"/>
  <c r="J268" i="21"/>
  <c r="I268" i="21"/>
  <c r="M268" i="21" s="1"/>
  <c r="H268" i="21"/>
  <c r="G268" i="21"/>
  <c r="L268" i="21" s="1"/>
  <c r="F268" i="21"/>
  <c r="E268" i="21"/>
  <c r="D268" i="21"/>
  <c r="C268" i="21"/>
  <c r="B268" i="21"/>
  <c r="A268" i="21"/>
  <c r="J267" i="21"/>
  <c r="I267" i="21"/>
  <c r="H267" i="21"/>
  <c r="M267" i="21" s="1"/>
  <c r="G267" i="21"/>
  <c r="F267" i="21"/>
  <c r="E267" i="21"/>
  <c r="D267" i="21"/>
  <c r="C267" i="21"/>
  <c r="B267" i="21"/>
  <c r="A267" i="21"/>
  <c r="M266" i="21"/>
  <c r="J266" i="21"/>
  <c r="N266" i="21" s="1"/>
  <c r="I266" i="21"/>
  <c r="H266" i="21"/>
  <c r="P266" i="21" s="1"/>
  <c r="G266" i="21"/>
  <c r="F266" i="21"/>
  <c r="E266" i="21"/>
  <c r="D266" i="21"/>
  <c r="C266" i="21"/>
  <c r="B266" i="21"/>
  <c r="A266" i="21"/>
  <c r="P265" i="21"/>
  <c r="L265" i="21"/>
  <c r="J265" i="21"/>
  <c r="I265" i="21"/>
  <c r="H265" i="21"/>
  <c r="M265" i="21" s="1"/>
  <c r="G265" i="21"/>
  <c r="F265" i="21"/>
  <c r="E265" i="21"/>
  <c r="D265" i="21"/>
  <c r="C265" i="21"/>
  <c r="B265" i="21"/>
  <c r="A265" i="21"/>
  <c r="J264" i="21"/>
  <c r="I264" i="21"/>
  <c r="M264" i="21" s="1"/>
  <c r="H264" i="21"/>
  <c r="G264" i="21"/>
  <c r="L264" i="21" s="1"/>
  <c r="F264" i="21"/>
  <c r="E264" i="21"/>
  <c r="D264" i="21"/>
  <c r="C264" i="21"/>
  <c r="B264" i="21"/>
  <c r="A264" i="21"/>
  <c r="L263" i="21"/>
  <c r="J263" i="21"/>
  <c r="I263" i="21"/>
  <c r="H263" i="21"/>
  <c r="M263" i="21" s="1"/>
  <c r="G263" i="21"/>
  <c r="F263" i="21"/>
  <c r="E263" i="21"/>
  <c r="D263" i="21"/>
  <c r="C263" i="21"/>
  <c r="B263" i="21"/>
  <c r="A263" i="21"/>
  <c r="J262" i="21"/>
  <c r="N262" i="21" s="1"/>
  <c r="I262" i="21"/>
  <c r="M262" i="21" s="1"/>
  <c r="H262" i="21"/>
  <c r="G262" i="21"/>
  <c r="K262" i="21" s="1"/>
  <c r="O262" i="21" s="1"/>
  <c r="F262" i="21"/>
  <c r="L262" i="21" s="1"/>
  <c r="E262" i="21"/>
  <c r="D262" i="21"/>
  <c r="C262" i="21"/>
  <c r="B262" i="21"/>
  <c r="A262" i="21"/>
  <c r="L261" i="21"/>
  <c r="J261" i="21"/>
  <c r="I261" i="21"/>
  <c r="H261" i="21"/>
  <c r="M261" i="21" s="1"/>
  <c r="G261" i="21"/>
  <c r="F261" i="21"/>
  <c r="E261" i="21"/>
  <c r="D261" i="21"/>
  <c r="C261" i="21"/>
  <c r="B261" i="21"/>
  <c r="A261" i="21"/>
  <c r="J260" i="21"/>
  <c r="I260" i="21"/>
  <c r="M260" i="21" s="1"/>
  <c r="H260" i="21"/>
  <c r="G260" i="21"/>
  <c r="L260" i="21" s="1"/>
  <c r="F260" i="21"/>
  <c r="E260" i="21"/>
  <c r="D260" i="21"/>
  <c r="C260" i="21"/>
  <c r="B260" i="21"/>
  <c r="A260" i="21"/>
  <c r="J259" i="21"/>
  <c r="I259" i="21"/>
  <c r="H259" i="21"/>
  <c r="M259" i="21" s="1"/>
  <c r="G259" i="21"/>
  <c r="F259" i="21"/>
  <c r="E259" i="21"/>
  <c r="D259" i="21"/>
  <c r="C259" i="21"/>
  <c r="B259" i="21"/>
  <c r="A259" i="21"/>
  <c r="M258" i="21"/>
  <c r="J258" i="21"/>
  <c r="N258" i="21" s="1"/>
  <c r="I258" i="21"/>
  <c r="H258" i="21"/>
  <c r="P258" i="21" s="1"/>
  <c r="G258" i="21"/>
  <c r="F258" i="21"/>
  <c r="E258" i="21"/>
  <c r="D258" i="21"/>
  <c r="C258" i="21"/>
  <c r="B258" i="21"/>
  <c r="A258" i="21"/>
  <c r="L257" i="21"/>
  <c r="J257" i="21"/>
  <c r="I257" i="21"/>
  <c r="H257" i="21"/>
  <c r="M257" i="21" s="1"/>
  <c r="G257" i="21"/>
  <c r="F257" i="21"/>
  <c r="E257" i="21"/>
  <c r="D257" i="21"/>
  <c r="C257" i="21"/>
  <c r="B257" i="21"/>
  <c r="A257" i="21"/>
  <c r="J256" i="21"/>
  <c r="I256" i="21"/>
  <c r="M256" i="21" s="1"/>
  <c r="H256" i="21"/>
  <c r="G256" i="21"/>
  <c r="L256" i="21" s="1"/>
  <c r="F256" i="21"/>
  <c r="E256" i="21"/>
  <c r="D256" i="21"/>
  <c r="C256" i="21"/>
  <c r="B256" i="21"/>
  <c r="A256" i="21"/>
  <c r="L255" i="21"/>
  <c r="J255" i="21"/>
  <c r="I255" i="21"/>
  <c r="H255" i="21"/>
  <c r="M255" i="21" s="1"/>
  <c r="G255" i="21"/>
  <c r="F255" i="21"/>
  <c r="E255" i="21"/>
  <c r="D255" i="21"/>
  <c r="C255" i="21"/>
  <c r="B255" i="21"/>
  <c r="A255" i="21"/>
  <c r="J254" i="21"/>
  <c r="N254" i="21" s="1"/>
  <c r="I254" i="21"/>
  <c r="M254" i="21" s="1"/>
  <c r="H254" i="21"/>
  <c r="G254" i="21"/>
  <c r="K254" i="21" s="1"/>
  <c r="O254" i="21" s="1"/>
  <c r="F254" i="21"/>
  <c r="L254" i="21" s="1"/>
  <c r="E254" i="21"/>
  <c r="D254" i="21"/>
  <c r="C254" i="21"/>
  <c r="B254" i="21"/>
  <c r="A254" i="21"/>
  <c r="L253" i="21"/>
  <c r="J253" i="21"/>
  <c r="P253" i="21" s="1"/>
  <c r="I253" i="21"/>
  <c r="H253" i="21"/>
  <c r="M253" i="21" s="1"/>
  <c r="G253" i="21"/>
  <c r="F253" i="21"/>
  <c r="E253" i="21"/>
  <c r="D253" i="21"/>
  <c r="C253" i="21"/>
  <c r="B253" i="21"/>
  <c r="A253" i="21"/>
  <c r="J252" i="21"/>
  <c r="I252" i="21"/>
  <c r="M252" i="21" s="1"/>
  <c r="H252" i="21"/>
  <c r="G252" i="21"/>
  <c r="L252" i="21" s="1"/>
  <c r="F252" i="21"/>
  <c r="E252" i="21"/>
  <c r="D252" i="21"/>
  <c r="C252" i="21"/>
  <c r="B252" i="21"/>
  <c r="A252" i="21"/>
  <c r="J251" i="21"/>
  <c r="I251" i="21"/>
  <c r="H251" i="21"/>
  <c r="M251" i="21" s="1"/>
  <c r="G251" i="21"/>
  <c r="F251" i="21"/>
  <c r="E251" i="21"/>
  <c r="D251" i="21"/>
  <c r="C251" i="21"/>
  <c r="B251" i="21"/>
  <c r="A251" i="21"/>
  <c r="M250" i="21"/>
  <c r="J250" i="21"/>
  <c r="N250" i="21" s="1"/>
  <c r="I250" i="21"/>
  <c r="H250" i="21"/>
  <c r="P250" i="21" s="1"/>
  <c r="G250" i="21"/>
  <c r="F250" i="21"/>
  <c r="E250" i="21"/>
  <c r="D250" i="21"/>
  <c r="C250" i="21"/>
  <c r="B250" i="21"/>
  <c r="A250" i="21"/>
  <c r="P249" i="21"/>
  <c r="L249" i="21"/>
  <c r="J249" i="21"/>
  <c r="I249" i="21"/>
  <c r="H249" i="21"/>
  <c r="M249" i="21" s="1"/>
  <c r="G249" i="21"/>
  <c r="F249" i="21"/>
  <c r="E249" i="21"/>
  <c r="D249" i="21"/>
  <c r="C249" i="21"/>
  <c r="B249" i="21"/>
  <c r="A249" i="21"/>
  <c r="J248" i="21"/>
  <c r="I248" i="21"/>
  <c r="M248" i="21" s="1"/>
  <c r="H248" i="21"/>
  <c r="G248" i="21"/>
  <c r="L248" i="21" s="1"/>
  <c r="F248" i="21"/>
  <c r="E248" i="21"/>
  <c r="D248" i="21"/>
  <c r="C248" i="21"/>
  <c r="B248" i="21"/>
  <c r="A248" i="21"/>
  <c r="L247" i="21"/>
  <c r="J247" i="21"/>
  <c r="I247" i="21"/>
  <c r="H247" i="21"/>
  <c r="M247" i="21" s="1"/>
  <c r="G247" i="21"/>
  <c r="F247" i="21"/>
  <c r="E247" i="21"/>
  <c r="D247" i="21"/>
  <c r="C247" i="21"/>
  <c r="B247" i="21"/>
  <c r="A247" i="21"/>
  <c r="J246" i="21"/>
  <c r="N246" i="21" s="1"/>
  <c r="I246" i="21"/>
  <c r="M246" i="21" s="1"/>
  <c r="H246" i="21"/>
  <c r="G246" i="21"/>
  <c r="K246" i="21" s="1"/>
  <c r="O246" i="21" s="1"/>
  <c r="F246" i="21"/>
  <c r="L246" i="21" s="1"/>
  <c r="E246" i="21"/>
  <c r="D246" i="21"/>
  <c r="C246" i="21"/>
  <c r="B246" i="21"/>
  <c r="A246" i="21"/>
  <c r="L245" i="21"/>
  <c r="J245" i="21"/>
  <c r="I245" i="21"/>
  <c r="H245" i="21"/>
  <c r="M245" i="21" s="1"/>
  <c r="G245" i="21"/>
  <c r="F245" i="21"/>
  <c r="E245" i="21"/>
  <c r="D245" i="21"/>
  <c r="C245" i="21"/>
  <c r="B245" i="21"/>
  <c r="A245" i="21"/>
  <c r="J244" i="21"/>
  <c r="I244" i="21"/>
  <c r="M244" i="21" s="1"/>
  <c r="H244" i="21"/>
  <c r="G244" i="21"/>
  <c r="L244" i="21" s="1"/>
  <c r="F244" i="21"/>
  <c r="E244" i="21"/>
  <c r="D244" i="21"/>
  <c r="C244" i="21"/>
  <c r="B244" i="21"/>
  <c r="A244" i="21"/>
  <c r="J243" i="21"/>
  <c r="I243" i="21"/>
  <c r="H243" i="21"/>
  <c r="M243" i="21" s="1"/>
  <c r="G243" i="21"/>
  <c r="F243" i="21"/>
  <c r="E243" i="21"/>
  <c r="D243" i="21"/>
  <c r="C243" i="21"/>
  <c r="B243" i="21"/>
  <c r="A243" i="21"/>
  <c r="M242" i="21"/>
  <c r="J242" i="21"/>
  <c r="N242" i="21" s="1"/>
  <c r="I242" i="21"/>
  <c r="H242" i="21"/>
  <c r="P242" i="21" s="1"/>
  <c r="G242" i="21"/>
  <c r="F242" i="21"/>
  <c r="E242" i="21"/>
  <c r="D242" i="21"/>
  <c r="C242" i="21"/>
  <c r="B242" i="21"/>
  <c r="A242" i="21"/>
  <c r="L241" i="21"/>
  <c r="J241" i="21"/>
  <c r="I241" i="21"/>
  <c r="H241" i="21"/>
  <c r="M241" i="21" s="1"/>
  <c r="G241" i="21"/>
  <c r="F241" i="21"/>
  <c r="E241" i="21"/>
  <c r="D241" i="21"/>
  <c r="C241" i="21"/>
  <c r="B241" i="21"/>
  <c r="A241" i="21"/>
  <c r="J240" i="21"/>
  <c r="I240" i="21"/>
  <c r="M240" i="21" s="1"/>
  <c r="H240" i="21"/>
  <c r="G240" i="21"/>
  <c r="L240" i="21" s="1"/>
  <c r="F240" i="21"/>
  <c r="E240" i="21"/>
  <c r="D240" i="21"/>
  <c r="C240" i="21"/>
  <c r="B240" i="21"/>
  <c r="A240" i="21"/>
  <c r="L239" i="21"/>
  <c r="J239" i="21"/>
  <c r="I239" i="21"/>
  <c r="H239" i="21"/>
  <c r="M239" i="21" s="1"/>
  <c r="G239" i="21"/>
  <c r="F239" i="21"/>
  <c r="E239" i="21"/>
  <c r="D239" i="21"/>
  <c r="C239" i="21"/>
  <c r="B239" i="21"/>
  <c r="A239" i="21"/>
  <c r="J238" i="21"/>
  <c r="N238" i="21" s="1"/>
  <c r="I238" i="21"/>
  <c r="M238" i="21" s="1"/>
  <c r="H238" i="21"/>
  <c r="G238" i="21"/>
  <c r="K238" i="21" s="1"/>
  <c r="O238" i="21" s="1"/>
  <c r="F238" i="21"/>
  <c r="L238" i="21" s="1"/>
  <c r="E238" i="21"/>
  <c r="D238" i="21"/>
  <c r="C238" i="21"/>
  <c r="B238" i="21"/>
  <c r="A238" i="21"/>
  <c r="L237" i="21"/>
  <c r="J237" i="21"/>
  <c r="P237" i="21" s="1"/>
  <c r="I237" i="21"/>
  <c r="H237" i="21"/>
  <c r="M237" i="21" s="1"/>
  <c r="G237" i="21"/>
  <c r="F237" i="21"/>
  <c r="E237" i="21"/>
  <c r="D237" i="21"/>
  <c r="C237" i="21"/>
  <c r="B237" i="21"/>
  <c r="A237" i="21"/>
  <c r="J236" i="21"/>
  <c r="I236" i="21"/>
  <c r="M236" i="21" s="1"/>
  <c r="H236" i="21"/>
  <c r="G236" i="21"/>
  <c r="L236" i="21" s="1"/>
  <c r="F236" i="21"/>
  <c r="E236" i="21"/>
  <c r="D236" i="21"/>
  <c r="C236" i="21"/>
  <c r="B236" i="21"/>
  <c r="A236" i="21"/>
  <c r="J235" i="21"/>
  <c r="I235" i="21"/>
  <c r="H235" i="21"/>
  <c r="M235" i="21" s="1"/>
  <c r="G235" i="21"/>
  <c r="F235" i="21"/>
  <c r="E235" i="21"/>
  <c r="D235" i="21"/>
  <c r="C235" i="21"/>
  <c r="B235" i="21"/>
  <c r="A235" i="21"/>
  <c r="M234" i="21"/>
  <c r="J234" i="21"/>
  <c r="N234" i="21" s="1"/>
  <c r="I234" i="21"/>
  <c r="H234" i="21"/>
  <c r="P234" i="21" s="1"/>
  <c r="G234" i="21"/>
  <c r="F234" i="21"/>
  <c r="E234" i="21"/>
  <c r="D234" i="21"/>
  <c r="C234" i="21"/>
  <c r="B234" i="21"/>
  <c r="A234" i="21"/>
  <c r="P233" i="21"/>
  <c r="L233" i="21"/>
  <c r="J233" i="21"/>
  <c r="I233" i="21"/>
  <c r="H233" i="21"/>
  <c r="M233" i="21" s="1"/>
  <c r="G233" i="21"/>
  <c r="F233" i="21"/>
  <c r="E233" i="21"/>
  <c r="D233" i="21"/>
  <c r="C233" i="21"/>
  <c r="B233" i="21"/>
  <c r="A233" i="21"/>
  <c r="J232" i="21"/>
  <c r="I232" i="21"/>
  <c r="M232" i="21" s="1"/>
  <c r="H232" i="21"/>
  <c r="G232" i="21"/>
  <c r="L232" i="21" s="1"/>
  <c r="F232" i="21"/>
  <c r="E232" i="21"/>
  <c r="D232" i="21"/>
  <c r="C232" i="21"/>
  <c r="B232" i="21"/>
  <c r="A232" i="21"/>
  <c r="L231" i="21"/>
  <c r="J231" i="21"/>
  <c r="I231" i="21"/>
  <c r="H231" i="21"/>
  <c r="M231" i="21" s="1"/>
  <c r="G231" i="21"/>
  <c r="F231" i="21"/>
  <c r="E231" i="21"/>
  <c r="D231" i="21"/>
  <c r="C231" i="21"/>
  <c r="B231" i="21"/>
  <c r="A231" i="21"/>
  <c r="J230" i="21"/>
  <c r="N230" i="21" s="1"/>
  <c r="I230" i="21"/>
  <c r="M230" i="21" s="1"/>
  <c r="H230" i="21"/>
  <c r="G230" i="21"/>
  <c r="K230" i="21" s="1"/>
  <c r="O230" i="21" s="1"/>
  <c r="F230" i="21"/>
  <c r="L230" i="21" s="1"/>
  <c r="E230" i="21"/>
  <c r="D230" i="21"/>
  <c r="C230" i="21"/>
  <c r="B230" i="21"/>
  <c r="A230" i="21"/>
  <c r="L229" i="21"/>
  <c r="J229" i="21"/>
  <c r="I229" i="21"/>
  <c r="H229" i="21"/>
  <c r="M229" i="21" s="1"/>
  <c r="G229" i="21"/>
  <c r="F229" i="21"/>
  <c r="E229" i="21"/>
  <c r="D229" i="21"/>
  <c r="C229" i="21"/>
  <c r="B229" i="21"/>
  <c r="A229" i="21"/>
  <c r="J228" i="21"/>
  <c r="I228" i="21"/>
  <c r="M228" i="21" s="1"/>
  <c r="H228" i="21"/>
  <c r="G228" i="21"/>
  <c r="L228" i="21" s="1"/>
  <c r="F228" i="21"/>
  <c r="E228" i="21"/>
  <c r="D228" i="21"/>
  <c r="C228" i="21"/>
  <c r="B228" i="21"/>
  <c r="A228" i="21"/>
  <c r="J227" i="21"/>
  <c r="P227" i="21" s="1"/>
  <c r="I227" i="21"/>
  <c r="H227" i="21"/>
  <c r="M227" i="21" s="1"/>
  <c r="G227" i="21"/>
  <c r="F227" i="21"/>
  <c r="E227" i="21"/>
  <c r="D227" i="21"/>
  <c r="C227" i="21"/>
  <c r="B227" i="21"/>
  <c r="A227" i="21"/>
  <c r="M226" i="21"/>
  <c r="J226" i="21"/>
  <c r="N226" i="21" s="1"/>
  <c r="I226" i="21"/>
  <c r="H226" i="21"/>
  <c r="G226" i="21"/>
  <c r="F226" i="21"/>
  <c r="E226" i="21"/>
  <c r="D226" i="21"/>
  <c r="C226" i="21"/>
  <c r="B226" i="21"/>
  <c r="A226" i="21"/>
  <c r="L225" i="21"/>
  <c r="J225" i="21"/>
  <c r="I225" i="21"/>
  <c r="H225" i="21"/>
  <c r="M225" i="21" s="1"/>
  <c r="G225" i="21"/>
  <c r="F225" i="21"/>
  <c r="E225" i="21"/>
  <c r="D225" i="21"/>
  <c r="C225" i="21"/>
  <c r="B225" i="21"/>
  <c r="A225" i="21"/>
  <c r="J224" i="21"/>
  <c r="I224" i="21"/>
  <c r="M224" i="21" s="1"/>
  <c r="H224" i="21"/>
  <c r="G224" i="21"/>
  <c r="F224" i="21"/>
  <c r="E224" i="21"/>
  <c r="D224" i="21"/>
  <c r="C224" i="21"/>
  <c r="B224" i="21"/>
  <c r="A224" i="21"/>
  <c r="J223" i="21"/>
  <c r="N223" i="21" s="1"/>
  <c r="I223" i="21"/>
  <c r="M223" i="21" s="1"/>
  <c r="P223" i="21" s="1"/>
  <c r="H223" i="21"/>
  <c r="G223" i="21"/>
  <c r="K223" i="21" s="1"/>
  <c r="F223" i="21"/>
  <c r="E223" i="21"/>
  <c r="D223" i="21"/>
  <c r="C223" i="21"/>
  <c r="B223" i="21"/>
  <c r="A223" i="21"/>
  <c r="L222" i="21"/>
  <c r="J222" i="21"/>
  <c r="I222" i="21"/>
  <c r="H222" i="21"/>
  <c r="G222" i="21"/>
  <c r="F222" i="21"/>
  <c r="E222" i="21"/>
  <c r="D222" i="21"/>
  <c r="C222" i="21"/>
  <c r="B222" i="21"/>
  <c r="A222" i="21"/>
  <c r="M221" i="21"/>
  <c r="L221" i="21"/>
  <c r="J221" i="21"/>
  <c r="I221" i="21"/>
  <c r="H221" i="21"/>
  <c r="N221" i="21" s="1"/>
  <c r="G221" i="21"/>
  <c r="F221" i="21"/>
  <c r="E221" i="21"/>
  <c r="D221" i="21"/>
  <c r="C221" i="21"/>
  <c r="B221" i="21"/>
  <c r="A221" i="21"/>
  <c r="N220" i="21"/>
  <c r="J220" i="21"/>
  <c r="I220" i="21"/>
  <c r="M220" i="21" s="1"/>
  <c r="H220" i="21"/>
  <c r="G220" i="21"/>
  <c r="F220" i="21"/>
  <c r="E220" i="21"/>
  <c r="D220" i="21"/>
  <c r="C220" i="21"/>
  <c r="B220" i="21"/>
  <c r="A220" i="21"/>
  <c r="J219" i="21"/>
  <c r="N219" i="21" s="1"/>
  <c r="I219" i="21"/>
  <c r="M219" i="21" s="1"/>
  <c r="H219" i="21"/>
  <c r="G219" i="21"/>
  <c r="F219" i="21"/>
  <c r="L219" i="21" s="1"/>
  <c r="E219" i="21"/>
  <c r="D219" i="21"/>
  <c r="C219" i="21"/>
  <c r="B219" i="21"/>
  <c r="A219" i="21"/>
  <c r="J218" i="21"/>
  <c r="I218" i="21"/>
  <c r="H218" i="21"/>
  <c r="G218" i="21"/>
  <c r="F218" i="21"/>
  <c r="E218" i="21"/>
  <c r="D218" i="21"/>
  <c r="C218" i="21"/>
  <c r="B218" i="21"/>
  <c r="A218" i="21"/>
  <c r="L217" i="21"/>
  <c r="J217" i="21"/>
  <c r="I217" i="21"/>
  <c r="H217" i="21"/>
  <c r="N217" i="21" s="1"/>
  <c r="G217" i="21"/>
  <c r="F217" i="21"/>
  <c r="E217" i="21"/>
  <c r="D217" i="21"/>
  <c r="C217" i="21"/>
  <c r="B217" i="21"/>
  <c r="A217" i="21"/>
  <c r="J216" i="21"/>
  <c r="N216" i="21" s="1"/>
  <c r="I216" i="21"/>
  <c r="M216" i="21" s="1"/>
  <c r="H216" i="21"/>
  <c r="G216" i="21"/>
  <c r="F216" i="21"/>
  <c r="E216" i="21"/>
  <c r="D216" i="21"/>
  <c r="C216" i="21"/>
  <c r="B216" i="21"/>
  <c r="A216" i="21"/>
  <c r="J215" i="21"/>
  <c r="N215" i="21" s="1"/>
  <c r="I215" i="21"/>
  <c r="M215" i="21" s="1"/>
  <c r="H215" i="21"/>
  <c r="G215" i="21"/>
  <c r="K215" i="21" s="1"/>
  <c r="F215" i="21"/>
  <c r="E215" i="21"/>
  <c r="D215" i="21"/>
  <c r="C215" i="21"/>
  <c r="B215" i="21"/>
  <c r="A215" i="21"/>
  <c r="L214" i="21"/>
  <c r="J214" i="21"/>
  <c r="I214" i="21"/>
  <c r="H214" i="21"/>
  <c r="G214" i="21"/>
  <c r="K214" i="21" s="1"/>
  <c r="O214" i="21" s="1"/>
  <c r="F214" i="21"/>
  <c r="E214" i="21"/>
  <c r="D214" i="21"/>
  <c r="C214" i="21"/>
  <c r="B214" i="21"/>
  <c r="A214" i="21"/>
  <c r="L213" i="21"/>
  <c r="J213" i="21"/>
  <c r="I213" i="21"/>
  <c r="H213" i="21"/>
  <c r="N213" i="21" s="1"/>
  <c r="G213" i="21"/>
  <c r="F213" i="21"/>
  <c r="E213" i="21"/>
  <c r="D213" i="21"/>
  <c r="C213" i="21"/>
  <c r="B213" i="21"/>
  <c r="A213" i="21"/>
  <c r="N212" i="21"/>
  <c r="M212" i="21"/>
  <c r="J212" i="21"/>
  <c r="I212" i="21"/>
  <c r="H212" i="21"/>
  <c r="P212" i="21" s="1"/>
  <c r="G212" i="21"/>
  <c r="F212" i="21"/>
  <c r="E212" i="21"/>
  <c r="D212" i="21"/>
  <c r="C212" i="21"/>
  <c r="B212" i="21"/>
  <c r="A212" i="21"/>
  <c r="N211" i="21"/>
  <c r="J211" i="21"/>
  <c r="I211" i="21"/>
  <c r="M211" i="21" s="1"/>
  <c r="H211" i="21"/>
  <c r="G211" i="21"/>
  <c r="K211" i="21" s="1"/>
  <c r="F211" i="21"/>
  <c r="E211" i="21"/>
  <c r="D211" i="21"/>
  <c r="C211" i="21"/>
  <c r="B211" i="21"/>
  <c r="A211" i="21"/>
  <c r="P210" i="21"/>
  <c r="J210" i="21"/>
  <c r="I210" i="21"/>
  <c r="H210" i="21"/>
  <c r="G210" i="21"/>
  <c r="F210" i="21"/>
  <c r="E210" i="21"/>
  <c r="D210" i="21"/>
  <c r="C210" i="21"/>
  <c r="B210" i="21"/>
  <c r="A210" i="21"/>
  <c r="L209" i="21"/>
  <c r="J209" i="21"/>
  <c r="I209" i="21"/>
  <c r="P209" i="21" s="1"/>
  <c r="H209" i="21"/>
  <c r="N209" i="21" s="1"/>
  <c r="G209" i="21"/>
  <c r="F209" i="21"/>
  <c r="E209" i="21"/>
  <c r="D209" i="21"/>
  <c r="C209" i="21"/>
  <c r="B209" i="21"/>
  <c r="A209" i="21"/>
  <c r="J208" i="21"/>
  <c r="N208" i="21" s="1"/>
  <c r="I208" i="21"/>
  <c r="M208" i="21" s="1"/>
  <c r="H208" i="21"/>
  <c r="G208" i="21"/>
  <c r="F208" i="21"/>
  <c r="E208" i="21"/>
  <c r="D208" i="21"/>
  <c r="C208" i="21"/>
  <c r="B208" i="21"/>
  <c r="A208" i="21"/>
  <c r="J207" i="21"/>
  <c r="N207" i="21" s="1"/>
  <c r="I207" i="21"/>
  <c r="M207" i="21" s="1"/>
  <c r="H207" i="21"/>
  <c r="G207" i="21"/>
  <c r="K207" i="21" s="1"/>
  <c r="F207" i="21"/>
  <c r="E207" i="21"/>
  <c r="D207" i="21"/>
  <c r="C207" i="21"/>
  <c r="B207" i="21"/>
  <c r="A207" i="21"/>
  <c r="L206" i="21"/>
  <c r="J206" i="21"/>
  <c r="I206" i="21"/>
  <c r="H206" i="21"/>
  <c r="G206" i="21"/>
  <c r="K206" i="21" s="1"/>
  <c r="O206" i="21" s="1"/>
  <c r="F206" i="21"/>
  <c r="E206" i="21"/>
  <c r="D206" i="21"/>
  <c r="C206" i="21"/>
  <c r="B206" i="21"/>
  <c r="A206" i="21"/>
  <c r="L205" i="21"/>
  <c r="J205" i="21"/>
  <c r="I205" i="21"/>
  <c r="H205" i="21"/>
  <c r="N205" i="21" s="1"/>
  <c r="G205" i="21"/>
  <c r="F205" i="21"/>
  <c r="E205" i="21"/>
  <c r="D205" i="21"/>
  <c r="C205" i="21"/>
  <c r="B205" i="21"/>
  <c r="A205" i="21"/>
  <c r="N204" i="21"/>
  <c r="M204" i="21"/>
  <c r="J204" i="21"/>
  <c r="I204" i="21"/>
  <c r="H204" i="21"/>
  <c r="P204" i="21" s="1"/>
  <c r="G204" i="21"/>
  <c r="F204" i="21"/>
  <c r="E204" i="21"/>
  <c r="D204" i="21"/>
  <c r="C204" i="21"/>
  <c r="B204" i="21"/>
  <c r="A204" i="21"/>
  <c r="N203" i="21"/>
  <c r="J203" i="21"/>
  <c r="I203" i="21"/>
  <c r="M203" i="21" s="1"/>
  <c r="H203" i="21"/>
  <c r="G203" i="21"/>
  <c r="K203" i="21" s="1"/>
  <c r="F203" i="21"/>
  <c r="E203" i="21"/>
  <c r="D203" i="21"/>
  <c r="C203" i="21"/>
  <c r="B203" i="21"/>
  <c r="A203" i="21"/>
  <c r="J202" i="21"/>
  <c r="I202" i="21"/>
  <c r="H202" i="21"/>
  <c r="G202" i="21"/>
  <c r="F202" i="21"/>
  <c r="E202" i="21"/>
  <c r="D202" i="21"/>
  <c r="C202" i="21"/>
  <c r="B202" i="21"/>
  <c r="A202" i="21"/>
  <c r="L201" i="21"/>
  <c r="J201" i="21"/>
  <c r="I201" i="21"/>
  <c r="H201" i="21"/>
  <c r="N201" i="21" s="1"/>
  <c r="G201" i="21"/>
  <c r="F201" i="21"/>
  <c r="E201" i="21"/>
  <c r="D201" i="21"/>
  <c r="C201" i="21"/>
  <c r="B201" i="21"/>
  <c r="A201" i="21"/>
  <c r="J200" i="21"/>
  <c r="N200" i="21" s="1"/>
  <c r="I200" i="21"/>
  <c r="M200" i="21" s="1"/>
  <c r="H200" i="21"/>
  <c r="G200" i="21"/>
  <c r="F200" i="21"/>
  <c r="E200" i="21"/>
  <c r="D200" i="21"/>
  <c r="C200" i="21"/>
  <c r="B200" i="21"/>
  <c r="A200" i="21"/>
  <c r="J199" i="21"/>
  <c r="N199" i="21" s="1"/>
  <c r="I199" i="21"/>
  <c r="M199" i="21" s="1"/>
  <c r="H199" i="21"/>
  <c r="G199" i="21"/>
  <c r="K199" i="21" s="1"/>
  <c r="F199" i="21"/>
  <c r="E199" i="21"/>
  <c r="D199" i="21"/>
  <c r="C199" i="21"/>
  <c r="B199" i="21"/>
  <c r="A199" i="21"/>
  <c r="J198" i="21"/>
  <c r="N198" i="21" s="1"/>
  <c r="I198" i="21"/>
  <c r="H198" i="21"/>
  <c r="M198" i="21" s="1"/>
  <c r="G198" i="21"/>
  <c r="F198" i="21"/>
  <c r="L198" i="21" s="1"/>
  <c r="E198" i="21"/>
  <c r="D198" i="21"/>
  <c r="C198" i="21"/>
  <c r="B198" i="21"/>
  <c r="A198" i="21"/>
  <c r="O197" i="21"/>
  <c r="L197" i="21"/>
  <c r="J197" i="21"/>
  <c r="I197" i="21"/>
  <c r="M197" i="21" s="1"/>
  <c r="H197" i="21"/>
  <c r="N197" i="21" s="1"/>
  <c r="G197" i="21"/>
  <c r="K197" i="21" s="1"/>
  <c r="F197" i="21"/>
  <c r="E197" i="21"/>
  <c r="D197" i="21"/>
  <c r="C197" i="21"/>
  <c r="B197" i="21"/>
  <c r="A197" i="21"/>
  <c r="L196" i="21"/>
  <c r="J196" i="21"/>
  <c r="I196" i="21"/>
  <c r="H196" i="21"/>
  <c r="M196" i="21" s="1"/>
  <c r="G196" i="21"/>
  <c r="F196" i="21"/>
  <c r="E196" i="21"/>
  <c r="D196" i="21"/>
  <c r="C196" i="21"/>
  <c r="B196" i="21"/>
  <c r="A196" i="21"/>
  <c r="J195" i="21"/>
  <c r="N195" i="21" s="1"/>
  <c r="I195" i="21"/>
  <c r="M195" i="21" s="1"/>
  <c r="H195" i="21"/>
  <c r="G195" i="21"/>
  <c r="F195" i="21"/>
  <c r="L195" i="21" s="1"/>
  <c r="E195" i="21"/>
  <c r="D195" i="21"/>
  <c r="C195" i="21"/>
  <c r="B195" i="21"/>
  <c r="A195" i="21"/>
  <c r="J194" i="21"/>
  <c r="N194" i="21" s="1"/>
  <c r="I194" i="21"/>
  <c r="M194" i="21" s="1"/>
  <c r="H194" i="21"/>
  <c r="P194" i="21" s="1"/>
  <c r="G194" i="21"/>
  <c r="F194" i="21"/>
  <c r="L194" i="21" s="1"/>
  <c r="E194" i="21"/>
  <c r="D194" i="21"/>
  <c r="C194" i="21"/>
  <c r="B194" i="21"/>
  <c r="A194" i="21"/>
  <c r="J193" i="21"/>
  <c r="I193" i="21"/>
  <c r="H193" i="21"/>
  <c r="N193" i="21" s="1"/>
  <c r="G193" i="21"/>
  <c r="F193" i="21"/>
  <c r="E193" i="21"/>
  <c r="D193" i="21"/>
  <c r="C193" i="21"/>
  <c r="B193" i="21"/>
  <c r="A193" i="21"/>
  <c r="L192" i="21"/>
  <c r="J192" i="21"/>
  <c r="I192" i="21"/>
  <c r="H192" i="21"/>
  <c r="P192" i="21" s="1"/>
  <c r="G192" i="21"/>
  <c r="F192" i="21"/>
  <c r="E192" i="21"/>
  <c r="D192" i="21"/>
  <c r="C192" i="21"/>
  <c r="B192" i="21"/>
  <c r="A192" i="21"/>
  <c r="J191" i="21"/>
  <c r="I191" i="21"/>
  <c r="M191" i="21" s="1"/>
  <c r="H191" i="21"/>
  <c r="G191" i="21"/>
  <c r="F191" i="21"/>
  <c r="L191" i="21" s="1"/>
  <c r="E191" i="21"/>
  <c r="D191" i="21"/>
  <c r="C191" i="21"/>
  <c r="B191" i="21"/>
  <c r="A191" i="21"/>
  <c r="J190" i="21"/>
  <c r="N190" i="21" s="1"/>
  <c r="I190" i="21"/>
  <c r="M190" i="21" s="1"/>
  <c r="H190" i="21"/>
  <c r="P190" i="21" s="1"/>
  <c r="G190" i="21"/>
  <c r="F190" i="21"/>
  <c r="L190" i="21" s="1"/>
  <c r="E190" i="21"/>
  <c r="D190" i="21"/>
  <c r="C190" i="21"/>
  <c r="B190" i="21"/>
  <c r="A190" i="21"/>
  <c r="J189" i="21"/>
  <c r="I189" i="21"/>
  <c r="H189" i="21"/>
  <c r="N189" i="21" s="1"/>
  <c r="G189" i="21"/>
  <c r="F189" i="21"/>
  <c r="L189" i="21" s="1"/>
  <c r="E189" i="21"/>
  <c r="D189" i="21"/>
  <c r="C189" i="21"/>
  <c r="B189" i="21"/>
  <c r="A189" i="21"/>
  <c r="L188" i="21"/>
  <c r="J188" i="21"/>
  <c r="I188" i="21"/>
  <c r="H188" i="21"/>
  <c r="G188" i="21"/>
  <c r="F188" i="21"/>
  <c r="E188" i="21"/>
  <c r="D188" i="21"/>
  <c r="C188" i="21"/>
  <c r="B188" i="21"/>
  <c r="A188" i="21"/>
  <c r="L187" i="21"/>
  <c r="J187" i="21"/>
  <c r="I187" i="21"/>
  <c r="M187" i="21" s="1"/>
  <c r="H187" i="21"/>
  <c r="G187" i="21"/>
  <c r="F187" i="21"/>
  <c r="E187" i="21"/>
  <c r="D187" i="21"/>
  <c r="C187" i="21"/>
  <c r="B187" i="21"/>
  <c r="A187" i="21"/>
  <c r="J186" i="21"/>
  <c r="N186" i="21" s="1"/>
  <c r="I186" i="21"/>
  <c r="M186" i="21" s="1"/>
  <c r="H186" i="21"/>
  <c r="G186" i="21"/>
  <c r="F186" i="21"/>
  <c r="L186" i="21" s="1"/>
  <c r="E186" i="21"/>
  <c r="D186" i="21"/>
  <c r="C186" i="21"/>
  <c r="B186" i="21"/>
  <c r="A186" i="21"/>
  <c r="J185" i="21"/>
  <c r="N185" i="21" s="1"/>
  <c r="I185" i="21"/>
  <c r="H185" i="21"/>
  <c r="M185" i="21" s="1"/>
  <c r="G185" i="21"/>
  <c r="F185" i="21"/>
  <c r="L185" i="21" s="1"/>
  <c r="E185" i="21"/>
  <c r="D185" i="21"/>
  <c r="C185" i="21"/>
  <c r="B185" i="21"/>
  <c r="A185" i="21"/>
  <c r="L184" i="21"/>
  <c r="J184" i="21"/>
  <c r="I184" i="21"/>
  <c r="H184" i="21"/>
  <c r="P184" i="21" s="1"/>
  <c r="G184" i="21"/>
  <c r="F184" i="21"/>
  <c r="E184" i="21"/>
  <c r="D184" i="21"/>
  <c r="C184" i="21"/>
  <c r="B184" i="21"/>
  <c r="A184" i="21"/>
  <c r="L183" i="21"/>
  <c r="J183" i="21"/>
  <c r="I183" i="21"/>
  <c r="M183" i="21" s="1"/>
  <c r="H183" i="21"/>
  <c r="P183" i="21" s="1"/>
  <c r="G183" i="21"/>
  <c r="F183" i="21"/>
  <c r="E183" i="21"/>
  <c r="D183" i="21"/>
  <c r="C183" i="21"/>
  <c r="B183" i="21"/>
  <c r="A183" i="21"/>
  <c r="J182" i="21"/>
  <c r="N182" i="21" s="1"/>
  <c r="I182" i="21"/>
  <c r="M182" i="21" s="1"/>
  <c r="H182" i="21"/>
  <c r="P182" i="21" s="1"/>
  <c r="G182" i="21"/>
  <c r="F182" i="21"/>
  <c r="L182" i="21" s="1"/>
  <c r="E182" i="21"/>
  <c r="D182" i="21"/>
  <c r="C182" i="21"/>
  <c r="B182" i="21"/>
  <c r="A182" i="21"/>
  <c r="J181" i="21"/>
  <c r="N181" i="21" s="1"/>
  <c r="I181" i="21"/>
  <c r="H181" i="21"/>
  <c r="M181" i="21" s="1"/>
  <c r="G181" i="21"/>
  <c r="F181" i="21"/>
  <c r="L181" i="21" s="1"/>
  <c r="E181" i="21"/>
  <c r="D181" i="21"/>
  <c r="C181" i="21"/>
  <c r="B181" i="21"/>
  <c r="A181" i="21"/>
  <c r="L180" i="21"/>
  <c r="J180" i="21"/>
  <c r="I180" i="21"/>
  <c r="H180" i="21"/>
  <c r="G180" i="21"/>
  <c r="F180" i="21"/>
  <c r="E180" i="21"/>
  <c r="D180" i="21"/>
  <c r="C180" i="21"/>
  <c r="B180" i="21"/>
  <c r="A180" i="21"/>
  <c r="L179" i="21"/>
  <c r="J179" i="21"/>
  <c r="I179" i="21"/>
  <c r="M179" i="21" s="1"/>
  <c r="H179" i="21"/>
  <c r="P179" i="21" s="1"/>
  <c r="G179" i="21"/>
  <c r="F179" i="21"/>
  <c r="E179" i="21"/>
  <c r="D179" i="21"/>
  <c r="C179" i="21"/>
  <c r="B179" i="21"/>
  <c r="A179" i="21"/>
  <c r="J178" i="21"/>
  <c r="N178" i="21" s="1"/>
  <c r="I178" i="21"/>
  <c r="M178" i="21" s="1"/>
  <c r="H178" i="21"/>
  <c r="P178" i="21" s="1"/>
  <c r="G178" i="21"/>
  <c r="F178" i="21"/>
  <c r="L178" i="21" s="1"/>
  <c r="E178" i="21"/>
  <c r="D178" i="21"/>
  <c r="C178" i="21"/>
  <c r="B178" i="21"/>
  <c r="A178" i="21"/>
  <c r="J177" i="21"/>
  <c r="N177" i="21" s="1"/>
  <c r="I177" i="21"/>
  <c r="H177" i="21"/>
  <c r="M177" i="21" s="1"/>
  <c r="G177" i="21"/>
  <c r="F177" i="21"/>
  <c r="L177" i="21" s="1"/>
  <c r="E177" i="21"/>
  <c r="D177" i="21"/>
  <c r="C177" i="21"/>
  <c r="B177" i="21"/>
  <c r="A177" i="21"/>
  <c r="L176" i="21"/>
  <c r="J176" i="21"/>
  <c r="I176" i="21"/>
  <c r="H176" i="21"/>
  <c r="G176" i="21"/>
  <c r="F176" i="21"/>
  <c r="E176" i="21"/>
  <c r="D176" i="21"/>
  <c r="C176" i="21"/>
  <c r="B176" i="21"/>
  <c r="A176" i="21"/>
  <c r="L175" i="21"/>
  <c r="J175" i="21"/>
  <c r="I175" i="21"/>
  <c r="M175" i="21" s="1"/>
  <c r="H175" i="21"/>
  <c r="G175" i="21"/>
  <c r="F175" i="21"/>
  <c r="E175" i="21"/>
  <c r="D175" i="21"/>
  <c r="C175" i="21"/>
  <c r="B175" i="21"/>
  <c r="A175" i="21"/>
  <c r="J174" i="21"/>
  <c r="N174" i="21" s="1"/>
  <c r="I174" i="21"/>
  <c r="M174" i="21" s="1"/>
  <c r="H174" i="21"/>
  <c r="P174" i="21" s="1"/>
  <c r="G174" i="21"/>
  <c r="F174" i="21"/>
  <c r="L174" i="21" s="1"/>
  <c r="E174" i="21"/>
  <c r="D174" i="21"/>
  <c r="C174" i="21"/>
  <c r="B174" i="21"/>
  <c r="A174" i="21"/>
  <c r="J173" i="21"/>
  <c r="N173" i="21" s="1"/>
  <c r="I173" i="21"/>
  <c r="H173" i="21"/>
  <c r="M173" i="21" s="1"/>
  <c r="G173" i="21"/>
  <c r="F173" i="21"/>
  <c r="L173" i="21" s="1"/>
  <c r="E173" i="21"/>
  <c r="D173" i="21"/>
  <c r="C173" i="21"/>
  <c r="B173" i="21"/>
  <c r="A173" i="21"/>
  <c r="L172" i="21"/>
  <c r="J172" i="21"/>
  <c r="I172" i="21"/>
  <c r="H172" i="21"/>
  <c r="G172" i="21"/>
  <c r="F172" i="21"/>
  <c r="E172" i="21"/>
  <c r="D172" i="21"/>
  <c r="C172" i="21"/>
  <c r="B172" i="21"/>
  <c r="A172" i="21"/>
  <c r="L171" i="21"/>
  <c r="J171" i="21"/>
  <c r="I171" i="21"/>
  <c r="M171" i="21" s="1"/>
  <c r="H171" i="21"/>
  <c r="G171" i="21"/>
  <c r="F171" i="21"/>
  <c r="E171" i="21"/>
  <c r="D171" i="21"/>
  <c r="C171" i="21"/>
  <c r="B171" i="21"/>
  <c r="A171" i="21"/>
  <c r="J170" i="21"/>
  <c r="N170" i="21" s="1"/>
  <c r="I170" i="21"/>
  <c r="M170" i="21" s="1"/>
  <c r="H170" i="21"/>
  <c r="G170" i="21"/>
  <c r="F170" i="21"/>
  <c r="L170" i="21" s="1"/>
  <c r="E170" i="21"/>
  <c r="D170" i="21"/>
  <c r="C170" i="21"/>
  <c r="B170" i="21"/>
  <c r="A170" i="21"/>
  <c r="J169" i="21"/>
  <c r="N169" i="21" s="1"/>
  <c r="I169" i="21"/>
  <c r="H169" i="21"/>
  <c r="M169" i="21" s="1"/>
  <c r="G169" i="21"/>
  <c r="F169" i="21"/>
  <c r="L169" i="21" s="1"/>
  <c r="E169" i="21"/>
  <c r="D169" i="21"/>
  <c r="C169" i="21"/>
  <c r="B169" i="21"/>
  <c r="A169" i="21"/>
  <c r="L168" i="21"/>
  <c r="J168" i="21"/>
  <c r="I168" i="21"/>
  <c r="H168" i="21"/>
  <c r="G168" i="21"/>
  <c r="O168" i="21" s="1"/>
  <c r="F168" i="21"/>
  <c r="E168" i="21"/>
  <c r="D168" i="21"/>
  <c r="C168" i="21"/>
  <c r="B168" i="21"/>
  <c r="A168" i="21"/>
  <c r="L167" i="21"/>
  <c r="J167" i="21"/>
  <c r="I167" i="21"/>
  <c r="M167" i="21" s="1"/>
  <c r="H167" i="21"/>
  <c r="G167" i="21"/>
  <c r="F167" i="21"/>
  <c r="E167" i="21"/>
  <c r="D167" i="21"/>
  <c r="C167" i="21"/>
  <c r="B167" i="21"/>
  <c r="A167" i="21"/>
  <c r="J166" i="21"/>
  <c r="N166" i="21" s="1"/>
  <c r="I166" i="21"/>
  <c r="M166" i="21" s="1"/>
  <c r="H166" i="21"/>
  <c r="P166" i="21" s="1"/>
  <c r="G166" i="21"/>
  <c r="F166" i="21"/>
  <c r="L166" i="21" s="1"/>
  <c r="E166" i="21"/>
  <c r="D166" i="21"/>
  <c r="C166" i="21"/>
  <c r="B166" i="21"/>
  <c r="A166" i="21"/>
  <c r="J165" i="21"/>
  <c r="N165" i="21" s="1"/>
  <c r="I165" i="21"/>
  <c r="H165" i="21"/>
  <c r="M165" i="21" s="1"/>
  <c r="G165" i="21"/>
  <c r="F165" i="21"/>
  <c r="L165" i="21" s="1"/>
  <c r="E165" i="21"/>
  <c r="D165" i="21"/>
  <c r="C165" i="21"/>
  <c r="B165" i="21"/>
  <c r="A165" i="21"/>
  <c r="L164" i="21"/>
  <c r="J164" i="21"/>
  <c r="I164" i="21"/>
  <c r="H164" i="21"/>
  <c r="P164" i="21" s="1"/>
  <c r="G164" i="21"/>
  <c r="O164" i="21" s="1"/>
  <c r="Q164" i="21" s="1"/>
  <c r="F164" i="21"/>
  <c r="E164" i="21"/>
  <c r="D164" i="21"/>
  <c r="C164" i="21"/>
  <c r="B164" i="21"/>
  <c r="A164" i="21"/>
  <c r="L163" i="21"/>
  <c r="J163" i="21"/>
  <c r="I163" i="21"/>
  <c r="M163" i="21" s="1"/>
  <c r="H163" i="21"/>
  <c r="G163" i="21"/>
  <c r="F163" i="21"/>
  <c r="E163" i="21"/>
  <c r="D163" i="21"/>
  <c r="C163" i="21"/>
  <c r="B163" i="21"/>
  <c r="A163" i="21"/>
  <c r="J162" i="21"/>
  <c r="N162" i="21" s="1"/>
  <c r="I162" i="21"/>
  <c r="M162" i="21" s="1"/>
  <c r="H162" i="21"/>
  <c r="G162" i="21"/>
  <c r="F162" i="21"/>
  <c r="L162" i="21" s="1"/>
  <c r="E162" i="21"/>
  <c r="D162" i="21"/>
  <c r="C162" i="21"/>
  <c r="B162" i="21"/>
  <c r="A162" i="21"/>
  <c r="J161" i="21"/>
  <c r="N161" i="21" s="1"/>
  <c r="I161" i="21"/>
  <c r="H161" i="21"/>
  <c r="M161" i="21" s="1"/>
  <c r="G161" i="21"/>
  <c r="F161" i="21"/>
  <c r="L161" i="21" s="1"/>
  <c r="E161" i="21"/>
  <c r="D161" i="21"/>
  <c r="C161" i="21"/>
  <c r="B161" i="21"/>
  <c r="A161" i="21"/>
  <c r="L160" i="21"/>
  <c r="J160" i="21"/>
  <c r="I160" i="21"/>
  <c r="H160" i="21"/>
  <c r="G160" i="21"/>
  <c r="F160" i="21"/>
  <c r="E160" i="21"/>
  <c r="D160" i="21"/>
  <c r="C160" i="21"/>
  <c r="B160" i="21"/>
  <c r="A160" i="21"/>
  <c r="L159" i="21"/>
  <c r="J159" i="21"/>
  <c r="I159" i="21"/>
  <c r="M159" i="21" s="1"/>
  <c r="H159" i="21"/>
  <c r="G159" i="21"/>
  <c r="F159" i="21"/>
  <c r="E159" i="21"/>
  <c r="D159" i="21"/>
  <c r="C159" i="21"/>
  <c r="B159" i="21"/>
  <c r="A159" i="21"/>
  <c r="J158" i="21"/>
  <c r="N158" i="21" s="1"/>
  <c r="I158" i="21"/>
  <c r="M158" i="21" s="1"/>
  <c r="H158" i="21"/>
  <c r="P158" i="21" s="1"/>
  <c r="G158" i="21"/>
  <c r="F158" i="21"/>
  <c r="L158" i="21" s="1"/>
  <c r="E158" i="21"/>
  <c r="D158" i="21"/>
  <c r="C158" i="21"/>
  <c r="B158" i="21"/>
  <c r="A158" i="21"/>
  <c r="J157" i="21"/>
  <c r="N157" i="21" s="1"/>
  <c r="I157" i="21"/>
  <c r="H157" i="21"/>
  <c r="M157" i="21" s="1"/>
  <c r="G157" i="21"/>
  <c r="F157" i="21"/>
  <c r="L157" i="21" s="1"/>
  <c r="E157" i="21"/>
  <c r="D157" i="21"/>
  <c r="C157" i="21"/>
  <c r="B157" i="21"/>
  <c r="A157" i="21"/>
  <c r="L156" i="21"/>
  <c r="J156" i="21"/>
  <c r="I156" i="21"/>
  <c r="H156" i="21"/>
  <c r="G156" i="21"/>
  <c r="F156" i="21"/>
  <c r="E156" i="21"/>
  <c r="D156" i="21"/>
  <c r="C156" i="21"/>
  <c r="B156" i="21"/>
  <c r="A156" i="21"/>
  <c r="L155" i="21"/>
  <c r="J155" i="21"/>
  <c r="I155" i="21"/>
  <c r="M155" i="21" s="1"/>
  <c r="H155" i="21"/>
  <c r="P155" i="21" s="1"/>
  <c r="G155" i="21"/>
  <c r="F155" i="21"/>
  <c r="E155" i="21"/>
  <c r="D155" i="21"/>
  <c r="C155" i="21"/>
  <c r="B155" i="21"/>
  <c r="A155" i="21"/>
  <c r="J154" i="21"/>
  <c r="N154" i="21" s="1"/>
  <c r="I154" i="21"/>
  <c r="M154" i="21" s="1"/>
  <c r="H154" i="21"/>
  <c r="G154" i="21"/>
  <c r="F154" i="21"/>
  <c r="L154" i="21" s="1"/>
  <c r="E154" i="21"/>
  <c r="D154" i="21"/>
  <c r="C154" i="21"/>
  <c r="B154" i="21"/>
  <c r="A154" i="21"/>
  <c r="J153" i="21"/>
  <c r="N153" i="21" s="1"/>
  <c r="I153" i="21"/>
  <c r="H153" i="21"/>
  <c r="M153" i="21" s="1"/>
  <c r="G153" i="21"/>
  <c r="O153" i="21" s="1"/>
  <c r="F153" i="21"/>
  <c r="L153" i="21" s="1"/>
  <c r="E153" i="21"/>
  <c r="D153" i="21"/>
  <c r="C153" i="21"/>
  <c r="B153" i="21"/>
  <c r="A153" i="21"/>
  <c r="L152" i="21"/>
  <c r="J152" i="21"/>
  <c r="I152" i="21"/>
  <c r="H152" i="21"/>
  <c r="P152" i="21" s="1"/>
  <c r="G152" i="21"/>
  <c r="F152" i="21"/>
  <c r="E152" i="21"/>
  <c r="D152" i="21"/>
  <c r="C152" i="21"/>
  <c r="B152" i="21"/>
  <c r="A152" i="21"/>
  <c r="L151" i="21"/>
  <c r="J151" i="21"/>
  <c r="I151" i="21"/>
  <c r="M151" i="21" s="1"/>
  <c r="H151" i="21"/>
  <c r="G151" i="21"/>
  <c r="F151" i="21"/>
  <c r="E151" i="21"/>
  <c r="D151" i="21"/>
  <c r="C151" i="21"/>
  <c r="B151" i="21"/>
  <c r="A151" i="21"/>
  <c r="J150" i="21"/>
  <c r="N150" i="21" s="1"/>
  <c r="I150" i="21"/>
  <c r="M150" i="21" s="1"/>
  <c r="H150" i="21"/>
  <c r="P150" i="21" s="1"/>
  <c r="G150" i="21"/>
  <c r="F150" i="21"/>
  <c r="L150" i="21" s="1"/>
  <c r="E150" i="21"/>
  <c r="D150" i="21"/>
  <c r="C150" i="21"/>
  <c r="B150" i="21"/>
  <c r="A150" i="21"/>
  <c r="J149" i="21"/>
  <c r="N149" i="21" s="1"/>
  <c r="I149" i="21"/>
  <c r="H149" i="21"/>
  <c r="M149" i="21" s="1"/>
  <c r="G149" i="21"/>
  <c r="F149" i="21"/>
  <c r="L149" i="21" s="1"/>
  <c r="E149" i="21"/>
  <c r="D149" i="21"/>
  <c r="C149" i="21"/>
  <c r="B149" i="21"/>
  <c r="A149" i="21"/>
  <c r="L148" i="21"/>
  <c r="J148" i="21"/>
  <c r="I148" i="21"/>
  <c r="H148" i="21"/>
  <c r="G148" i="21"/>
  <c r="F148" i="21"/>
  <c r="E148" i="21"/>
  <c r="D148" i="21"/>
  <c r="C148" i="21"/>
  <c r="B148" i="21"/>
  <c r="A148" i="21"/>
  <c r="L147" i="21"/>
  <c r="J147" i="21"/>
  <c r="I147" i="21"/>
  <c r="M147" i="21" s="1"/>
  <c r="H147" i="21"/>
  <c r="P147" i="21" s="1"/>
  <c r="G147" i="21"/>
  <c r="F147" i="21"/>
  <c r="O147" i="21" s="1"/>
  <c r="E147" i="21"/>
  <c r="D147" i="21"/>
  <c r="C147" i="21"/>
  <c r="B147" i="21"/>
  <c r="A147" i="21"/>
  <c r="J146" i="21"/>
  <c r="N146" i="21" s="1"/>
  <c r="I146" i="21"/>
  <c r="M146" i="21" s="1"/>
  <c r="H146" i="21"/>
  <c r="G146" i="21"/>
  <c r="F146" i="21"/>
  <c r="L146" i="21" s="1"/>
  <c r="E146" i="21"/>
  <c r="D146" i="21"/>
  <c r="C146" i="21"/>
  <c r="B146" i="21"/>
  <c r="A146" i="21"/>
  <c r="J145" i="21"/>
  <c r="N145" i="21" s="1"/>
  <c r="I145" i="21"/>
  <c r="H145" i="21"/>
  <c r="M145" i="21" s="1"/>
  <c r="G145" i="21"/>
  <c r="F145" i="21"/>
  <c r="L145" i="21" s="1"/>
  <c r="E145" i="21"/>
  <c r="D145" i="21"/>
  <c r="C145" i="21"/>
  <c r="B145" i="21"/>
  <c r="A145" i="21"/>
  <c r="L144" i="21"/>
  <c r="J144" i="21"/>
  <c r="I144" i="21"/>
  <c r="H144" i="21"/>
  <c r="P144" i="21" s="1"/>
  <c r="G144" i="21"/>
  <c r="F144" i="21"/>
  <c r="E144" i="21"/>
  <c r="D144" i="21"/>
  <c r="C144" i="21"/>
  <c r="B144" i="21"/>
  <c r="A144" i="21"/>
  <c r="L143" i="21"/>
  <c r="J143" i="21"/>
  <c r="I143" i="21"/>
  <c r="M143" i="21" s="1"/>
  <c r="H143" i="21"/>
  <c r="P143" i="21" s="1"/>
  <c r="G143" i="21"/>
  <c r="F143" i="21"/>
  <c r="E143" i="21"/>
  <c r="D143" i="21"/>
  <c r="C143" i="21"/>
  <c r="B143" i="21"/>
  <c r="A143" i="21"/>
  <c r="J142" i="21"/>
  <c r="N142" i="21" s="1"/>
  <c r="I142" i="21"/>
  <c r="M142" i="21" s="1"/>
  <c r="H142" i="21"/>
  <c r="P142" i="21" s="1"/>
  <c r="G142" i="21"/>
  <c r="F142" i="21"/>
  <c r="L142" i="21" s="1"/>
  <c r="E142" i="21"/>
  <c r="D142" i="21"/>
  <c r="C142" i="21"/>
  <c r="B142" i="21"/>
  <c r="A142" i="21"/>
  <c r="J141" i="21"/>
  <c r="N141" i="21" s="1"/>
  <c r="I141" i="21"/>
  <c r="H141" i="21"/>
  <c r="M141" i="21" s="1"/>
  <c r="G141" i="21"/>
  <c r="F141" i="21"/>
  <c r="L141" i="21" s="1"/>
  <c r="E141" i="21"/>
  <c r="D141" i="21"/>
  <c r="C141" i="21"/>
  <c r="B141" i="21"/>
  <c r="A141" i="21"/>
  <c r="L140" i="21"/>
  <c r="J140" i="21"/>
  <c r="I140" i="21"/>
  <c r="H140" i="21"/>
  <c r="G140" i="21"/>
  <c r="F140" i="21"/>
  <c r="E140" i="21"/>
  <c r="D140" i="21"/>
  <c r="C140" i="21"/>
  <c r="B140" i="21"/>
  <c r="A140" i="21"/>
  <c r="L139" i="21"/>
  <c r="J139" i="21"/>
  <c r="I139" i="21"/>
  <c r="M139" i="21" s="1"/>
  <c r="H139" i="21"/>
  <c r="G139" i="21"/>
  <c r="F139" i="21"/>
  <c r="E139" i="21"/>
  <c r="D139" i="21"/>
  <c r="C139" i="21"/>
  <c r="B139" i="21"/>
  <c r="A139" i="21"/>
  <c r="J138" i="21"/>
  <c r="N138" i="21" s="1"/>
  <c r="I138" i="21"/>
  <c r="M138" i="21" s="1"/>
  <c r="H138" i="21"/>
  <c r="G138" i="21"/>
  <c r="F138" i="21"/>
  <c r="L138" i="21" s="1"/>
  <c r="E138" i="21"/>
  <c r="D138" i="21"/>
  <c r="C138" i="21"/>
  <c r="B138" i="21"/>
  <c r="A138" i="21"/>
  <c r="J137" i="21"/>
  <c r="N137" i="21" s="1"/>
  <c r="I137" i="21"/>
  <c r="H137" i="21"/>
  <c r="M137" i="21" s="1"/>
  <c r="G137" i="21"/>
  <c r="F137" i="21"/>
  <c r="L137" i="21" s="1"/>
  <c r="E137" i="21"/>
  <c r="D137" i="21"/>
  <c r="C137" i="21"/>
  <c r="B137" i="21"/>
  <c r="A137" i="21"/>
  <c r="L136" i="21"/>
  <c r="J136" i="21"/>
  <c r="I136" i="21"/>
  <c r="H136" i="21"/>
  <c r="G136" i="21"/>
  <c r="F136" i="21"/>
  <c r="E136" i="21"/>
  <c r="D136" i="21"/>
  <c r="C136" i="21"/>
  <c r="B136" i="21"/>
  <c r="A136" i="21"/>
  <c r="L135" i="21"/>
  <c r="J135" i="21"/>
  <c r="I135" i="21"/>
  <c r="M135" i="21" s="1"/>
  <c r="H135" i="21"/>
  <c r="P135" i="21" s="1"/>
  <c r="G135" i="21"/>
  <c r="F135" i="21"/>
  <c r="O135" i="21" s="1"/>
  <c r="Q135" i="21" s="1"/>
  <c r="E135" i="21"/>
  <c r="D135" i="21"/>
  <c r="C135" i="21"/>
  <c r="B135" i="21"/>
  <c r="A135" i="21"/>
  <c r="J134" i="21"/>
  <c r="N134" i="21" s="1"/>
  <c r="I134" i="21"/>
  <c r="M134" i="21" s="1"/>
  <c r="H134" i="21"/>
  <c r="P134" i="21" s="1"/>
  <c r="G134" i="21"/>
  <c r="F134" i="21"/>
  <c r="L134" i="21" s="1"/>
  <c r="E134" i="21"/>
  <c r="D134" i="21"/>
  <c r="C134" i="21"/>
  <c r="B134" i="21"/>
  <c r="A134" i="21"/>
  <c r="J133" i="21"/>
  <c r="N133" i="21" s="1"/>
  <c r="I133" i="21"/>
  <c r="H133" i="21"/>
  <c r="M133" i="21" s="1"/>
  <c r="G133" i="21"/>
  <c r="F133" i="21"/>
  <c r="L133" i="21" s="1"/>
  <c r="E133" i="21"/>
  <c r="D133" i="21"/>
  <c r="C133" i="21"/>
  <c r="B133" i="21"/>
  <c r="A133" i="21"/>
  <c r="L132" i="21"/>
  <c r="J132" i="21"/>
  <c r="I132" i="21"/>
  <c r="H132" i="21"/>
  <c r="P132" i="21" s="1"/>
  <c r="G132" i="21"/>
  <c r="O132" i="21" s="1"/>
  <c r="Q132" i="21" s="1"/>
  <c r="F132" i="21"/>
  <c r="E132" i="21"/>
  <c r="D132" i="21"/>
  <c r="C132" i="21"/>
  <c r="B132" i="21"/>
  <c r="A132" i="21"/>
  <c r="L131" i="21"/>
  <c r="J131" i="21"/>
  <c r="I131" i="21"/>
  <c r="M131" i="21" s="1"/>
  <c r="H131" i="21"/>
  <c r="G131" i="21"/>
  <c r="F131" i="21"/>
  <c r="O131" i="21" s="1"/>
  <c r="E131" i="21"/>
  <c r="D131" i="21"/>
  <c r="C131" i="21"/>
  <c r="B131" i="21"/>
  <c r="A131" i="21"/>
  <c r="J130" i="21"/>
  <c r="N130" i="21" s="1"/>
  <c r="I130" i="21"/>
  <c r="M130" i="21" s="1"/>
  <c r="H130" i="21"/>
  <c r="G130" i="21"/>
  <c r="F130" i="21"/>
  <c r="L130" i="21" s="1"/>
  <c r="E130" i="21"/>
  <c r="D130" i="21"/>
  <c r="C130" i="21"/>
  <c r="B130" i="21"/>
  <c r="A130" i="21"/>
  <c r="J129" i="21"/>
  <c r="N129" i="21" s="1"/>
  <c r="I129" i="21"/>
  <c r="H129" i="21"/>
  <c r="M129" i="21" s="1"/>
  <c r="G129" i="21"/>
  <c r="F129" i="21"/>
  <c r="L129" i="21" s="1"/>
  <c r="E129" i="21"/>
  <c r="D129" i="21"/>
  <c r="C129" i="21"/>
  <c r="B129" i="21"/>
  <c r="A129" i="21"/>
  <c r="L128" i="21"/>
  <c r="J128" i="21"/>
  <c r="I128" i="21"/>
  <c r="H128" i="21"/>
  <c r="G128" i="21"/>
  <c r="F128" i="21"/>
  <c r="E128" i="21"/>
  <c r="D128" i="21"/>
  <c r="C128" i="21"/>
  <c r="B128" i="21"/>
  <c r="A128" i="21"/>
  <c r="L127" i="21"/>
  <c r="J127" i="21"/>
  <c r="I127" i="21"/>
  <c r="H127" i="21"/>
  <c r="M127" i="21" s="1"/>
  <c r="G127" i="21"/>
  <c r="F127" i="21"/>
  <c r="E127" i="21"/>
  <c r="D127" i="21"/>
  <c r="C127" i="21"/>
  <c r="B127" i="21"/>
  <c r="A127" i="21"/>
  <c r="J126" i="21"/>
  <c r="N126" i="21" s="1"/>
  <c r="I126" i="21"/>
  <c r="M126" i="21" s="1"/>
  <c r="H126" i="21"/>
  <c r="P126" i="21" s="1"/>
  <c r="G126" i="21"/>
  <c r="F126" i="21"/>
  <c r="L126" i="21" s="1"/>
  <c r="E126" i="21"/>
  <c r="D126" i="21"/>
  <c r="C126" i="21"/>
  <c r="B126" i="21"/>
  <c r="A126" i="21"/>
  <c r="J125" i="21"/>
  <c r="N125" i="21" s="1"/>
  <c r="I125" i="21"/>
  <c r="H125" i="21"/>
  <c r="M125" i="21" s="1"/>
  <c r="G125" i="21"/>
  <c r="F125" i="21"/>
  <c r="L125" i="21" s="1"/>
  <c r="E125" i="21"/>
  <c r="D125" i="21"/>
  <c r="C125" i="21"/>
  <c r="B125" i="21"/>
  <c r="A125" i="21"/>
  <c r="P124" i="21"/>
  <c r="J124" i="21"/>
  <c r="I124" i="21"/>
  <c r="H124" i="21"/>
  <c r="G124" i="21"/>
  <c r="F124" i="21"/>
  <c r="E124" i="21"/>
  <c r="D124" i="21"/>
  <c r="C124" i="21"/>
  <c r="B124" i="21"/>
  <c r="A124" i="21"/>
  <c r="L123" i="21"/>
  <c r="J123" i="21"/>
  <c r="I123" i="21"/>
  <c r="H123" i="21"/>
  <c r="N123" i="21" s="1"/>
  <c r="G123" i="21"/>
  <c r="F123" i="21"/>
  <c r="E123" i="21"/>
  <c r="D123" i="21"/>
  <c r="C123" i="21"/>
  <c r="B123" i="21"/>
  <c r="A123" i="21"/>
  <c r="M122" i="21"/>
  <c r="J122" i="21"/>
  <c r="N122" i="21" s="1"/>
  <c r="I122" i="21"/>
  <c r="H122" i="21"/>
  <c r="G122" i="21"/>
  <c r="F122" i="21"/>
  <c r="E122" i="21"/>
  <c r="D122" i="21"/>
  <c r="C122" i="21"/>
  <c r="B122" i="21"/>
  <c r="A122" i="21"/>
  <c r="N121" i="21"/>
  <c r="J121" i="21"/>
  <c r="I121" i="21"/>
  <c r="H121" i="21"/>
  <c r="M121" i="21" s="1"/>
  <c r="G121" i="21"/>
  <c r="K121" i="21" s="1"/>
  <c r="F121" i="21"/>
  <c r="E121" i="21"/>
  <c r="D121" i="21"/>
  <c r="C121" i="21"/>
  <c r="B121" i="21"/>
  <c r="A121" i="21"/>
  <c r="J120" i="21"/>
  <c r="I120" i="21"/>
  <c r="H120" i="21"/>
  <c r="G120" i="21"/>
  <c r="L120" i="21" s="1"/>
  <c r="F120" i="21"/>
  <c r="E120" i="21"/>
  <c r="D120" i="21"/>
  <c r="C120" i="21"/>
  <c r="B120" i="21"/>
  <c r="A120" i="21"/>
  <c r="L119" i="21"/>
  <c r="J119" i="21"/>
  <c r="I119" i="21"/>
  <c r="H119" i="21"/>
  <c r="N119" i="21" s="1"/>
  <c r="G119" i="21"/>
  <c r="F119" i="21"/>
  <c r="E119" i="21"/>
  <c r="D119" i="21"/>
  <c r="C119" i="21"/>
  <c r="B119" i="21"/>
  <c r="A119" i="21"/>
  <c r="N118" i="21"/>
  <c r="J118" i="21"/>
  <c r="I118" i="21"/>
  <c r="M118" i="21" s="1"/>
  <c r="H118" i="21"/>
  <c r="G118" i="21"/>
  <c r="F118" i="21"/>
  <c r="E118" i="21"/>
  <c r="D118" i="21"/>
  <c r="C118" i="21"/>
  <c r="B118" i="21"/>
  <c r="A118" i="21"/>
  <c r="J117" i="21"/>
  <c r="N117" i="21" s="1"/>
  <c r="I117" i="21"/>
  <c r="H117" i="21"/>
  <c r="M117" i="21" s="1"/>
  <c r="G117" i="21"/>
  <c r="K117" i="21" s="1"/>
  <c r="F117" i="21"/>
  <c r="E117" i="21"/>
  <c r="D117" i="21"/>
  <c r="C117" i="21"/>
  <c r="B117" i="21"/>
  <c r="A117" i="21"/>
  <c r="L116" i="21"/>
  <c r="J116" i="21"/>
  <c r="I116" i="21"/>
  <c r="H116" i="21"/>
  <c r="N116" i="21" s="1"/>
  <c r="G116" i="21"/>
  <c r="K116" i="21" s="1"/>
  <c r="O116" i="21" s="1"/>
  <c r="F116" i="21"/>
  <c r="E116" i="21"/>
  <c r="D116" i="21"/>
  <c r="C116" i="21"/>
  <c r="B116" i="21"/>
  <c r="A116" i="21"/>
  <c r="N115" i="21"/>
  <c r="L115" i="21"/>
  <c r="J115" i="21"/>
  <c r="I115" i="21"/>
  <c r="H115" i="21"/>
  <c r="M115" i="21" s="1"/>
  <c r="G115" i="21"/>
  <c r="F115" i="21"/>
  <c r="E115" i="21"/>
  <c r="D115" i="21"/>
  <c r="C115" i="21"/>
  <c r="B115" i="21"/>
  <c r="A115" i="21"/>
  <c r="M114" i="21"/>
  <c r="J114" i="21"/>
  <c r="N114" i="21" s="1"/>
  <c r="I114" i="21"/>
  <c r="H114" i="21"/>
  <c r="G114" i="21"/>
  <c r="F114" i="21"/>
  <c r="L114" i="21" s="1"/>
  <c r="E114" i="21"/>
  <c r="D114" i="21"/>
  <c r="C114" i="21"/>
  <c r="B114" i="21"/>
  <c r="A114" i="21"/>
  <c r="J113" i="21"/>
  <c r="I113" i="21"/>
  <c r="M113" i="21" s="1"/>
  <c r="H113" i="21"/>
  <c r="G113" i="21"/>
  <c r="L113" i="21" s="1"/>
  <c r="F113" i="21"/>
  <c r="E113" i="21"/>
  <c r="D113" i="21"/>
  <c r="C113" i="21"/>
  <c r="B113" i="21"/>
  <c r="A113" i="21"/>
  <c r="L112" i="21"/>
  <c r="J112" i="21"/>
  <c r="I112" i="21"/>
  <c r="H112" i="21"/>
  <c r="M112" i="21" s="1"/>
  <c r="G112" i="21"/>
  <c r="F112" i="21"/>
  <c r="O112" i="21" s="1"/>
  <c r="E112" i="21"/>
  <c r="D112" i="21"/>
  <c r="C112" i="21"/>
  <c r="B112" i="21"/>
  <c r="A112" i="21"/>
  <c r="J111" i="21"/>
  <c r="N111" i="21" s="1"/>
  <c r="I111" i="21"/>
  <c r="M111" i="21" s="1"/>
  <c r="H111" i="21"/>
  <c r="P111" i="21" s="1"/>
  <c r="G111" i="21"/>
  <c r="F111" i="21"/>
  <c r="L111" i="21" s="1"/>
  <c r="E111" i="21"/>
  <c r="D111" i="21"/>
  <c r="C111" i="21"/>
  <c r="B111" i="21"/>
  <c r="A111" i="21"/>
  <c r="J110" i="21"/>
  <c r="N110" i="21" s="1"/>
  <c r="I110" i="21"/>
  <c r="H110" i="21"/>
  <c r="M110" i="21" s="1"/>
  <c r="G110" i="21"/>
  <c r="F110" i="21"/>
  <c r="E110" i="21"/>
  <c r="D110" i="21"/>
  <c r="C110" i="21"/>
  <c r="B110" i="21"/>
  <c r="A110" i="21"/>
  <c r="J109" i="21"/>
  <c r="I109" i="21"/>
  <c r="M109" i="21" s="1"/>
  <c r="H109" i="21"/>
  <c r="G109" i="21"/>
  <c r="L109" i="21" s="1"/>
  <c r="F109" i="21"/>
  <c r="E109" i="21"/>
  <c r="D109" i="21"/>
  <c r="C109" i="21"/>
  <c r="B109" i="21"/>
  <c r="A109" i="21"/>
  <c r="L108" i="21"/>
  <c r="J108" i="21"/>
  <c r="I108" i="21"/>
  <c r="H108" i="21"/>
  <c r="M108" i="21" s="1"/>
  <c r="G108" i="21"/>
  <c r="F108" i="21"/>
  <c r="E108" i="21"/>
  <c r="D108" i="21"/>
  <c r="C108" i="21"/>
  <c r="B108" i="21"/>
  <c r="A108" i="21"/>
  <c r="J107" i="21"/>
  <c r="N107" i="21" s="1"/>
  <c r="I107" i="21"/>
  <c r="M107" i="21" s="1"/>
  <c r="H107" i="21"/>
  <c r="G107" i="21"/>
  <c r="F107" i="21"/>
  <c r="L107" i="21" s="1"/>
  <c r="E107" i="21"/>
  <c r="D107" i="21"/>
  <c r="C107" i="21"/>
  <c r="B107" i="21"/>
  <c r="A107" i="21"/>
  <c r="J106" i="21"/>
  <c r="N106" i="21" s="1"/>
  <c r="I106" i="21"/>
  <c r="H106" i="21"/>
  <c r="M106" i="21" s="1"/>
  <c r="G106" i="21"/>
  <c r="F106" i="21"/>
  <c r="E106" i="21"/>
  <c r="D106" i="21"/>
  <c r="C106" i="21"/>
  <c r="B106" i="21"/>
  <c r="A106" i="21"/>
  <c r="J105" i="21"/>
  <c r="I105" i="21"/>
  <c r="M105" i="21" s="1"/>
  <c r="H105" i="21"/>
  <c r="G105" i="21"/>
  <c r="L105" i="21" s="1"/>
  <c r="F105" i="21"/>
  <c r="E105" i="21"/>
  <c r="D105" i="21"/>
  <c r="C105" i="21"/>
  <c r="B105" i="21"/>
  <c r="A105" i="21"/>
  <c r="L104" i="21"/>
  <c r="J104" i="21"/>
  <c r="I104" i="21"/>
  <c r="H104" i="21"/>
  <c r="M104" i="21" s="1"/>
  <c r="G104" i="21"/>
  <c r="F104" i="21"/>
  <c r="E104" i="21"/>
  <c r="D104" i="21"/>
  <c r="C104" i="21"/>
  <c r="B104" i="21"/>
  <c r="A104" i="21"/>
  <c r="J103" i="21"/>
  <c r="N103" i="21" s="1"/>
  <c r="I103" i="21"/>
  <c r="M103" i="21" s="1"/>
  <c r="H103" i="21"/>
  <c r="G103" i="21"/>
  <c r="O103" i="21" s="1"/>
  <c r="F103" i="21"/>
  <c r="L103" i="21" s="1"/>
  <c r="E103" i="21"/>
  <c r="D103" i="21"/>
  <c r="C103" i="21"/>
  <c r="B103" i="21"/>
  <c r="A103" i="21"/>
  <c r="J102" i="21"/>
  <c r="N102" i="21" s="1"/>
  <c r="I102" i="21"/>
  <c r="H102" i="21"/>
  <c r="M102" i="21" s="1"/>
  <c r="G102" i="21"/>
  <c r="F102" i="21"/>
  <c r="E102" i="21"/>
  <c r="D102" i="21"/>
  <c r="C102" i="21"/>
  <c r="B102" i="21"/>
  <c r="A102" i="21"/>
  <c r="J101" i="21"/>
  <c r="I101" i="21"/>
  <c r="M101" i="21" s="1"/>
  <c r="H101" i="21"/>
  <c r="G101" i="21"/>
  <c r="L101" i="21" s="1"/>
  <c r="F101" i="21"/>
  <c r="E101" i="21"/>
  <c r="D101" i="21"/>
  <c r="C101" i="21"/>
  <c r="B101" i="21"/>
  <c r="A101" i="21"/>
  <c r="L100" i="21"/>
  <c r="J100" i="21"/>
  <c r="I100" i="21"/>
  <c r="H100" i="21"/>
  <c r="M100" i="21" s="1"/>
  <c r="G100" i="21"/>
  <c r="F100" i="21"/>
  <c r="E100" i="21"/>
  <c r="D100" i="21"/>
  <c r="C100" i="21"/>
  <c r="B100" i="21"/>
  <c r="A100" i="21"/>
  <c r="J99" i="21"/>
  <c r="N99" i="21" s="1"/>
  <c r="I99" i="21"/>
  <c r="M99" i="21" s="1"/>
  <c r="H99" i="21"/>
  <c r="P99" i="21" s="1"/>
  <c r="G99" i="21"/>
  <c r="F99" i="21"/>
  <c r="L99" i="21" s="1"/>
  <c r="E99" i="21"/>
  <c r="D99" i="21"/>
  <c r="C99" i="21"/>
  <c r="B99" i="21"/>
  <c r="A99" i="21"/>
  <c r="J98" i="21"/>
  <c r="N98" i="21" s="1"/>
  <c r="I98" i="21"/>
  <c r="H98" i="21"/>
  <c r="M98" i="21" s="1"/>
  <c r="G98" i="21"/>
  <c r="F98" i="21"/>
  <c r="O98" i="21" s="1"/>
  <c r="E98" i="21"/>
  <c r="D98" i="21"/>
  <c r="C98" i="21"/>
  <c r="B98" i="21"/>
  <c r="A98" i="21"/>
  <c r="J97" i="21"/>
  <c r="I97" i="21"/>
  <c r="M97" i="21" s="1"/>
  <c r="H97" i="21"/>
  <c r="G97" i="21"/>
  <c r="L97" i="21" s="1"/>
  <c r="F97" i="21"/>
  <c r="E97" i="21"/>
  <c r="D97" i="21"/>
  <c r="C97" i="21"/>
  <c r="B97" i="21"/>
  <c r="A97" i="21"/>
  <c r="L96" i="21"/>
  <c r="J96" i="21"/>
  <c r="I96" i="21"/>
  <c r="H96" i="21"/>
  <c r="M96" i="21" s="1"/>
  <c r="G96" i="21"/>
  <c r="F96" i="21"/>
  <c r="E96" i="21"/>
  <c r="D96" i="21"/>
  <c r="C96" i="21"/>
  <c r="B96" i="21"/>
  <c r="A96" i="21"/>
  <c r="J95" i="21"/>
  <c r="N95" i="21" s="1"/>
  <c r="I95" i="21"/>
  <c r="M95" i="21" s="1"/>
  <c r="H95" i="21"/>
  <c r="P95" i="21" s="1"/>
  <c r="G95" i="21"/>
  <c r="F95" i="21"/>
  <c r="L95" i="21" s="1"/>
  <c r="E95" i="21"/>
  <c r="D95" i="21"/>
  <c r="C95" i="21"/>
  <c r="B95" i="21"/>
  <c r="A95" i="21"/>
  <c r="J94" i="21"/>
  <c r="N94" i="21" s="1"/>
  <c r="I94" i="21"/>
  <c r="H94" i="21"/>
  <c r="M94" i="21" s="1"/>
  <c r="G94" i="21"/>
  <c r="F94" i="21"/>
  <c r="E94" i="21"/>
  <c r="D94" i="21"/>
  <c r="C94" i="21"/>
  <c r="B94" i="21"/>
  <c r="A94" i="21"/>
  <c r="J93" i="21"/>
  <c r="I93" i="21"/>
  <c r="H93" i="21"/>
  <c r="G93" i="21"/>
  <c r="L93" i="21" s="1"/>
  <c r="F93" i="21"/>
  <c r="E93" i="21"/>
  <c r="D93" i="21"/>
  <c r="C93" i="21"/>
  <c r="B93" i="21"/>
  <c r="A93" i="21"/>
  <c r="L92" i="21"/>
  <c r="J92" i="21"/>
  <c r="I92" i="21"/>
  <c r="H92" i="21"/>
  <c r="M92" i="21" s="1"/>
  <c r="G92" i="21"/>
  <c r="F92" i="21"/>
  <c r="E92" i="21"/>
  <c r="D92" i="21"/>
  <c r="C92" i="21"/>
  <c r="B92" i="21"/>
  <c r="A92" i="21"/>
  <c r="J91" i="21"/>
  <c r="N91" i="21" s="1"/>
  <c r="I91" i="21"/>
  <c r="M91" i="21" s="1"/>
  <c r="H91" i="21"/>
  <c r="G91" i="21"/>
  <c r="F91" i="21"/>
  <c r="L91" i="21" s="1"/>
  <c r="E91" i="21"/>
  <c r="D91" i="21"/>
  <c r="C91" i="21"/>
  <c r="B91" i="21"/>
  <c r="A91" i="21"/>
  <c r="J90" i="21"/>
  <c r="N90" i="21" s="1"/>
  <c r="I90" i="21"/>
  <c r="H90" i="21"/>
  <c r="M90" i="21" s="1"/>
  <c r="G90" i="21"/>
  <c r="F90" i="21"/>
  <c r="E90" i="21"/>
  <c r="D90" i="21"/>
  <c r="C90" i="21"/>
  <c r="B90" i="21"/>
  <c r="A90" i="21"/>
  <c r="J89" i="21"/>
  <c r="I89" i="21"/>
  <c r="H89" i="21"/>
  <c r="G89" i="21"/>
  <c r="L89" i="21" s="1"/>
  <c r="F89" i="21"/>
  <c r="E89" i="21"/>
  <c r="D89" i="21"/>
  <c r="C89" i="21"/>
  <c r="B89" i="21"/>
  <c r="A89" i="21"/>
  <c r="L88" i="21"/>
  <c r="J88" i="21"/>
  <c r="I88" i="21"/>
  <c r="H88" i="21"/>
  <c r="M88" i="21" s="1"/>
  <c r="G88" i="21"/>
  <c r="F88" i="21"/>
  <c r="E88" i="21"/>
  <c r="D88" i="21"/>
  <c r="C88" i="21"/>
  <c r="B88" i="21"/>
  <c r="A88" i="21"/>
  <c r="J87" i="21"/>
  <c r="N87" i="21" s="1"/>
  <c r="I87" i="21"/>
  <c r="M87" i="21" s="1"/>
  <c r="H87" i="21"/>
  <c r="G87" i="21"/>
  <c r="F87" i="21"/>
  <c r="L87" i="21" s="1"/>
  <c r="E87" i="21"/>
  <c r="D87" i="21"/>
  <c r="C87" i="21"/>
  <c r="B87" i="21"/>
  <c r="A87" i="21"/>
  <c r="J86" i="21"/>
  <c r="N86" i="21" s="1"/>
  <c r="I86" i="21"/>
  <c r="H86" i="21"/>
  <c r="M86" i="21" s="1"/>
  <c r="G86" i="21"/>
  <c r="F86" i="21"/>
  <c r="E86" i="21"/>
  <c r="D86" i="21"/>
  <c r="C86" i="21"/>
  <c r="B86" i="21"/>
  <c r="A86" i="21"/>
  <c r="J85" i="21"/>
  <c r="I85" i="21"/>
  <c r="H85" i="21"/>
  <c r="G85" i="21"/>
  <c r="L85" i="21" s="1"/>
  <c r="F85" i="21"/>
  <c r="E85" i="21"/>
  <c r="D85" i="21"/>
  <c r="C85" i="21"/>
  <c r="B85" i="21"/>
  <c r="A85" i="21"/>
  <c r="L84" i="21"/>
  <c r="J84" i="21"/>
  <c r="I84" i="21"/>
  <c r="H84" i="21"/>
  <c r="M84" i="21" s="1"/>
  <c r="G84" i="21"/>
  <c r="F84" i="21"/>
  <c r="E84" i="21"/>
  <c r="D84" i="21"/>
  <c r="C84" i="21"/>
  <c r="B84" i="21"/>
  <c r="A84" i="21"/>
  <c r="J83" i="21"/>
  <c r="N83" i="21" s="1"/>
  <c r="I83" i="21"/>
  <c r="M83" i="21" s="1"/>
  <c r="H83" i="21"/>
  <c r="P83" i="21" s="1"/>
  <c r="G83" i="21"/>
  <c r="F83" i="21"/>
  <c r="L83" i="21" s="1"/>
  <c r="E83" i="21"/>
  <c r="D83" i="21"/>
  <c r="C83" i="21"/>
  <c r="B83" i="21"/>
  <c r="A83" i="21"/>
  <c r="J82" i="21"/>
  <c r="N82" i="21" s="1"/>
  <c r="I82" i="21"/>
  <c r="H82" i="21"/>
  <c r="M82" i="21" s="1"/>
  <c r="G82" i="21"/>
  <c r="F82" i="21"/>
  <c r="O82" i="21" s="1"/>
  <c r="E82" i="21"/>
  <c r="D82" i="21"/>
  <c r="C82" i="21"/>
  <c r="B82" i="21"/>
  <c r="A82" i="21"/>
  <c r="J81" i="21"/>
  <c r="I81" i="21"/>
  <c r="H81" i="21"/>
  <c r="G81" i="21"/>
  <c r="L81" i="21" s="1"/>
  <c r="F81" i="21"/>
  <c r="E81" i="21"/>
  <c r="D81" i="21"/>
  <c r="C81" i="21"/>
  <c r="B81" i="21"/>
  <c r="A81" i="21"/>
  <c r="L80" i="21"/>
  <c r="J80" i="21"/>
  <c r="I80" i="21"/>
  <c r="H80" i="21"/>
  <c r="M80" i="21" s="1"/>
  <c r="G80" i="21"/>
  <c r="F80" i="21"/>
  <c r="E80" i="21"/>
  <c r="D80" i="21"/>
  <c r="C80" i="21"/>
  <c r="B80" i="21"/>
  <c r="A80" i="21"/>
  <c r="J79" i="21"/>
  <c r="N79" i="21" s="1"/>
  <c r="I79" i="21"/>
  <c r="M79" i="21" s="1"/>
  <c r="H79" i="21"/>
  <c r="G79" i="21"/>
  <c r="F79" i="21"/>
  <c r="L79" i="21" s="1"/>
  <c r="E79" i="21"/>
  <c r="D79" i="21"/>
  <c r="C79" i="21"/>
  <c r="B79" i="21"/>
  <c r="A79" i="21"/>
  <c r="J78" i="21"/>
  <c r="N78" i="21" s="1"/>
  <c r="I78" i="21"/>
  <c r="H78" i="21"/>
  <c r="M78" i="21" s="1"/>
  <c r="G78" i="21"/>
  <c r="F78" i="21"/>
  <c r="E78" i="21"/>
  <c r="D78" i="21"/>
  <c r="C78" i="21"/>
  <c r="B78" i="21"/>
  <c r="A78" i="21"/>
  <c r="J77" i="21"/>
  <c r="I77" i="21"/>
  <c r="H77" i="21"/>
  <c r="G77" i="21"/>
  <c r="L77" i="21" s="1"/>
  <c r="F77" i="21"/>
  <c r="E77" i="21"/>
  <c r="D77" i="21"/>
  <c r="C77" i="21"/>
  <c r="B77" i="21"/>
  <c r="A77" i="21"/>
  <c r="L76" i="21"/>
  <c r="J76" i="21"/>
  <c r="I76" i="21"/>
  <c r="H76" i="21"/>
  <c r="M76" i="21" s="1"/>
  <c r="G76" i="21"/>
  <c r="F76" i="21"/>
  <c r="E76" i="21"/>
  <c r="D76" i="21"/>
  <c r="C76" i="21"/>
  <c r="B76" i="21"/>
  <c r="A76" i="21"/>
  <c r="J75" i="21"/>
  <c r="N75" i="21" s="1"/>
  <c r="I75" i="21"/>
  <c r="M75" i="21" s="1"/>
  <c r="H75" i="21"/>
  <c r="G75" i="21"/>
  <c r="F75" i="21"/>
  <c r="L75" i="21" s="1"/>
  <c r="E75" i="21"/>
  <c r="D75" i="21"/>
  <c r="C75" i="21"/>
  <c r="B75" i="21"/>
  <c r="A75" i="21"/>
  <c r="J74" i="21"/>
  <c r="N74" i="21" s="1"/>
  <c r="I74" i="21"/>
  <c r="H74" i="21"/>
  <c r="M74" i="21" s="1"/>
  <c r="G74" i="21"/>
  <c r="F74" i="21"/>
  <c r="E74" i="21"/>
  <c r="D74" i="21"/>
  <c r="C74" i="21"/>
  <c r="B74" i="21"/>
  <c r="A74" i="21"/>
  <c r="J73" i="21"/>
  <c r="I73" i="21"/>
  <c r="H73" i="21"/>
  <c r="G73" i="21"/>
  <c r="L73" i="21" s="1"/>
  <c r="F73" i="21"/>
  <c r="E73" i="21"/>
  <c r="D73" i="21"/>
  <c r="C73" i="21"/>
  <c r="B73" i="21"/>
  <c r="A73" i="21"/>
  <c r="L72" i="21"/>
  <c r="J72" i="21"/>
  <c r="I72" i="21"/>
  <c r="H72" i="21"/>
  <c r="M72" i="21" s="1"/>
  <c r="G72" i="21"/>
  <c r="F72" i="21"/>
  <c r="E72" i="21"/>
  <c r="D72" i="21"/>
  <c r="C72" i="21"/>
  <c r="B72" i="21"/>
  <c r="A72" i="21"/>
  <c r="J71" i="21"/>
  <c r="N71" i="21" s="1"/>
  <c r="I71" i="21"/>
  <c r="M71" i="21" s="1"/>
  <c r="H71" i="21"/>
  <c r="P71" i="21" s="1"/>
  <c r="G71" i="21"/>
  <c r="F71" i="21"/>
  <c r="L71" i="21" s="1"/>
  <c r="E71" i="21"/>
  <c r="D71" i="21"/>
  <c r="C71" i="21"/>
  <c r="B71" i="21"/>
  <c r="A71" i="21"/>
  <c r="J70" i="21"/>
  <c r="N70" i="21" s="1"/>
  <c r="I70" i="21"/>
  <c r="H70" i="21"/>
  <c r="M70" i="21" s="1"/>
  <c r="G70" i="21"/>
  <c r="F70" i="21"/>
  <c r="E70" i="21"/>
  <c r="D70" i="21"/>
  <c r="C70" i="21"/>
  <c r="B70" i="21"/>
  <c r="A70" i="21"/>
  <c r="J69" i="21"/>
  <c r="I69" i="21"/>
  <c r="H69" i="21"/>
  <c r="G69" i="21"/>
  <c r="L69" i="21" s="1"/>
  <c r="F69" i="21"/>
  <c r="E69" i="21"/>
  <c r="D69" i="21"/>
  <c r="C69" i="21"/>
  <c r="B69" i="21"/>
  <c r="A69" i="21"/>
  <c r="L68" i="21"/>
  <c r="J68" i="21"/>
  <c r="I68" i="21"/>
  <c r="H68" i="21"/>
  <c r="M68" i="21" s="1"/>
  <c r="G68" i="21"/>
  <c r="F68" i="21"/>
  <c r="E68" i="21"/>
  <c r="D68" i="21"/>
  <c r="C68" i="21"/>
  <c r="B68" i="21"/>
  <c r="A68" i="21"/>
  <c r="J67" i="21"/>
  <c r="N67" i="21" s="1"/>
  <c r="I67" i="21"/>
  <c r="M67" i="21" s="1"/>
  <c r="H67" i="21"/>
  <c r="P67" i="21" s="1"/>
  <c r="G67" i="21"/>
  <c r="F67" i="21"/>
  <c r="L67" i="21" s="1"/>
  <c r="E67" i="21"/>
  <c r="D67" i="21"/>
  <c r="C67" i="21"/>
  <c r="B67" i="21"/>
  <c r="A67" i="21"/>
  <c r="J66" i="21"/>
  <c r="N66" i="21" s="1"/>
  <c r="I66" i="21"/>
  <c r="H66" i="21"/>
  <c r="M66" i="21" s="1"/>
  <c r="G66" i="21"/>
  <c r="F66" i="21"/>
  <c r="E66" i="21"/>
  <c r="D66" i="21"/>
  <c r="C66" i="21"/>
  <c r="B66" i="21"/>
  <c r="A66" i="21"/>
  <c r="J65" i="21"/>
  <c r="I65" i="21"/>
  <c r="H65" i="21"/>
  <c r="G65" i="21"/>
  <c r="L65" i="21" s="1"/>
  <c r="F65" i="21"/>
  <c r="E65" i="21"/>
  <c r="D65" i="21"/>
  <c r="C65" i="21"/>
  <c r="B65" i="21"/>
  <c r="A65" i="21"/>
  <c r="L64" i="21"/>
  <c r="J64" i="21"/>
  <c r="I64" i="21"/>
  <c r="H64" i="21"/>
  <c r="M64" i="21" s="1"/>
  <c r="G64" i="21"/>
  <c r="F64" i="21"/>
  <c r="E64" i="21"/>
  <c r="D64" i="21"/>
  <c r="C64" i="21"/>
  <c r="B64" i="21"/>
  <c r="A64" i="21"/>
  <c r="J63" i="21"/>
  <c r="N63" i="21" s="1"/>
  <c r="I63" i="21"/>
  <c r="M63" i="21" s="1"/>
  <c r="H63" i="21"/>
  <c r="P63" i="21" s="1"/>
  <c r="G63" i="21"/>
  <c r="F63" i="21"/>
  <c r="L63" i="21" s="1"/>
  <c r="E63" i="21"/>
  <c r="D63" i="21"/>
  <c r="C63" i="21"/>
  <c r="B63" i="21"/>
  <c r="A63" i="21"/>
  <c r="J62" i="21"/>
  <c r="N62" i="21" s="1"/>
  <c r="I62" i="21"/>
  <c r="H62" i="21"/>
  <c r="M62" i="21" s="1"/>
  <c r="G62" i="21"/>
  <c r="F62" i="21"/>
  <c r="O62" i="21" s="1"/>
  <c r="E62" i="21"/>
  <c r="D62" i="21"/>
  <c r="C62" i="21"/>
  <c r="B62" i="21"/>
  <c r="A62" i="21"/>
  <c r="J61" i="21"/>
  <c r="I61" i="21"/>
  <c r="H61" i="21"/>
  <c r="G61" i="21"/>
  <c r="L61" i="21" s="1"/>
  <c r="F61" i="21"/>
  <c r="E61" i="21"/>
  <c r="D61" i="21"/>
  <c r="C61" i="21"/>
  <c r="B61" i="21"/>
  <c r="A61" i="21"/>
  <c r="L60" i="21"/>
  <c r="J60" i="21"/>
  <c r="I60" i="21"/>
  <c r="H60" i="21"/>
  <c r="M60" i="21" s="1"/>
  <c r="G60" i="21"/>
  <c r="F60" i="21"/>
  <c r="E60" i="21"/>
  <c r="D60" i="21"/>
  <c r="C60" i="21"/>
  <c r="B60" i="21"/>
  <c r="A60" i="21"/>
  <c r="J59" i="21"/>
  <c r="N59" i="21" s="1"/>
  <c r="I59" i="21"/>
  <c r="M59" i="21" s="1"/>
  <c r="H59" i="21"/>
  <c r="G59" i="21"/>
  <c r="F59" i="21"/>
  <c r="L59" i="21" s="1"/>
  <c r="E59" i="21"/>
  <c r="D59" i="21"/>
  <c r="C59" i="21"/>
  <c r="B59" i="21"/>
  <c r="A59" i="21"/>
  <c r="J58" i="21"/>
  <c r="N58" i="21" s="1"/>
  <c r="I58" i="21"/>
  <c r="H58" i="21"/>
  <c r="M58" i="21" s="1"/>
  <c r="G58" i="21"/>
  <c r="F58" i="21"/>
  <c r="E58" i="21"/>
  <c r="D58" i="21"/>
  <c r="C58" i="21"/>
  <c r="B58" i="21"/>
  <c r="A58" i="21"/>
  <c r="J57" i="21"/>
  <c r="I57" i="21"/>
  <c r="H57" i="21"/>
  <c r="P57" i="21" s="1"/>
  <c r="G57" i="21"/>
  <c r="L57" i="21" s="1"/>
  <c r="F57" i="21"/>
  <c r="E57" i="21"/>
  <c r="D57" i="21"/>
  <c r="C57" i="21"/>
  <c r="B57" i="21"/>
  <c r="A57" i="21"/>
  <c r="L56" i="21"/>
  <c r="J56" i="21"/>
  <c r="I56" i="21"/>
  <c r="H56" i="21"/>
  <c r="M56" i="21" s="1"/>
  <c r="G56" i="21"/>
  <c r="F56" i="21"/>
  <c r="E56" i="21"/>
  <c r="D56" i="21"/>
  <c r="C56" i="21"/>
  <c r="B56" i="21"/>
  <c r="A56" i="21"/>
  <c r="J55" i="21"/>
  <c r="N55" i="21" s="1"/>
  <c r="I55" i="21"/>
  <c r="M55" i="21" s="1"/>
  <c r="H55" i="21"/>
  <c r="P55" i="21" s="1"/>
  <c r="G55" i="21"/>
  <c r="F55" i="21"/>
  <c r="L55" i="21" s="1"/>
  <c r="E55" i="21"/>
  <c r="D55" i="21"/>
  <c r="C55" i="21"/>
  <c r="B55" i="21"/>
  <c r="A55" i="21"/>
  <c r="J54" i="21"/>
  <c r="N54" i="21" s="1"/>
  <c r="I54" i="21"/>
  <c r="H54" i="21"/>
  <c r="M54" i="21" s="1"/>
  <c r="G54" i="21"/>
  <c r="F54" i="21"/>
  <c r="E54" i="21"/>
  <c r="D54" i="21"/>
  <c r="C54" i="21"/>
  <c r="B54" i="21"/>
  <c r="A54" i="21"/>
  <c r="J53" i="21"/>
  <c r="I53" i="21"/>
  <c r="H53" i="21"/>
  <c r="P53" i="21" s="1"/>
  <c r="G53" i="21"/>
  <c r="L53" i="21" s="1"/>
  <c r="F53" i="21"/>
  <c r="E53" i="21"/>
  <c r="D53" i="21"/>
  <c r="C53" i="21"/>
  <c r="B53" i="21"/>
  <c r="A53" i="21"/>
  <c r="L52" i="21"/>
  <c r="J52" i="21"/>
  <c r="I52" i="21"/>
  <c r="H52" i="21"/>
  <c r="M52" i="21" s="1"/>
  <c r="G52" i="21"/>
  <c r="F52" i="21"/>
  <c r="O52" i="21" s="1"/>
  <c r="E52" i="21"/>
  <c r="D52" i="21"/>
  <c r="C52" i="21"/>
  <c r="B52" i="21"/>
  <c r="A52" i="21"/>
  <c r="J51" i="21"/>
  <c r="N51" i="21" s="1"/>
  <c r="I51" i="21"/>
  <c r="M51" i="21" s="1"/>
  <c r="H51" i="21"/>
  <c r="P51" i="21" s="1"/>
  <c r="G51" i="21"/>
  <c r="F51" i="21"/>
  <c r="L51" i="21" s="1"/>
  <c r="E51" i="21"/>
  <c r="D51" i="21"/>
  <c r="C51" i="21"/>
  <c r="B51" i="21"/>
  <c r="A51" i="21"/>
  <c r="J50" i="21"/>
  <c r="N50" i="21" s="1"/>
  <c r="I50" i="21"/>
  <c r="H50" i="21"/>
  <c r="M50" i="21" s="1"/>
  <c r="G50" i="21"/>
  <c r="F50" i="21"/>
  <c r="E50" i="21"/>
  <c r="D50" i="21"/>
  <c r="C50" i="21"/>
  <c r="B50" i="21"/>
  <c r="A50" i="21"/>
  <c r="J49" i="21"/>
  <c r="I49" i="21"/>
  <c r="H49" i="21"/>
  <c r="G49" i="21"/>
  <c r="L49" i="21" s="1"/>
  <c r="F49" i="21"/>
  <c r="E49" i="21"/>
  <c r="D49" i="21"/>
  <c r="C49" i="21"/>
  <c r="B49" i="21"/>
  <c r="A49" i="21"/>
  <c r="L48" i="21"/>
  <c r="J48" i="21"/>
  <c r="I48" i="21"/>
  <c r="H48" i="21"/>
  <c r="M48" i="21" s="1"/>
  <c r="G48" i="21"/>
  <c r="F48" i="21"/>
  <c r="E48" i="21"/>
  <c r="D48" i="21"/>
  <c r="C48" i="21"/>
  <c r="B48" i="21"/>
  <c r="A48" i="21"/>
  <c r="J47" i="21"/>
  <c r="N47" i="21" s="1"/>
  <c r="I47" i="21"/>
  <c r="M47" i="21" s="1"/>
  <c r="H47" i="21"/>
  <c r="G47" i="21"/>
  <c r="F47" i="21"/>
  <c r="L47" i="21" s="1"/>
  <c r="E47" i="21"/>
  <c r="D47" i="21"/>
  <c r="C47" i="21"/>
  <c r="B47" i="21"/>
  <c r="A47" i="21"/>
  <c r="N46" i="21"/>
  <c r="J46" i="21"/>
  <c r="I46" i="21"/>
  <c r="H46" i="21"/>
  <c r="M46" i="21" s="1"/>
  <c r="G46" i="21"/>
  <c r="F46" i="21"/>
  <c r="E46" i="21"/>
  <c r="D46" i="21"/>
  <c r="C46" i="21"/>
  <c r="B46" i="21"/>
  <c r="A46" i="21"/>
  <c r="J45" i="21"/>
  <c r="I45" i="21"/>
  <c r="H45" i="21"/>
  <c r="G45" i="21"/>
  <c r="L45" i="21" s="1"/>
  <c r="F45" i="21"/>
  <c r="E45" i="21"/>
  <c r="D45" i="21"/>
  <c r="C45" i="21"/>
  <c r="B45" i="21"/>
  <c r="A45" i="21"/>
  <c r="L44" i="21"/>
  <c r="J44" i="21"/>
  <c r="I44" i="21"/>
  <c r="H44" i="21"/>
  <c r="G44" i="21"/>
  <c r="F44" i="21"/>
  <c r="E44" i="21"/>
  <c r="D44" i="21"/>
  <c r="C44" i="21"/>
  <c r="B44" i="21"/>
  <c r="A44" i="21"/>
  <c r="J43" i="21"/>
  <c r="N43" i="21" s="1"/>
  <c r="I43" i="21"/>
  <c r="M43" i="21" s="1"/>
  <c r="H43" i="21"/>
  <c r="G43" i="21"/>
  <c r="F43" i="21"/>
  <c r="L43" i="21" s="1"/>
  <c r="E43" i="21"/>
  <c r="D43" i="21"/>
  <c r="C43" i="21"/>
  <c r="B43" i="21"/>
  <c r="A43" i="21"/>
  <c r="N42" i="21"/>
  <c r="J42" i="21"/>
  <c r="I42" i="21"/>
  <c r="H42" i="21"/>
  <c r="M42" i="21" s="1"/>
  <c r="G42" i="21"/>
  <c r="F42" i="21"/>
  <c r="E42" i="21"/>
  <c r="D42" i="21"/>
  <c r="C42" i="21"/>
  <c r="B42" i="21"/>
  <c r="A42" i="21"/>
  <c r="J41" i="21"/>
  <c r="I41" i="21"/>
  <c r="H41" i="21"/>
  <c r="P41" i="21" s="1"/>
  <c r="G41" i="21"/>
  <c r="L41" i="21" s="1"/>
  <c r="F41" i="21"/>
  <c r="E41" i="21"/>
  <c r="D41" i="21"/>
  <c r="C41" i="21"/>
  <c r="B41" i="21"/>
  <c r="A41" i="21"/>
  <c r="L40" i="21"/>
  <c r="J40" i="21"/>
  <c r="I40" i="21"/>
  <c r="H40" i="21"/>
  <c r="G40" i="21"/>
  <c r="F40" i="21"/>
  <c r="E40" i="21"/>
  <c r="D40" i="21"/>
  <c r="C40" i="21"/>
  <c r="B40" i="21"/>
  <c r="A40" i="21"/>
  <c r="M39" i="21"/>
  <c r="J39" i="21"/>
  <c r="N39" i="21" s="1"/>
  <c r="I39" i="21"/>
  <c r="H39" i="21"/>
  <c r="G39" i="21"/>
  <c r="F39" i="21"/>
  <c r="L39" i="21" s="1"/>
  <c r="E39" i="21"/>
  <c r="D39" i="21"/>
  <c r="C39" i="21"/>
  <c r="B39" i="21"/>
  <c r="A39" i="21"/>
  <c r="J38" i="21"/>
  <c r="N38" i="21" s="1"/>
  <c r="I38" i="21"/>
  <c r="H38" i="21"/>
  <c r="M38" i="21" s="1"/>
  <c r="G38" i="21"/>
  <c r="F38" i="21"/>
  <c r="E38" i="21"/>
  <c r="D38" i="21"/>
  <c r="C38" i="21"/>
  <c r="B38" i="21"/>
  <c r="A38" i="21"/>
  <c r="J37" i="21"/>
  <c r="I37" i="21"/>
  <c r="H37" i="21"/>
  <c r="G37" i="21"/>
  <c r="L37" i="21" s="1"/>
  <c r="F37" i="21"/>
  <c r="E37" i="21"/>
  <c r="D37" i="21"/>
  <c r="C37" i="21"/>
  <c r="B37" i="21"/>
  <c r="A37" i="21"/>
  <c r="L36" i="21"/>
  <c r="J36" i="21"/>
  <c r="I36" i="21"/>
  <c r="H36" i="21"/>
  <c r="G36" i="21"/>
  <c r="F36" i="21"/>
  <c r="O36" i="21" s="1"/>
  <c r="E36" i="21"/>
  <c r="D36" i="21"/>
  <c r="C36" i="21"/>
  <c r="B36" i="21"/>
  <c r="A36" i="21"/>
  <c r="M35" i="21"/>
  <c r="J35" i="21"/>
  <c r="N35" i="21" s="1"/>
  <c r="I35" i="21"/>
  <c r="H35" i="21"/>
  <c r="G35" i="21"/>
  <c r="F35" i="21"/>
  <c r="L35" i="21" s="1"/>
  <c r="E35" i="21"/>
  <c r="D35" i="21"/>
  <c r="C35" i="21"/>
  <c r="B35" i="21"/>
  <c r="A35" i="21"/>
  <c r="J34" i="21"/>
  <c r="N34" i="21" s="1"/>
  <c r="I34" i="21"/>
  <c r="H34" i="21"/>
  <c r="M34" i="21" s="1"/>
  <c r="G34" i="21"/>
  <c r="F34" i="21"/>
  <c r="E34" i="21"/>
  <c r="D34" i="21"/>
  <c r="C34" i="21"/>
  <c r="B34" i="21"/>
  <c r="A34" i="21"/>
  <c r="O33" i="21"/>
  <c r="J33" i="21"/>
  <c r="I33" i="21"/>
  <c r="H33" i="21"/>
  <c r="G33" i="21"/>
  <c r="L33" i="21" s="1"/>
  <c r="F33" i="21"/>
  <c r="E33" i="21"/>
  <c r="D33" i="21"/>
  <c r="C33" i="21"/>
  <c r="B33" i="21"/>
  <c r="A33" i="21"/>
  <c r="L32" i="21"/>
  <c r="J32" i="21"/>
  <c r="I32" i="21"/>
  <c r="H32" i="21"/>
  <c r="N32" i="21" s="1"/>
  <c r="G32" i="21"/>
  <c r="F32" i="21"/>
  <c r="E32" i="21"/>
  <c r="D32" i="21"/>
  <c r="C32" i="21"/>
  <c r="B32" i="21"/>
  <c r="A32" i="21"/>
  <c r="N31" i="21"/>
  <c r="J31" i="21"/>
  <c r="I31" i="21"/>
  <c r="M31" i="21" s="1"/>
  <c r="H31" i="21"/>
  <c r="G31" i="21"/>
  <c r="F31" i="21"/>
  <c r="E31" i="21"/>
  <c r="D31" i="21"/>
  <c r="C31" i="21"/>
  <c r="B31" i="21"/>
  <c r="A31" i="21"/>
  <c r="J30" i="21"/>
  <c r="N30" i="21" s="1"/>
  <c r="I30" i="21"/>
  <c r="H30" i="21"/>
  <c r="M30" i="21" s="1"/>
  <c r="G30" i="21"/>
  <c r="F30" i="21"/>
  <c r="L30" i="21" s="1"/>
  <c r="E30" i="21"/>
  <c r="D30" i="21"/>
  <c r="C30" i="21"/>
  <c r="B30" i="21"/>
  <c r="A30" i="21"/>
  <c r="L29" i="21"/>
  <c r="J29" i="21"/>
  <c r="I29" i="21"/>
  <c r="H29" i="21"/>
  <c r="G29" i="21"/>
  <c r="K29" i="21" s="1"/>
  <c r="F29" i="21"/>
  <c r="E29" i="21"/>
  <c r="D29" i="21"/>
  <c r="C29" i="21"/>
  <c r="B29" i="21"/>
  <c r="A29" i="21"/>
  <c r="L28" i="21"/>
  <c r="J28" i="21"/>
  <c r="I28" i="21"/>
  <c r="H28" i="21"/>
  <c r="N28" i="21" s="1"/>
  <c r="G28" i="21"/>
  <c r="F28" i="21"/>
  <c r="E28" i="21"/>
  <c r="D28" i="21"/>
  <c r="C28" i="21"/>
  <c r="B28" i="21"/>
  <c r="A28" i="21"/>
  <c r="M27" i="21"/>
  <c r="J27" i="21"/>
  <c r="N27" i="21" s="1"/>
  <c r="I27" i="21"/>
  <c r="H27" i="21"/>
  <c r="G27" i="21"/>
  <c r="F27" i="21"/>
  <c r="E27" i="21"/>
  <c r="D27" i="21"/>
  <c r="C27" i="21"/>
  <c r="B27" i="21"/>
  <c r="A27" i="21"/>
  <c r="N26" i="21"/>
  <c r="J26" i="21"/>
  <c r="I26" i="21"/>
  <c r="H26" i="21"/>
  <c r="M26" i="21" s="1"/>
  <c r="G26" i="21"/>
  <c r="K26" i="21" s="1"/>
  <c r="F26" i="21"/>
  <c r="E26" i="21"/>
  <c r="D26" i="21"/>
  <c r="C26" i="21"/>
  <c r="B26" i="21"/>
  <c r="A26" i="21"/>
  <c r="O25" i="21"/>
  <c r="L25" i="21"/>
  <c r="J25" i="21"/>
  <c r="I25" i="21"/>
  <c r="H25" i="21"/>
  <c r="G25" i="21"/>
  <c r="K25" i="21" s="1"/>
  <c r="F25" i="21"/>
  <c r="E25" i="21"/>
  <c r="D25" i="21"/>
  <c r="C25" i="21"/>
  <c r="B25" i="21"/>
  <c r="A25" i="21"/>
  <c r="L24" i="21"/>
  <c r="J24" i="21"/>
  <c r="I24" i="21"/>
  <c r="H24" i="21"/>
  <c r="N24" i="21" s="1"/>
  <c r="G24" i="21"/>
  <c r="F24" i="21"/>
  <c r="E24" i="21"/>
  <c r="D24" i="21"/>
  <c r="C24" i="21"/>
  <c r="B24" i="21"/>
  <c r="A24" i="21"/>
  <c r="N23" i="21"/>
  <c r="J23" i="21"/>
  <c r="I23" i="21"/>
  <c r="M23" i="21" s="1"/>
  <c r="H23" i="21"/>
  <c r="G23" i="21"/>
  <c r="F23" i="21"/>
  <c r="E23" i="21"/>
  <c r="D23" i="21"/>
  <c r="C23" i="21"/>
  <c r="B23" i="21"/>
  <c r="A23" i="21"/>
  <c r="J22" i="21"/>
  <c r="N22" i="21" s="1"/>
  <c r="I22" i="21"/>
  <c r="H22" i="21"/>
  <c r="M22" i="21" s="1"/>
  <c r="G22" i="21"/>
  <c r="F22" i="21"/>
  <c r="L22" i="21" s="1"/>
  <c r="E22" i="21"/>
  <c r="D22" i="21"/>
  <c r="C22" i="21"/>
  <c r="B22" i="21"/>
  <c r="A22" i="21"/>
  <c r="L21" i="21"/>
  <c r="J21" i="21"/>
  <c r="I21" i="21"/>
  <c r="H21" i="21"/>
  <c r="G21" i="21"/>
  <c r="K21" i="21" s="1"/>
  <c r="F21" i="21"/>
  <c r="E21" i="21"/>
  <c r="D21" i="21"/>
  <c r="C21" i="21"/>
  <c r="B21" i="21"/>
  <c r="A21" i="21"/>
  <c r="L20" i="21"/>
  <c r="J20" i="21"/>
  <c r="I20" i="21"/>
  <c r="H20" i="21"/>
  <c r="N20" i="21" s="1"/>
  <c r="G20" i="21"/>
  <c r="F20" i="21"/>
  <c r="O20" i="21" s="1"/>
  <c r="E20" i="21"/>
  <c r="D20" i="21"/>
  <c r="C20" i="21"/>
  <c r="B20" i="21"/>
  <c r="A20" i="21"/>
  <c r="M19" i="21"/>
  <c r="J19" i="21"/>
  <c r="N19" i="21" s="1"/>
  <c r="I19" i="21"/>
  <c r="H19" i="21"/>
  <c r="G19" i="21"/>
  <c r="F19" i="21"/>
  <c r="E19" i="21"/>
  <c r="D19" i="21"/>
  <c r="C19" i="21"/>
  <c r="B19" i="21"/>
  <c r="A19" i="21"/>
  <c r="N18" i="21"/>
  <c r="J18" i="21"/>
  <c r="I18" i="21"/>
  <c r="H18" i="21"/>
  <c r="M18" i="21" s="1"/>
  <c r="G18" i="21"/>
  <c r="K18" i="21" s="1"/>
  <c r="F18" i="21"/>
  <c r="O18" i="21" s="1"/>
  <c r="E18" i="21"/>
  <c r="D18" i="21"/>
  <c r="C18" i="21"/>
  <c r="B18" i="21"/>
  <c r="A18" i="21"/>
  <c r="L17" i="21"/>
  <c r="J17" i="21"/>
  <c r="I17" i="21"/>
  <c r="H17" i="21"/>
  <c r="G17" i="21"/>
  <c r="K17" i="21" s="1"/>
  <c r="O17" i="21" s="1"/>
  <c r="F17" i="21"/>
  <c r="E17" i="21"/>
  <c r="D17" i="21"/>
  <c r="C17" i="21"/>
  <c r="B17" i="21"/>
  <c r="A17" i="21"/>
  <c r="L16" i="21"/>
  <c r="J16" i="21"/>
  <c r="I16" i="21"/>
  <c r="H16" i="21"/>
  <c r="N16" i="21" s="1"/>
  <c r="G16" i="21"/>
  <c r="F16" i="21"/>
  <c r="E16" i="21"/>
  <c r="D16" i="21"/>
  <c r="C16" i="21"/>
  <c r="B16" i="21"/>
  <c r="A16" i="21"/>
  <c r="N15" i="21"/>
  <c r="J15" i="21"/>
  <c r="I15" i="21"/>
  <c r="M15" i="21" s="1"/>
  <c r="H15" i="21"/>
  <c r="G15" i="21"/>
  <c r="F15" i="21"/>
  <c r="E15" i="21"/>
  <c r="D15" i="21"/>
  <c r="C15" i="21"/>
  <c r="B15" i="21"/>
  <c r="A15" i="21"/>
  <c r="L14" i="21"/>
  <c r="J14" i="21"/>
  <c r="I14" i="21"/>
  <c r="H14" i="21"/>
  <c r="M14" i="21" s="1"/>
  <c r="G14" i="21"/>
  <c r="K14" i="21" s="1"/>
  <c r="F14" i="21"/>
  <c r="E14" i="21"/>
  <c r="D14" i="21"/>
  <c r="C14" i="21"/>
  <c r="B14" i="21"/>
  <c r="A14" i="21"/>
  <c r="L13" i="21"/>
  <c r="J13" i="21"/>
  <c r="I13" i="21"/>
  <c r="H13" i="21"/>
  <c r="N13" i="21" s="1"/>
  <c r="G13" i="21"/>
  <c r="K13" i="21" s="1"/>
  <c r="F13" i="21"/>
  <c r="E13" i="21"/>
  <c r="D13" i="21"/>
  <c r="C13" i="21"/>
  <c r="B13" i="21"/>
  <c r="A13" i="21"/>
  <c r="L12" i="21"/>
  <c r="J12" i="21"/>
  <c r="I12" i="21"/>
  <c r="H12" i="21"/>
  <c r="N12" i="21" s="1"/>
  <c r="G12" i="21"/>
  <c r="F12" i="21"/>
  <c r="E12" i="21"/>
  <c r="D12" i="21"/>
  <c r="C12" i="21"/>
  <c r="B12" i="21"/>
  <c r="A12" i="21"/>
  <c r="J11" i="21"/>
  <c r="N11" i="21" s="1"/>
  <c r="I11" i="21"/>
  <c r="M11" i="21" s="1"/>
  <c r="H11" i="21"/>
  <c r="G11" i="21"/>
  <c r="F11" i="21"/>
  <c r="L11" i="21" s="1"/>
  <c r="E11" i="21"/>
  <c r="D11" i="21"/>
  <c r="C11" i="21"/>
  <c r="B11" i="21"/>
  <c r="A11" i="21"/>
  <c r="L10" i="21"/>
  <c r="J10" i="21"/>
  <c r="I10" i="21"/>
  <c r="H10" i="21"/>
  <c r="M10" i="21" s="1"/>
  <c r="G10" i="21"/>
  <c r="F10" i="21"/>
  <c r="K10" i="21" s="1"/>
  <c r="E10" i="21"/>
  <c r="D10" i="21"/>
  <c r="C10" i="21"/>
  <c r="B10" i="21"/>
  <c r="A10" i="21"/>
  <c r="J9" i="21"/>
  <c r="N9" i="21" s="1"/>
  <c r="I9" i="21"/>
  <c r="M9" i="21" s="1"/>
  <c r="H9" i="21"/>
  <c r="G9" i="21"/>
  <c r="F9" i="21"/>
  <c r="L9" i="21" s="1"/>
  <c r="E9" i="21"/>
  <c r="D9" i="21"/>
  <c r="C9" i="21"/>
  <c r="B9" i="21"/>
  <c r="A9" i="21"/>
  <c r="J8" i="21"/>
  <c r="N8" i="21" s="1"/>
  <c r="I8" i="21"/>
  <c r="H8" i="21"/>
  <c r="M8" i="21" s="1"/>
  <c r="G8" i="21"/>
  <c r="F8" i="21"/>
  <c r="E8" i="21"/>
  <c r="D8" i="21"/>
  <c r="C8" i="21"/>
  <c r="B8" i="21"/>
  <c r="A8" i="21"/>
  <c r="J7" i="21"/>
  <c r="I7" i="21"/>
  <c r="H7" i="21"/>
  <c r="G7" i="21"/>
  <c r="L7" i="21" s="1"/>
  <c r="F7" i="21"/>
  <c r="E7" i="21"/>
  <c r="D7" i="21"/>
  <c r="C7" i="21"/>
  <c r="B7" i="21"/>
  <c r="A7" i="21"/>
  <c r="L6" i="21"/>
  <c r="J6" i="21"/>
  <c r="I6" i="21"/>
  <c r="H6" i="21"/>
  <c r="M6" i="21" s="1"/>
  <c r="G6" i="21"/>
  <c r="F6" i="21"/>
  <c r="E6" i="21"/>
  <c r="D6" i="21"/>
  <c r="C6" i="21"/>
  <c r="B6" i="21"/>
  <c r="A6" i="21"/>
  <c r="J5" i="21"/>
  <c r="N5" i="21" s="1"/>
  <c r="I5" i="21"/>
  <c r="M5" i="21" s="1"/>
  <c r="H5" i="21"/>
  <c r="P5" i="21" s="1"/>
  <c r="G5" i="21"/>
  <c r="F5" i="21"/>
  <c r="L5" i="21" s="1"/>
  <c r="E5" i="21"/>
  <c r="D5" i="21"/>
  <c r="C5" i="21"/>
  <c r="B5" i="21"/>
  <c r="A5" i="21"/>
  <c r="J4" i="21"/>
  <c r="N4" i="21" s="1"/>
  <c r="I4" i="21"/>
  <c r="H4" i="21"/>
  <c r="M4" i="21" s="1"/>
  <c r="G4" i="21"/>
  <c r="F4" i="21"/>
  <c r="E4" i="21"/>
  <c r="D4" i="21"/>
  <c r="C4" i="21"/>
  <c r="B4" i="21"/>
  <c r="A4" i="21"/>
  <c r="J3" i="21"/>
  <c r="I3" i="21"/>
  <c r="H3" i="21"/>
  <c r="G3" i="21"/>
  <c r="L3" i="21" s="1"/>
  <c r="F3" i="21"/>
  <c r="E3" i="21"/>
  <c r="D3" i="21"/>
  <c r="C3" i="21"/>
  <c r="B3" i="21"/>
  <c r="A3" i="21"/>
  <c r="I2" i="15"/>
  <c r="H2" i="15"/>
  <c r="F2" i="15"/>
  <c r="G2" i="15"/>
  <c r="C2" i="15"/>
  <c r="B2" i="15"/>
  <c r="A2" i="15"/>
  <c r="Q2" i="21"/>
  <c r="D2" i="15" s="1"/>
  <c r="P2" i="21"/>
  <c r="N2" i="21"/>
  <c r="M2" i="21"/>
  <c r="L2" i="21"/>
  <c r="K2" i="21"/>
  <c r="J2" i="21"/>
  <c r="I2" i="21"/>
  <c r="H2" i="21"/>
  <c r="G2" i="21"/>
  <c r="F2" i="21"/>
  <c r="E2" i="21"/>
  <c r="D2" i="21"/>
  <c r="E2" i="15" s="1"/>
  <c r="C2" i="21"/>
  <c r="B2" i="21"/>
  <c r="A2" i="21"/>
  <c r="O2" i="15" l="1"/>
  <c r="K2" i="15"/>
  <c r="J2" i="15"/>
  <c r="L2" i="15" s="1"/>
  <c r="I100" i="2"/>
  <c r="I116" i="2"/>
  <c r="I238" i="2"/>
  <c r="L10" i="2"/>
  <c r="L26" i="2"/>
  <c r="L230" i="2"/>
  <c r="I246" i="2"/>
  <c r="L42" i="2"/>
  <c r="L84" i="2"/>
  <c r="I84" i="2"/>
  <c r="L122" i="2"/>
  <c r="I124" i="2"/>
  <c r="L268" i="2"/>
  <c r="I270" i="2"/>
  <c r="L90" i="2"/>
  <c r="I92" i="2"/>
  <c r="L116" i="2"/>
  <c r="I132" i="2"/>
  <c r="I214" i="2"/>
  <c r="L262" i="2"/>
  <c r="I278" i="2"/>
  <c r="L76" i="2"/>
  <c r="L108" i="2"/>
  <c r="L222" i="2"/>
  <c r="L236" i="2"/>
  <c r="L254" i="2"/>
  <c r="L286" i="2"/>
  <c r="L66" i="2"/>
  <c r="L74" i="2"/>
  <c r="I76" i="2"/>
  <c r="L92" i="2"/>
  <c r="L106" i="2"/>
  <c r="I108" i="2"/>
  <c r="L124" i="2"/>
  <c r="L220" i="2"/>
  <c r="I222" i="2"/>
  <c r="L238" i="2"/>
  <c r="L252" i="2"/>
  <c r="I254" i="2"/>
  <c r="L270" i="2"/>
  <c r="L284" i="2"/>
  <c r="I286" i="2"/>
  <c r="L100" i="2"/>
  <c r="L132" i="2"/>
  <c r="L140" i="2"/>
  <c r="L148" i="2"/>
  <c r="L156" i="2"/>
  <c r="L183" i="2"/>
  <c r="L199" i="2"/>
  <c r="L214" i="2"/>
  <c r="I230" i="2"/>
  <c r="L246" i="2"/>
  <c r="I262" i="2"/>
  <c r="L278" i="2"/>
  <c r="I294" i="2"/>
  <c r="L18" i="2"/>
  <c r="L34" i="2"/>
  <c r="L50" i="2"/>
  <c r="L14" i="2"/>
  <c r="L30" i="2"/>
  <c r="L46" i="2"/>
  <c r="L60" i="2"/>
  <c r="I62" i="2"/>
  <c r="L72" i="2"/>
  <c r="L78" i="2"/>
  <c r="I80" i="2"/>
  <c r="L88" i="2"/>
  <c r="L94" i="2"/>
  <c r="I96" i="2"/>
  <c r="L104" i="2"/>
  <c r="L110" i="2"/>
  <c r="I112" i="2"/>
  <c r="L120" i="2"/>
  <c r="L126" i="2"/>
  <c r="I128" i="2"/>
  <c r="L138" i="2"/>
  <c r="L146" i="2"/>
  <c r="L154" i="2"/>
  <c r="L187" i="2"/>
  <c r="L204" i="2"/>
  <c r="I206" i="2"/>
  <c r="L208" i="2"/>
  <c r="I210" i="2"/>
  <c r="L218" i="2"/>
  <c r="L224" i="2"/>
  <c r="I226" i="2"/>
  <c r="L234" i="2"/>
  <c r="L240" i="2"/>
  <c r="I242" i="2"/>
  <c r="L250" i="2"/>
  <c r="L256" i="2"/>
  <c r="I258" i="2"/>
  <c r="L266" i="2"/>
  <c r="L272" i="2"/>
  <c r="I274" i="2"/>
  <c r="L282" i="2"/>
  <c r="L288" i="2"/>
  <c r="I290" i="2"/>
  <c r="I301" i="2"/>
  <c r="L307" i="2"/>
  <c r="I311" i="2"/>
  <c r="L315" i="2"/>
  <c r="L317" i="2"/>
  <c r="I319" i="2"/>
  <c r="L323" i="2"/>
  <c r="L325" i="2"/>
  <c r="I327" i="2"/>
  <c r="L331" i="2"/>
  <c r="L333" i="2"/>
  <c r="L343" i="2"/>
  <c r="L359" i="2"/>
  <c r="L387" i="2"/>
  <c r="L355" i="2"/>
  <c r="L371" i="2"/>
  <c r="L383" i="2"/>
  <c r="L6" i="2"/>
  <c r="L22" i="2"/>
  <c r="L38" i="2"/>
  <c r="L54" i="2"/>
  <c r="I60" i="2"/>
  <c r="L62" i="2"/>
  <c r="L68" i="2"/>
  <c r="L80" i="2"/>
  <c r="L86" i="2"/>
  <c r="I88" i="2"/>
  <c r="L96" i="2"/>
  <c r="L102" i="2"/>
  <c r="I104" i="2"/>
  <c r="L112" i="2"/>
  <c r="L118" i="2"/>
  <c r="I120" i="2"/>
  <c r="L128" i="2"/>
  <c r="L134" i="2"/>
  <c r="L142" i="2"/>
  <c r="L150" i="2"/>
  <c r="L158" i="2"/>
  <c r="L179" i="2"/>
  <c r="L195" i="2"/>
  <c r="I204" i="2"/>
  <c r="L206" i="2"/>
  <c r="I208" i="2"/>
  <c r="L210" i="2"/>
  <c r="I218" i="2"/>
  <c r="L226" i="2"/>
  <c r="L232" i="2"/>
  <c r="I234" i="2"/>
  <c r="L242" i="2"/>
  <c r="L248" i="2"/>
  <c r="I250" i="2"/>
  <c r="L258" i="2"/>
  <c r="L264" i="2"/>
  <c r="I266" i="2"/>
  <c r="L274" i="2"/>
  <c r="L280" i="2"/>
  <c r="I282" i="2"/>
  <c r="L290" i="2"/>
  <c r="L301" i="2"/>
  <c r="L303" i="2"/>
  <c r="I307" i="2"/>
  <c r="L311" i="2"/>
  <c r="I315" i="2"/>
  <c r="L319" i="2"/>
  <c r="L321" i="2"/>
  <c r="I323" i="2"/>
  <c r="L327" i="2"/>
  <c r="L329" i="2"/>
  <c r="I331" i="2"/>
  <c r="L335" i="2"/>
  <c r="L337" i="2"/>
  <c r="L339" i="2"/>
  <c r="L367" i="2"/>
  <c r="L379" i="2"/>
  <c r="L395" i="2"/>
  <c r="L70" i="2"/>
  <c r="L82" i="2"/>
  <c r="L98" i="2"/>
  <c r="L114" i="2"/>
  <c r="L130" i="2"/>
  <c r="L136" i="2"/>
  <c r="L144" i="2"/>
  <c r="L152" i="2"/>
  <c r="L159" i="2"/>
  <c r="L166" i="2"/>
  <c r="L175" i="2"/>
  <c r="L191" i="2"/>
  <c r="L228" i="2"/>
  <c r="L244" i="2"/>
  <c r="L260" i="2"/>
  <c r="L276" i="2"/>
  <c r="L292" i="2"/>
  <c r="L296" i="2"/>
  <c r="L363" i="2"/>
  <c r="L373" i="2"/>
  <c r="L375" i="2"/>
  <c r="L391" i="2"/>
  <c r="I55" i="2"/>
  <c r="H55" i="2"/>
  <c r="H56" i="2"/>
  <c r="I56" i="2"/>
  <c r="I59" i="2"/>
  <c r="H59" i="2"/>
  <c r="I63" i="2"/>
  <c r="H63" i="2"/>
  <c r="H64" i="2"/>
  <c r="I64" i="2"/>
  <c r="E5" i="2"/>
  <c r="H6" i="2"/>
  <c r="G7" i="2"/>
  <c r="K7" i="2"/>
  <c r="G4" i="2"/>
  <c r="G8" i="2"/>
  <c r="I10" i="2"/>
  <c r="G12" i="2"/>
  <c r="I14" i="2"/>
  <c r="G16" i="2"/>
  <c r="I18" i="2"/>
  <c r="G20" i="2"/>
  <c r="I22" i="2"/>
  <c r="G24" i="2"/>
  <c r="L24" i="2" s="1"/>
  <c r="I26" i="2"/>
  <c r="G28" i="2"/>
  <c r="I30" i="2"/>
  <c r="G32" i="2"/>
  <c r="L32" i="2" s="1"/>
  <c r="I34" i="2"/>
  <c r="G36" i="2"/>
  <c r="I38" i="2"/>
  <c r="G40" i="2"/>
  <c r="I42" i="2"/>
  <c r="G44" i="2"/>
  <c r="I46" i="2"/>
  <c r="G48" i="2"/>
  <c r="L48" i="2" s="1"/>
  <c r="I50" i="2"/>
  <c r="G52" i="2"/>
  <c r="I54" i="2"/>
  <c r="E59" i="2"/>
  <c r="K59" i="2"/>
  <c r="L59" i="2" s="1"/>
  <c r="E65" i="2"/>
  <c r="I66" i="2"/>
  <c r="E67" i="2"/>
  <c r="I68" i="2"/>
  <c r="E69" i="2"/>
  <c r="I70" i="2"/>
  <c r="E71" i="2"/>
  <c r="I72" i="2"/>
  <c r="E73" i="2"/>
  <c r="E3" i="2"/>
  <c r="G5" i="2"/>
  <c r="L5" i="2" s="1"/>
  <c r="G9" i="2"/>
  <c r="K9" i="2"/>
  <c r="E11" i="2"/>
  <c r="G13" i="2"/>
  <c r="K13" i="2"/>
  <c r="E15" i="2"/>
  <c r="G17" i="2"/>
  <c r="K17" i="2"/>
  <c r="E19" i="2"/>
  <c r="G21" i="2"/>
  <c r="K21" i="2"/>
  <c r="L21" i="2" s="1"/>
  <c r="E23" i="2"/>
  <c r="G25" i="2"/>
  <c r="K25" i="2"/>
  <c r="E27" i="2"/>
  <c r="G29" i="2"/>
  <c r="K29" i="2"/>
  <c r="E31" i="2"/>
  <c r="G33" i="2"/>
  <c r="K33" i="2"/>
  <c r="E35" i="2"/>
  <c r="G37" i="2"/>
  <c r="K37" i="2"/>
  <c r="L37" i="2" s="1"/>
  <c r="E39" i="2"/>
  <c r="G41" i="2"/>
  <c r="K41" i="2"/>
  <c r="E43" i="2"/>
  <c r="G45" i="2"/>
  <c r="K45" i="2"/>
  <c r="E47" i="2"/>
  <c r="G49" i="2"/>
  <c r="K49" i="2"/>
  <c r="E51" i="2"/>
  <c r="G53" i="2"/>
  <c r="K53" i="2"/>
  <c r="L53" i="2" s="1"/>
  <c r="E55" i="2"/>
  <c r="E56" i="2"/>
  <c r="G58" i="2"/>
  <c r="K58" i="2"/>
  <c r="L58" i="2" s="1"/>
  <c r="K61" i="2"/>
  <c r="G61" i="2"/>
  <c r="E64" i="2"/>
  <c r="K55" i="2"/>
  <c r="L55" i="2" s="1"/>
  <c r="K56" i="2"/>
  <c r="L56" i="2" s="1"/>
  <c r="K63" i="2"/>
  <c r="L63" i="2" s="1"/>
  <c r="K64" i="2"/>
  <c r="L64" i="2" s="1"/>
  <c r="I162" i="2"/>
  <c r="H162" i="2"/>
  <c r="G3" i="2"/>
  <c r="G11" i="2"/>
  <c r="G15" i="2"/>
  <c r="L15" i="2" s="1"/>
  <c r="G19" i="2"/>
  <c r="L19" i="2" s="1"/>
  <c r="G23" i="2"/>
  <c r="G27" i="2"/>
  <c r="G31" i="2"/>
  <c r="G35" i="2"/>
  <c r="G39" i="2"/>
  <c r="G43" i="2"/>
  <c r="G47" i="2"/>
  <c r="L47" i="2" s="1"/>
  <c r="G51" i="2"/>
  <c r="L51" i="2" s="1"/>
  <c r="K57" i="2"/>
  <c r="G57" i="2"/>
  <c r="K65" i="2"/>
  <c r="G65" i="2"/>
  <c r="K67" i="2"/>
  <c r="G67" i="2"/>
  <c r="K69" i="2"/>
  <c r="G69" i="2"/>
  <c r="K71" i="2"/>
  <c r="G71" i="2"/>
  <c r="K73" i="2"/>
  <c r="G73" i="2"/>
  <c r="I74" i="2"/>
  <c r="H74" i="2"/>
  <c r="I136" i="2"/>
  <c r="I140" i="2"/>
  <c r="I144" i="2"/>
  <c r="I148" i="2"/>
  <c r="I152" i="2"/>
  <c r="I156" i="2"/>
  <c r="K170" i="2"/>
  <c r="G170" i="2"/>
  <c r="G75" i="2"/>
  <c r="H78" i="2"/>
  <c r="G79" i="2"/>
  <c r="H82" i="2"/>
  <c r="G83" i="2"/>
  <c r="H86" i="2"/>
  <c r="G87" i="2"/>
  <c r="H90" i="2"/>
  <c r="G91" i="2"/>
  <c r="L91" i="2" s="1"/>
  <c r="H94" i="2"/>
  <c r="G95" i="2"/>
  <c r="H98" i="2"/>
  <c r="G99" i="2"/>
  <c r="L99" i="2" s="1"/>
  <c r="H102" i="2"/>
  <c r="G103" i="2"/>
  <c r="H106" i="2"/>
  <c r="G107" i="2"/>
  <c r="H110" i="2"/>
  <c r="G111" i="2"/>
  <c r="H114" i="2"/>
  <c r="G115" i="2"/>
  <c r="H118" i="2"/>
  <c r="G119" i="2"/>
  <c r="H122" i="2"/>
  <c r="G123" i="2"/>
  <c r="L123" i="2" s="1"/>
  <c r="H126" i="2"/>
  <c r="G127" i="2"/>
  <c r="H130" i="2"/>
  <c r="G131" i="2"/>
  <c r="L131" i="2" s="1"/>
  <c r="H134" i="2"/>
  <c r="G135" i="2"/>
  <c r="H138" i="2"/>
  <c r="G139" i="2"/>
  <c r="L139" i="2" s="1"/>
  <c r="H142" i="2"/>
  <c r="G143" i="2"/>
  <c r="H146" i="2"/>
  <c r="G147" i="2"/>
  <c r="L147" i="2" s="1"/>
  <c r="H150" i="2"/>
  <c r="G151" i="2"/>
  <c r="H154" i="2"/>
  <c r="G155" i="2"/>
  <c r="H158" i="2"/>
  <c r="H159" i="2"/>
  <c r="K161" i="2"/>
  <c r="G161" i="2"/>
  <c r="E162" i="2"/>
  <c r="K162" i="2"/>
  <c r="L162" i="2" s="1"/>
  <c r="G163" i="2"/>
  <c r="K165" i="2"/>
  <c r="G165" i="2"/>
  <c r="E166" i="2"/>
  <c r="G167" i="2"/>
  <c r="E168" i="2"/>
  <c r="K168" i="2"/>
  <c r="G168" i="2"/>
  <c r="E170" i="2"/>
  <c r="L171" i="2"/>
  <c r="I175" i="2"/>
  <c r="H175" i="2"/>
  <c r="E176" i="2"/>
  <c r="K176" i="2"/>
  <c r="G176" i="2"/>
  <c r="I201" i="2"/>
  <c r="H201" i="2"/>
  <c r="K160" i="2"/>
  <c r="G160" i="2"/>
  <c r="K164" i="2"/>
  <c r="G164" i="2"/>
  <c r="K174" i="2"/>
  <c r="G174" i="2"/>
  <c r="G77" i="2"/>
  <c r="G81" i="2"/>
  <c r="G85" i="2"/>
  <c r="L85" i="2" s="1"/>
  <c r="G89" i="2"/>
  <c r="G93" i="2"/>
  <c r="G97" i="2"/>
  <c r="L97" i="2" s="1"/>
  <c r="G101" i="2"/>
  <c r="G105" i="2"/>
  <c r="G109" i="2"/>
  <c r="G113" i="2"/>
  <c r="G117" i="2"/>
  <c r="L117" i="2" s="1"/>
  <c r="G121" i="2"/>
  <c r="G125" i="2"/>
  <c r="G129" i="2"/>
  <c r="L129" i="2" s="1"/>
  <c r="G133" i="2"/>
  <c r="G137" i="2"/>
  <c r="G141" i="2"/>
  <c r="G145" i="2"/>
  <c r="L145" i="2" s="1"/>
  <c r="G149" i="2"/>
  <c r="L149" i="2" s="1"/>
  <c r="G153" i="2"/>
  <c r="G157" i="2"/>
  <c r="E159" i="2"/>
  <c r="K163" i="2"/>
  <c r="L163" i="2" s="1"/>
  <c r="H166" i="2"/>
  <c r="K167" i="2"/>
  <c r="I171" i="2"/>
  <c r="H171" i="2"/>
  <c r="E172" i="2"/>
  <c r="K172" i="2"/>
  <c r="G172" i="2"/>
  <c r="K201" i="2"/>
  <c r="L201" i="2" s="1"/>
  <c r="K202" i="2"/>
  <c r="K215" i="2"/>
  <c r="G215" i="2"/>
  <c r="I216" i="2"/>
  <c r="H216" i="2"/>
  <c r="H179" i="2"/>
  <c r="G180" i="2"/>
  <c r="K180" i="2"/>
  <c r="H183" i="2"/>
  <c r="G184" i="2"/>
  <c r="K184" i="2"/>
  <c r="H187" i="2"/>
  <c r="G188" i="2"/>
  <c r="K188" i="2"/>
  <c r="H191" i="2"/>
  <c r="G192" i="2"/>
  <c r="H195" i="2"/>
  <c r="G196" i="2"/>
  <c r="K196" i="2"/>
  <c r="H199" i="2"/>
  <c r="G200" i="2"/>
  <c r="L200" i="2" s="1"/>
  <c r="G202" i="2"/>
  <c r="K203" i="2"/>
  <c r="G203" i="2"/>
  <c r="K205" i="2"/>
  <c r="G205" i="2"/>
  <c r="K207" i="2"/>
  <c r="G207" i="2"/>
  <c r="K209" i="2"/>
  <c r="G209" i="2"/>
  <c r="L212" i="2"/>
  <c r="E215" i="2"/>
  <c r="I300" i="2"/>
  <c r="H300" i="2"/>
  <c r="G169" i="2"/>
  <c r="L169" i="2" s="1"/>
  <c r="G173" i="2"/>
  <c r="G177" i="2"/>
  <c r="L177" i="2" s="1"/>
  <c r="G181" i="2"/>
  <c r="L181" i="2" s="1"/>
  <c r="G185" i="2"/>
  <c r="L185" i="2" s="1"/>
  <c r="G189" i="2"/>
  <c r="G193" i="2"/>
  <c r="G197" i="2"/>
  <c r="K213" i="2"/>
  <c r="L216" i="2"/>
  <c r="G178" i="2"/>
  <c r="L178" i="2" s="1"/>
  <c r="G182" i="2"/>
  <c r="G186" i="2"/>
  <c r="L186" i="2" s="1"/>
  <c r="G190" i="2"/>
  <c r="L190" i="2" s="1"/>
  <c r="G194" i="2"/>
  <c r="L194" i="2" s="1"/>
  <c r="G198" i="2"/>
  <c r="L198" i="2" s="1"/>
  <c r="K211" i="2"/>
  <c r="G211" i="2"/>
  <c r="I212" i="2"/>
  <c r="H212" i="2"/>
  <c r="K217" i="2"/>
  <c r="L291" i="2"/>
  <c r="G219" i="2"/>
  <c r="L219" i="2" s="1"/>
  <c r="G223" i="2"/>
  <c r="G227" i="2"/>
  <c r="L227" i="2" s="1"/>
  <c r="G231" i="2"/>
  <c r="G235" i="2"/>
  <c r="L235" i="2" s="1"/>
  <c r="G239" i="2"/>
  <c r="G243" i="2"/>
  <c r="L243" i="2" s="1"/>
  <c r="G247" i="2"/>
  <c r="L247" i="2" s="1"/>
  <c r="G251" i="2"/>
  <c r="L251" i="2" s="1"/>
  <c r="G255" i="2"/>
  <c r="G259" i="2"/>
  <c r="L259" i="2" s="1"/>
  <c r="G263" i="2"/>
  <c r="G267" i="2"/>
  <c r="L267" i="2" s="1"/>
  <c r="G271" i="2"/>
  <c r="G275" i="2"/>
  <c r="L275" i="2" s="1"/>
  <c r="G279" i="2"/>
  <c r="L279" i="2" s="1"/>
  <c r="G283" i="2"/>
  <c r="L283" i="2" s="1"/>
  <c r="G287" i="2"/>
  <c r="G291" i="2"/>
  <c r="G295" i="2"/>
  <c r="K297" i="2"/>
  <c r="L297" i="2" s="1"/>
  <c r="K304" i="2"/>
  <c r="L304" i="2" s="1"/>
  <c r="I305" i="2"/>
  <c r="H305" i="2"/>
  <c r="I309" i="2"/>
  <c r="H309" i="2"/>
  <c r="I313" i="2"/>
  <c r="H313" i="2"/>
  <c r="K298" i="2"/>
  <c r="G298" i="2"/>
  <c r="K308" i="2"/>
  <c r="G308" i="2"/>
  <c r="K312" i="2"/>
  <c r="G312" i="2"/>
  <c r="I342" i="2"/>
  <c r="H342" i="2"/>
  <c r="G213" i="2"/>
  <c r="G217" i="2"/>
  <c r="H220" i="2"/>
  <c r="G221" i="2"/>
  <c r="H224" i="2"/>
  <c r="G225" i="2"/>
  <c r="H228" i="2"/>
  <c r="G229" i="2"/>
  <c r="L229" i="2" s="1"/>
  <c r="H232" i="2"/>
  <c r="G233" i="2"/>
  <c r="H236" i="2"/>
  <c r="G237" i="2"/>
  <c r="L237" i="2" s="1"/>
  <c r="H240" i="2"/>
  <c r="G241" i="2"/>
  <c r="L241" i="2" s="1"/>
  <c r="H244" i="2"/>
  <c r="G245" i="2"/>
  <c r="L245" i="2" s="1"/>
  <c r="H248" i="2"/>
  <c r="G249" i="2"/>
  <c r="L249" i="2" s="1"/>
  <c r="H252" i="2"/>
  <c r="G253" i="2"/>
  <c r="H256" i="2"/>
  <c r="G257" i="2"/>
  <c r="H260" i="2"/>
  <c r="G261" i="2"/>
  <c r="L261" i="2" s="1"/>
  <c r="H264" i="2"/>
  <c r="G265" i="2"/>
  <c r="H268" i="2"/>
  <c r="G269" i="2"/>
  <c r="L269" i="2" s="1"/>
  <c r="H272" i="2"/>
  <c r="G273" i="2"/>
  <c r="L273" i="2" s="1"/>
  <c r="H276" i="2"/>
  <c r="G277" i="2"/>
  <c r="L277" i="2" s="1"/>
  <c r="H280" i="2"/>
  <c r="G281" i="2"/>
  <c r="L281" i="2" s="1"/>
  <c r="H284" i="2"/>
  <c r="G285" i="2"/>
  <c r="H288" i="2"/>
  <c r="G289" i="2"/>
  <c r="H292" i="2"/>
  <c r="G293" i="2"/>
  <c r="L293" i="2" s="1"/>
  <c r="H296" i="2"/>
  <c r="I297" i="2"/>
  <c r="E298" i="2"/>
  <c r="E300" i="2"/>
  <c r="K300" i="2"/>
  <c r="L300" i="2" s="1"/>
  <c r="H303" i="2"/>
  <c r="H304" i="2"/>
  <c r="K305" i="2"/>
  <c r="L305" i="2" s="1"/>
  <c r="E308" i="2"/>
  <c r="L309" i="2"/>
  <c r="L313" i="2"/>
  <c r="G299" i="2"/>
  <c r="L299" i="2" s="1"/>
  <c r="K302" i="2"/>
  <c r="G302" i="2"/>
  <c r="K306" i="2"/>
  <c r="K310" i="2"/>
  <c r="K314" i="2"/>
  <c r="G306" i="2"/>
  <c r="G310" i="2"/>
  <c r="G314" i="2"/>
  <c r="H317" i="2"/>
  <c r="G318" i="2"/>
  <c r="L318" i="2" s="1"/>
  <c r="H321" i="2"/>
  <c r="G322" i="2"/>
  <c r="H325" i="2"/>
  <c r="G326" i="2"/>
  <c r="H329" i="2"/>
  <c r="G330" i="2"/>
  <c r="L330" i="2" s="1"/>
  <c r="H333" i="2"/>
  <c r="G334" i="2"/>
  <c r="H337" i="2"/>
  <c r="G338" i="2"/>
  <c r="E340" i="2"/>
  <c r="H343" i="2"/>
  <c r="K344" i="2"/>
  <c r="H347" i="2"/>
  <c r="K348" i="2"/>
  <c r="L348" i="2" s="1"/>
  <c r="K354" i="2"/>
  <c r="G354" i="2"/>
  <c r="E354" i="2"/>
  <c r="E341" i="2"/>
  <c r="K342" i="2"/>
  <c r="L342" i="2" s="1"/>
  <c r="I351" i="2"/>
  <c r="H351" i="2"/>
  <c r="E352" i="2"/>
  <c r="K352" i="2"/>
  <c r="G352" i="2"/>
  <c r="G316" i="2"/>
  <c r="L316" i="2" s="1"/>
  <c r="G320" i="2"/>
  <c r="L320" i="2" s="1"/>
  <c r="G324" i="2"/>
  <c r="G328" i="2"/>
  <c r="L328" i="2" s="1"/>
  <c r="G332" i="2"/>
  <c r="L332" i="2" s="1"/>
  <c r="G336" i="2"/>
  <c r="L336" i="2" s="1"/>
  <c r="H339" i="2"/>
  <c r="G340" i="2"/>
  <c r="E343" i="2"/>
  <c r="G344" i="2"/>
  <c r="K346" i="2"/>
  <c r="G346" i="2"/>
  <c r="I348" i="2"/>
  <c r="H348" i="2"/>
  <c r="K350" i="2"/>
  <c r="G350" i="2"/>
  <c r="E350" i="2"/>
  <c r="G341" i="2"/>
  <c r="K345" i="2"/>
  <c r="G345" i="2"/>
  <c r="L347" i="2"/>
  <c r="K349" i="2"/>
  <c r="G349" i="2"/>
  <c r="L351" i="2"/>
  <c r="I355" i="2"/>
  <c r="H355" i="2"/>
  <c r="E356" i="2"/>
  <c r="K356" i="2"/>
  <c r="G356" i="2"/>
  <c r="E358" i="2"/>
  <c r="H359" i="2"/>
  <c r="G360" i="2"/>
  <c r="K360" i="2"/>
  <c r="E362" i="2"/>
  <c r="H363" i="2"/>
  <c r="G364" i="2"/>
  <c r="K364" i="2"/>
  <c r="E366" i="2"/>
  <c r="H367" i="2"/>
  <c r="G368" i="2"/>
  <c r="K368" i="2"/>
  <c r="H371" i="2"/>
  <c r="G372" i="2"/>
  <c r="H375" i="2"/>
  <c r="G376" i="2"/>
  <c r="K376" i="2"/>
  <c r="H379" i="2"/>
  <c r="G380" i="2"/>
  <c r="K380" i="2"/>
  <c r="H383" i="2"/>
  <c r="G384" i="2"/>
  <c r="K384" i="2"/>
  <c r="H387" i="2"/>
  <c r="G388" i="2"/>
  <c r="K388" i="2"/>
  <c r="H391" i="2"/>
  <c r="G392" i="2"/>
  <c r="K392" i="2"/>
  <c r="H395" i="2"/>
  <c r="G396" i="2"/>
  <c r="K396" i="2"/>
  <c r="G353" i="2"/>
  <c r="L353" i="2" s="1"/>
  <c r="G357" i="2"/>
  <c r="L357" i="2" s="1"/>
  <c r="G361" i="2"/>
  <c r="G365" i="2"/>
  <c r="L365" i="2" s="1"/>
  <c r="G369" i="2"/>
  <c r="L369" i="2" s="1"/>
  <c r="G377" i="2"/>
  <c r="G381" i="2"/>
  <c r="L381" i="2" s="1"/>
  <c r="G385" i="2"/>
  <c r="G389" i="2"/>
  <c r="L389" i="2" s="1"/>
  <c r="G393" i="2"/>
  <c r="L393" i="2" s="1"/>
  <c r="G397" i="2"/>
  <c r="K397" i="2"/>
  <c r="G358" i="2"/>
  <c r="L358" i="2" s="1"/>
  <c r="G362" i="2"/>
  <c r="G366" i="2"/>
  <c r="L366" i="2" s="1"/>
  <c r="G370" i="2"/>
  <c r="G374" i="2"/>
  <c r="G378" i="2"/>
  <c r="G382" i="2"/>
  <c r="L382" i="2" s="1"/>
  <c r="G386" i="2"/>
  <c r="G390" i="2"/>
  <c r="L390" i="2" s="1"/>
  <c r="G394" i="2"/>
  <c r="L394" i="2" s="1"/>
  <c r="G398" i="2"/>
  <c r="L398" i="2" s="1"/>
  <c r="G2" i="2"/>
  <c r="H2" i="2" s="1"/>
  <c r="N3" i="15"/>
  <c r="M3" i="15"/>
  <c r="M11" i="15"/>
  <c r="N11" i="15"/>
  <c r="L78" i="15"/>
  <c r="M7" i="15"/>
  <c r="N7" i="15"/>
  <c r="L29" i="15"/>
  <c r="N61" i="15"/>
  <c r="M61" i="15"/>
  <c r="L28" i="15"/>
  <c r="N28" i="15" s="1"/>
  <c r="K4" i="15"/>
  <c r="O4" i="15"/>
  <c r="L5" i="15"/>
  <c r="K8" i="15"/>
  <c r="O8" i="15"/>
  <c r="L9" i="15"/>
  <c r="K12" i="15"/>
  <c r="O12" i="15"/>
  <c r="L19" i="15"/>
  <c r="M28" i="15"/>
  <c r="K39" i="15"/>
  <c r="O39" i="15"/>
  <c r="L48" i="15"/>
  <c r="K63" i="15"/>
  <c r="O63" i="15"/>
  <c r="L68" i="15"/>
  <c r="O81" i="15"/>
  <c r="K81" i="15"/>
  <c r="M81" i="15"/>
  <c r="J100" i="15"/>
  <c r="O100" i="15"/>
  <c r="O101" i="15"/>
  <c r="K101" i="15"/>
  <c r="J101" i="15"/>
  <c r="N103" i="15"/>
  <c r="J172" i="15"/>
  <c r="O172" i="15"/>
  <c r="O173" i="15"/>
  <c r="K173" i="15"/>
  <c r="J173" i="15"/>
  <c r="N184" i="15"/>
  <c r="J246" i="15"/>
  <c r="M246" i="15"/>
  <c r="O246" i="15"/>
  <c r="O257" i="15"/>
  <c r="K257" i="15"/>
  <c r="J257" i="15"/>
  <c r="N263" i="15"/>
  <c r="J274" i="15"/>
  <c r="M274" i="15"/>
  <c r="O274" i="15"/>
  <c r="O275" i="15"/>
  <c r="K275" i="15"/>
  <c r="J275" i="15"/>
  <c r="M347" i="15"/>
  <c r="M375" i="15"/>
  <c r="O398" i="15"/>
  <c r="K398" i="15"/>
  <c r="J398" i="15"/>
  <c r="L10" i="15"/>
  <c r="N10" i="15" s="1"/>
  <c r="J307" i="15"/>
  <c r="O307" i="15"/>
  <c r="L4" i="15"/>
  <c r="N4" i="15" s="1"/>
  <c r="J6" i="15"/>
  <c r="L8" i="15"/>
  <c r="N8" i="15" s="1"/>
  <c r="J10" i="15"/>
  <c r="L12" i="15"/>
  <c r="N12" i="15" s="1"/>
  <c r="J28" i="15"/>
  <c r="L39" i="15"/>
  <c r="N39" i="15" s="1"/>
  <c r="J57" i="15"/>
  <c r="L63" i="15"/>
  <c r="N63" i="15" s="1"/>
  <c r="J75" i="15"/>
  <c r="L75" i="15" s="1"/>
  <c r="M84" i="15"/>
  <c r="M152" i="15"/>
  <c r="M211" i="15"/>
  <c r="M271" i="15"/>
  <c r="J281" i="15"/>
  <c r="M281" i="15"/>
  <c r="O281" i="15"/>
  <c r="O288" i="15"/>
  <c r="K288" i="15"/>
  <c r="J288" i="15"/>
  <c r="K307" i="15"/>
  <c r="J324" i="15"/>
  <c r="M324" i="15"/>
  <c r="O324" i="15"/>
  <c r="O326" i="15"/>
  <c r="K326" i="15"/>
  <c r="J326" i="15"/>
  <c r="O394" i="15"/>
  <c r="K394" i="15"/>
  <c r="J394" i="15"/>
  <c r="M394" i="15"/>
  <c r="M395" i="15"/>
  <c r="L57" i="15"/>
  <c r="N57" i="15" s="1"/>
  <c r="O311" i="15"/>
  <c r="K311" i="15"/>
  <c r="L311" i="15" s="1"/>
  <c r="J311" i="15"/>
  <c r="K6" i="15"/>
  <c r="L6" i="15" s="1"/>
  <c r="K10" i="15"/>
  <c r="K28" i="15"/>
  <c r="K57" i="15"/>
  <c r="K75" i="15"/>
  <c r="J81" i="15"/>
  <c r="K100" i="15"/>
  <c r="L101" i="15"/>
  <c r="J139" i="15"/>
  <c r="M139" i="15"/>
  <c r="O139" i="15"/>
  <c r="O151" i="15"/>
  <c r="K151" i="15"/>
  <c r="J151" i="15"/>
  <c r="K172" i="15"/>
  <c r="L173" i="15"/>
  <c r="J193" i="15"/>
  <c r="M193" i="15"/>
  <c r="O193" i="15"/>
  <c r="O206" i="15"/>
  <c r="K206" i="15"/>
  <c r="J206" i="15"/>
  <c r="K246" i="15"/>
  <c r="L257" i="15"/>
  <c r="J266" i="15"/>
  <c r="M266" i="15"/>
  <c r="O266" i="15"/>
  <c r="O269" i="15"/>
  <c r="K269" i="15"/>
  <c r="J269" i="15"/>
  <c r="K274" i="15"/>
  <c r="L275" i="15"/>
  <c r="K278" i="15"/>
  <c r="L278" i="15" s="1"/>
  <c r="L307" i="15"/>
  <c r="N307" i="15" s="1"/>
  <c r="J334" i="15"/>
  <c r="M334" i="15"/>
  <c r="O334" i="15"/>
  <c r="O346" i="15"/>
  <c r="K346" i="15"/>
  <c r="J346" i="15"/>
  <c r="J371" i="15"/>
  <c r="M371" i="15"/>
  <c r="O371" i="15"/>
  <c r="O372" i="15"/>
  <c r="K372" i="15"/>
  <c r="J372" i="15"/>
  <c r="L398" i="15"/>
  <c r="N398" i="15" s="1"/>
  <c r="L93" i="15"/>
  <c r="N93" i="15" s="1"/>
  <c r="L136" i="15"/>
  <c r="N136" i="15" s="1"/>
  <c r="L158" i="15"/>
  <c r="N158" i="15" s="1"/>
  <c r="L189" i="15"/>
  <c r="N189" i="15" s="1"/>
  <c r="L218" i="15"/>
  <c r="N218" i="15" s="1"/>
  <c r="L265" i="15"/>
  <c r="N265" i="15" s="1"/>
  <c r="L273" i="15"/>
  <c r="N273" i="15" s="1"/>
  <c r="L279" i="15"/>
  <c r="N279" i="15" s="1"/>
  <c r="L298" i="15"/>
  <c r="N298" i="15" s="1"/>
  <c r="L322" i="15"/>
  <c r="N322" i="15" s="1"/>
  <c r="O327" i="15"/>
  <c r="L328" i="15"/>
  <c r="N328" i="15" s="1"/>
  <c r="K347" i="15"/>
  <c r="O347" i="15"/>
  <c r="L368" i="15"/>
  <c r="N368" i="15" s="1"/>
  <c r="K375" i="15"/>
  <c r="O375" i="15"/>
  <c r="L387" i="15"/>
  <c r="N387" i="15" s="1"/>
  <c r="J395" i="15"/>
  <c r="K396" i="15"/>
  <c r="O396" i="15"/>
  <c r="L397" i="15"/>
  <c r="N397" i="15" s="1"/>
  <c r="K395" i="15"/>
  <c r="O395" i="15"/>
  <c r="P9" i="21"/>
  <c r="O14" i="21"/>
  <c r="M3" i="21"/>
  <c r="P3" i="21" s="1"/>
  <c r="L4" i="21"/>
  <c r="P4" i="21"/>
  <c r="K5" i="21"/>
  <c r="O5" i="21"/>
  <c r="Q5" i="21" s="1"/>
  <c r="N6" i="21"/>
  <c r="M7" i="21"/>
  <c r="P7" i="21" s="1"/>
  <c r="L8" i="21"/>
  <c r="P8" i="21"/>
  <c r="K9" i="21"/>
  <c r="O9" i="21"/>
  <c r="Q9" i="21" s="1"/>
  <c r="O10" i="21"/>
  <c r="K11" i="21"/>
  <c r="M12" i="21"/>
  <c r="P12" i="21" s="1"/>
  <c r="M13" i="21"/>
  <c r="N14" i="21"/>
  <c r="L15" i="21"/>
  <c r="O15" i="21"/>
  <c r="K15" i="21"/>
  <c r="P16" i="21"/>
  <c r="P19" i="21"/>
  <c r="O21" i="21"/>
  <c r="K22" i="21"/>
  <c r="L23" i="21"/>
  <c r="O23" i="21"/>
  <c r="K23" i="21"/>
  <c r="P24" i="21"/>
  <c r="P27" i="21"/>
  <c r="O29" i="21"/>
  <c r="K30" i="21"/>
  <c r="L31" i="21"/>
  <c r="K31" i="21"/>
  <c r="O31" i="21" s="1"/>
  <c r="Q31" i="21" s="1"/>
  <c r="K33" i="21"/>
  <c r="P35" i="21"/>
  <c r="M36" i="21"/>
  <c r="N36" i="21"/>
  <c r="P36" i="21"/>
  <c r="K46" i="21"/>
  <c r="O46" i="21" s="1"/>
  <c r="Q46" i="21" s="1"/>
  <c r="L46" i="21"/>
  <c r="P59" i="21"/>
  <c r="P75" i="21"/>
  <c r="P91" i="21"/>
  <c r="P107" i="21"/>
  <c r="N3" i="21"/>
  <c r="K6" i="21"/>
  <c r="O6" i="21" s="1"/>
  <c r="Q6" i="21" s="1"/>
  <c r="N7" i="21"/>
  <c r="P11" i="21"/>
  <c r="O13" i="21"/>
  <c r="N17" i="21"/>
  <c r="M17" i="21"/>
  <c r="P17" i="21" s="1"/>
  <c r="Q17" i="21" s="1"/>
  <c r="L18" i="21"/>
  <c r="M20" i="21"/>
  <c r="P20" i="21" s="1"/>
  <c r="Q20" i="21" s="1"/>
  <c r="N25" i="21"/>
  <c r="M25" i="21"/>
  <c r="P25" i="21" s="1"/>
  <c r="L26" i="21"/>
  <c r="O26" i="21" s="1"/>
  <c r="Q26" i="21" s="1"/>
  <c r="M28" i="21"/>
  <c r="P28" i="21" s="1"/>
  <c r="P33" i="21"/>
  <c r="Q33" i="21" s="1"/>
  <c r="N33" i="21"/>
  <c r="M33" i="21"/>
  <c r="O42" i="21"/>
  <c r="K42" i="21"/>
  <c r="L42" i="21"/>
  <c r="K45" i="21"/>
  <c r="O45" i="21" s="1"/>
  <c r="P47" i="21"/>
  <c r="P79" i="21"/>
  <c r="K3" i="21"/>
  <c r="O3" i="21"/>
  <c r="P6" i="21"/>
  <c r="K7" i="21"/>
  <c r="O7" i="21" s="1"/>
  <c r="Q7" i="21" s="1"/>
  <c r="K12" i="21"/>
  <c r="O12" i="21" s="1"/>
  <c r="Q12" i="21" s="1"/>
  <c r="P13" i="21"/>
  <c r="P14" i="21"/>
  <c r="P15" i="21"/>
  <c r="L19" i="21"/>
  <c r="O19" i="21" s="1"/>
  <c r="Q19" i="21" s="1"/>
  <c r="K19" i="21"/>
  <c r="O22" i="21"/>
  <c r="P23" i="21"/>
  <c r="Q25" i="21"/>
  <c r="L27" i="21"/>
  <c r="K27" i="21"/>
  <c r="O27" i="21" s="1"/>
  <c r="Q27" i="21" s="1"/>
  <c r="O30" i="21"/>
  <c r="P31" i="21"/>
  <c r="Q36" i="21"/>
  <c r="O38" i="21"/>
  <c r="K38" i="21"/>
  <c r="L38" i="21"/>
  <c r="K41" i="21"/>
  <c r="P43" i="21"/>
  <c r="M44" i="21"/>
  <c r="N44" i="21"/>
  <c r="P44" i="21"/>
  <c r="K4" i="21"/>
  <c r="O4" i="21" s="1"/>
  <c r="Q4" i="21" s="1"/>
  <c r="K8" i="21"/>
  <c r="O8" i="21" s="1"/>
  <c r="Q8" i="21" s="1"/>
  <c r="N10" i="21"/>
  <c r="O11" i="21"/>
  <c r="Q11" i="21" s="1"/>
  <c r="M16" i="21"/>
  <c r="N21" i="21"/>
  <c r="M21" i="21"/>
  <c r="P21" i="21" s="1"/>
  <c r="M24" i="21"/>
  <c r="N29" i="21"/>
  <c r="M29" i="21"/>
  <c r="P29" i="21" s="1"/>
  <c r="M32" i="21"/>
  <c r="P32" i="21" s="1"/>
  <c r="O34" i="21"/>
  <c r="K34" i="21"/>
  <c r="L34" i="21"/>
  <c r="K37" i="21"/>
  <c r="O37" i="21" s="1"/>
  <c r="Q37" i="21" s="1"/>
  <c r="P39" i="21"/>
  <c r="M40" i="21"/>
  <c r="P40" i="21" s="1"/>
  <c r="N40" i="21"/>
  <c r="O41" i="21"/>
  <c r="Q41" i="21" s="1"/>
  <c r="P87" i="21"/>
  <c r="P103" i="21"/>
  <c r="Q103" i="21" s="1"/>
  <c r="P18" i="21"/>
  <c r="Q18" i="21" s="1"/>
  <c r="P22" i="21"/>
  <c r="P26" i="21"/>
  <c r="P30" i="21"/>
  <c r="P34" i="21"/>
  <c r="K35" i="21"/>
  <c r="O35" i="21" s="1"/>
  <c r="Q35" i="21" s="1"/>
  <c r="M37" i="21"/>
  <c r="P37" i="21" s="1"/>
  <c r="P38" i="21"/>
  <c r="K39" i="21"/>
  <c r="O39" i="21" s="1"/>
  <c r="Q39" i="21" s="1"/>
  <c r="M41" i="21"/>
  <c r="P42" i="21"/>
  <c r="K43" i="21"/>
  <c r="O43" i="21" s="1"/>
  <c r="Q43" i="21" s="1"/>
  <c r="M45" i="21"/>
  <c r="P45" i="21" s="1"/>
  <c r="P46" i="21"/>
  <c r="K47" i="21"/>
  <c r="O47" i="21" s="1"/>
  <c r="Q47" i="21" s="1"/>
  <c r="N48" i="21"/>
  <c r="M49" i="21"/>
  <c r="P49" i="21" s="1"/>
  <c r="L50" i="21"/>
  <c r="P50" i="21"/>
  <c r="K51" i="21"/>
  <c r="O51" i="21"/>
  <c r="Q51" i="21" s="1"/>
  <c r="N52" i="21"/>
  <c r="M53" i="21"/>
  <c r="L54" i="21"/>
  <c r="P54" i="21"/>
  <c r="K55" i="21"/>
  <c r="O55" i="21" s="1"/>
  <c r="Q55" i="21" s="1"/>
  <c r="N56" i="21"/>
  <c r="M57" i="21"/>
  <c r="L58" i="21"/>
  <c r="P58" i="21"/>
  <c r="K59" i="21"/>
  <c r="O59" i="21"/>
  <c r="Q59" i="21" s="1"/>
  <c r="N60" i="21"/>
  <c r="M61" i="21"/>
  <c r="P61" i="21" s="1"/>
  <c r="L62" i="21"/>
  <c r="P62" i="21"/>
  <c r="Q62" i="21" s="1"/>
  <c r="K63" i="21"/>
  <c r="O63" i="21" s="1"/>
  <c r="Q63" i="21" s="1"/>
  <c r="N64" i="21"/>
  <c r="M65" i="21"/>
  <c r="P65" i="21" s="1"/>
  <c r="L66" i="21"/>
  <c r="P66" i="21"/>
  <c r="K67" i="21"/>
  <c r="O67" i="21"/>
  <c r="Q67" i="21" s="1"/>
  <c r="N68" i="21"/>
  <c r="M69" i="21"/>
  <c r="P69" i="21" s="1"/>
  <c r="L70" i="21"/>
  <c r="P70" i="21"/>
  <c r="K71" i="21"/>
  <c r="O71" i="21" s="1"/>
  <c r="Q71" i="21" s="1"/>
  <c r="N72" i="21"/>
  <c r="M73" i="21"/>
  <c r="P73" i="21" s="1"/>
  <c r="L74" i="21"/>
  <c r="P74" i="21"/>
  <c r="K75" i="21"/>
  <c r="O75" i="21"/>
  <c r="Q75" i="21" s="1"/>
  <c r="N76" i="21"/>
  <c r="M77" i="21"/>
  <c r="P77" i="21" s="1"/>
  <c r="L78" i="21"/>
  <c r="P78" i="21"/>
  <c r="K79" i="21"/>
  <c r="O79" i="21" s="1"/>
  <c r="Q79" i="21" s="1"/>
  <c r="N80" i="21"/>
  <c r="M81" i="21"/>
  <c r="P81" i="21" s="1"/>
  <c r="L82" i="21"/>
  <c r="P82" i="21"/>
  <c r="Q82" i="21" s="1"/>
  <c r="K83" i="21"/>
  <c r="O83" i="21"/>
  <c r="Q83" i="21" s="1"/>
  <c r="N84" i="21"/>
  <c r="M85" i="21"/>
  <c r="P85" i="21" s="1"/>
  <c r="L86" i="21"/>
  <c r="P86" i="21"/>
  <c r="K87" i="21"/>
  <c r="O87" i="21" s="1"/>
  <c r="Q87" i="21" s="1"/>
  <c r="N88" i="21"/>
  <c r="M89" i="21"/>
  <c r="P89" i="21" s="1"/>
  <c r="L90" i="21"/>
  <c r="P90" i="21"/>
  <c r="K91" i="21"/>
  <c r="O91" i="21"/>
  <c r="Q91" i="21" s="1"/>
  <c r="N92" i="21"/>
  <c r="M93" i="21"/>
  <c r="P93" i="21" s="1"/>
  <c r="L94" i="21"/>
  <c r="P94" i="21"/>
  <c r="K95" i="21"/>
  <c r="O95" i="21" s="1"/>
  <c r="Q95" i="21" s="1"/>
  <c r="N96" i="21"/>
  <c r="L98" i="21"/>
  <c r="P98" i="21"/>
  <c r="Q98" i="21" s="1"/>
  <c r="K99" i="21"/>
  <c r="O99" i="21" s="1"/>
  <c r="Q99" i="21" s="1"/>
  <c r="N100" i="21"/>
  <c r="L102" i="21"/>
  <c r="P102" i="21"/>
  <c r="K103" i="21"/>
  <c r="N104" i="21"/>
  <c r="L106" i="21"/>
  <c r="P106" i="21"/>
  <c r="K107" i="21"/>
  <c r="O107" i="21" s="1"/>
  <c r="Q107" i="21" s="1"/>
  <c r="N108" i="21"/>
  <c r="L110" i="21"/>
  <c r="P110" i="21"/>
  <c r="K111" i="21"/>
  <c r="O111" i="21" s="1"/>
  <c r="Q111" i="21" s="1"/>
  <c r="N112" i="21"/>
  <c r="P114" i="21"/>
  <c r="L118" i="21"/>
  <c r="O118" i="21" s="1"/>
  <c r="Q118" i="21" s="1"/>
  <c r="K118" i="21"/>
  <c r="K120" i="21"/>
  <c r="O120" i="21" s="1"/>
  <c r="O121" i="21"/>
  <c r="P122" i="21"/>
  <c r="P130" i="21"/>
  <c r="P138" i="21"/>
  <c r="P146" i="21"/>
  <c r="Q147" i="21"/>
  <c r="P154" i="21"/>
  <c r="P162" i="21"/>
  <c r="P170" i="21"/>
  <c r="P186" i="21"/>
  <c r="K16" i="21"/>
  <c r="O16" i="21" s="1"/>
  <c r="Q16" i="21" s="1"/>
  <c r="K20" i="21"/>
  <c r="K24" i="21"/>
  <c r="O24" i="21" s="1"/>
  <c r="Q24" i="21" s="1"/>
  <c r="K28" i="21"/>
  <c r="O28" i="21" s="1"/>
  <c r="Q28" i="21" s="1"/>
  <c r="K32" i="21"/>
  <c r="O32" i="21" s="1"/>
  <c r="Q32" i="21" s="1"/>
  <c r="K36" i="21"/>
  <c r="N37" i="21"/>
  <c r="K40" i="21"/>
  <c r="O40" i="21" s="1"/>
  <c r="Q40" i="21" s="1"/>
  <c r="N41" i="21"/>
  <c r="K44" i="21"/>
  <c r="O44" i="21" s="1"/>
  <c r="Q44" i="21" s="1"/>
  <c r="N45" i="21"/>
  <c r="K48" i="21"/>
  <c r="O48" i="21" s="1"/>
  <c r="Q48" i="21" s="1"/>
  <c r="N49" i="21"/>
  <c r="K52" i="21"/>
  <c r="N53" i="21"/>
  <c r="K56" i="21"/>
  <c r="O56" i="21" s="1"/>
  <c r="Q56" i="21" s="1"/>
  <c r="N57" i="21"/>
  <c r="K60" i="21"/>
  <c r="O60" i="21" s="1"/>
  <c r="Q60" i="21" s="1"/>
  <c r="N61" i="21"/>
  <c r="K64" i="21"/>
  <c r="O64" i="21" s="1"/>
  <c r="Q64" i="21" s="1"/>
  <c r="N65" i="21"/>
  <c r="K68" i="21"/>
  <c r="O68" i="21" s="1"/>
  <c r="Q68" i="21" s="1"/>
  <c r="N69" i="21"/>
  <c r="K72" i="21"/>
  <c r="O72" i="21" s="1"/>
  <c r="Q72" i="21" s="1"/>
  <c r="N73" i="21"/>
  <c r="K76" i="21"/>
  <c r="O76" i="21" s="1"/>
  <c r="Q76" i="21" s="1"/>
  <c r="N77" i="21"/>
  <c r="K80" i="21"/>
  <c r="O80" i="21" s="1"/>
  <c r="Q80" i="21" s="1"/>
  <c r="N81" i="21"/>
  <c r="K84" i="21"/>
  <c r="O84" i="21" s="1"/>
  <c r="Q84" i="21" s="1"/>
  <c r="N85" i="21"/>
  <c r="K88" i="21"/>
  <c r="O88" i="21" s="1"/>
  <c r="Q88" i="21" s="1"/>
  <c r="N89" i="21"/>
  <c r="K92" i="21"/>
  <c r="O92" i="21" s="1"/>
  <c r="Q92" i="21" s="1"/>
  <c r="N93" i="21"/>
  <c r="K96" i="21"/>
  <c r="O96" i="21" s="1"/>
  <c r="Q96" i="21" s="1"/>
  <c r="N97" i="21"/>
  <c r="P97" i="21" s="1"/>
  <c r="K100" i="21"/>
  <c r="O100" i="21" s="1"/>
  <c r="Q100" i="21" s="1"/>
  <c r="N101" i="21"/>
  <c r="P101" i="21" s="1"/>
  <c r="K104" i="21"/>
  <c r="O104" i="21" s="1"/>
  <c r="Q104" i="21" s="1"/>
  <c r="N105" i="21"/>
  <c r="P105" i="21" s="1"/>
  <c r="K108" i="21"/>
  <c r="O108" i="21" s="1"/>
  <c r="Q108" i="21" s="1"/>
  <c r="N109" i="21"/>
  <c r="P109" i="21" s="1"/>
  <c r="K112" i="21"/>
  <c r="N113" i="21"/>
  <c r="P113" i="21" s="1"/>
  <c r="O115" i="21"/>
  <c r="K115" i="21"/>
  <c r="P115" i="21"/>
  <c r="N120" i="21"/>
  <c r="M120" i="21"/>
  <c r="P120" i="21" s="1"/>
  <c r="L121" i="21"/>
  <c r="M123" i="21"/>
  <c r="P123" i="21" s="1"/>
  <c r="P195" i="21"/>
  <c r="P48" i="21"/>
  <c r="K49" i="21"/>
  <c r="O49" i="21" s="1"/>
  <c r="Q49" i="21" s="1"/>
  <c r="P52" i="21"/>
  <c r="Q52" i="21" s="1"/>
  <c r="K53" i="21"/>
  <c r="O53" i="21"/>
  <c r="Q53" i="21" s="1"/>
  <c r="P56" i="21"/>
  <c r="K57" i="21"/>
  <c r="O57" i="21" s="1"/>
  <c r="Q57" i="21" s="1"/>
  <c r="P60" i="21"/>
  <c r="K61" i="21"/>
  <c r="P64" i="21"/>
  <c r="K65" i="21"/>
  <c r="O65" i="21" s="1"/>
  <c r="Q65" i="21" s="1"/>
  <c r="P68" i="21"/>
  <c r="K69" i="21"/>
  <c r="O69" i="21"/>
  <c r="P72" i="21"/>
  <c r="K73" i="21"/>
  <c r="O73" i="21" s="1"/>
  <c r="Q73" i="21" s="1"/>
  <c r="P76" i="21"/>
  <c r="K77" i="21"/>
  <c r="O77" i="21" s="1"/>
  <c r="Q77" i="21" s="1"/>
  <c r="P80" i="21"/>
  <c r="K81" i="21"/>
  <c r="P84" i="21"/>
  <c r="K85" i="21"/>
  <c r="O85" i="21"/>
  <c r="P88" i="21"/>
  <c r="K89" i="21"/>
  <c r="O89" i="21" s="1"/>
  <c r="Q89" i="21" s="1"/>
  <c r="P92" i="21"/>
  <c r="K93" i="21"/>
  <c r="O93" i="21" s="1"/>
  <c r="Q93" i="21" s="1"/>
  <c r="P96" i="21"/>
  <c r="K97" i="21"/>
  <c r="O97" i="21" s="1"/>
  <c r="Q97" i="21" s="1"/>
  <c r="P100" i="21"/>
  <c r="K101" i="21"/>
  <c r="O101" i="21"/>
  <c r="P104" i="21"/>
  <c r="K105" i="21"/>
  <c r="O105" i="21" s="1"/>
  <c r="P108" i="21"/>
  <c r="K109" i="21"/>
  <c r="O109" i="21" s="1"/>
  <c r="Q109" i="21" s="1"/>
  <c r="P112" i="21"/>
  <c r="Q112" i="21" s="1"/>
  <c r="K113" i="21"/>
  <c r="O113" i="21" s="1"/>
  <c r="P118" i="21"/>
  <c r="L122" i="21"/>
  <c r="O122" i="21" s="1"/>
  <c r="Q122" i="21" s="1"/>
  <c r="K122" i="21"/>
  <c r="K124" i="21"/>
  <c r="O124" i="21" s="1"/>
  <c r="Q124" i="21" s="1"/>
  <c r="O136" i="21"/>
  <c r="O151" i="21"/>
  <c r="P163" i="21"/>
  <c r="O175" i="21"/>
  <c r="K50" i="21"/>
  <c r="O50" i="21" s="1"/>
  <c r="Q50" i="21" s="1"/>
  <c r="K54" i="21"/>
  <c r="O54" i="21" s="1"/>
  <c r="Q54" i="21" s="1"/>
  <c r="K58" i="21"/>
  <c r="O58" i="21" s="1"/>
  <c r="Q58" i="21" s="1"/>
  <c r="K62" i="21"/>
  <c r="K66" i="21"/>
  <c r="O66" i="21" s="1"/>
  <c r="Q66" i="21" s="1"/>
  <c r="K70" i="21"/>
  <c r="O70" i="21" s="1"/>
  <c r="Q70" i="21" s="1"/>
  <c r="K74" i="21"/>
  <c r="O74" i="21" s="1"/>
  <c r="Q74" i="21" s="1"/>
  <c r="K78" i="21"/>
  <c r="K82" i="21"/>
  <c r="K86" i="21"/>
  <c r="O86" i="21" s="1"/>
  <c r="Q86" i="21" s="1"/>
  <c r="K90" i="21"/>
  <c r="O90" i="21" s="1"/>
  <c r="Q90" i="21" s="1"/>
  <c r="K94" i="21"/>
  <c r="O94" i="21" s="1"/>
  <c r="Q94" i="21" s="1"/>
  <c r="K98" i="21"/>
  <c r="K102" i="21"/>
  <c r="O102" i="21" s="1"/>
  <c r="Q102" i="21" s="1"/>
  <c r="K106" i="21"/>
  <c r="O106" i="21" s="1"/>
  <c r="Q106" i="21" s="1"/>
  <c r="K110" i="21"/>
  <c r="O110" i="21" s="1"/>
  <c r="Q110" i="21" s="1"/>
  <c r="K114" i="21"/>
  <c r="O114" i="21" s="1"/>
  <c r="Q114" i="21" s="1"/>
  <c r="M116" i="21"/>
  <c r="P116" i="21" s="1"/>
  <c r="Q116" i="21" s="1"/>
  <c r="L117" i="21"/>
  <c r="O117" i="21" s="1"/>
  <c r="Q117" i="21" s="1"/>
  <c r="M119" i="21"/>
  <c r="P119" i="21" s="1"/>
  <c r="N124" i="21"/>
  <c r="M124" i="21"/>
  <c r="L124" i="21"/>
  <c r="O189" i="21"/>
  <c r="P117" i="21"/>
  <c r="P121" i="21"/>
  <c r="P125" i="21"/>
  <c r="K126" i="21"/>
  <c r="O126" i="21"/>
  <c r="Q126" i="21" s="1"/>
  <c r="N127" i="21"/>
  <c r="M128" i="21"/>
  <c r="P129" i="21"/>
  <c r="K130" i="21"/>
  <c r="O130" i="21" s="1"/>
  <c r="Q130" i="21" s="1"/>
  <c r="N131" i="21"/>
  <c r="P131" i="21" s="1"/>
  <c r="Q131" i="21" s="1"/>
  <c r="M132" i="21"/>
  <c r="P133" i="21"/>
  <c r="K134" i="21"/>
  <c r="O134" i="21" s="1"/>
  <c r="Q134" i="21" s="1"/>
  <c r="N135" i="21"/>
  <c r="M136" i="21"/>
  <c r="P136" i="21" s="1"/>
  <c r="P137" i="21"/>
  <c r="K138" i="21"/>
  <c r="O138" i="21" s="1"/>
  <c r="Q138" i="21" s="1"/>
  <c r="N139" i="21"/>
  <c r="M140" i="21"/>
  <c r="P140" i="21" s="1"/>
  <c r="P141" i="21"/>
  <c r="K142" i="21"/>
  <c r="O142" i="21"/>
  <c r="Q142" i="21" s="1"/>
  <c r="N143" i="21"/>
  <c r="M144" i="21"/>
  <c r="P145" i="21"/>
  <c r="K146" i="21"/>
  <c r="O146" i="21" s="1"/>
  <c r="Q146" i="21" s="1"/>
  <c r="N147" i="21"/>
  <c r="M148" i="21"/>
  <c r="P148" i="21" s="1"/>
  <c r="P149" i="21"/>
  <c r="K150" i="21"/>
  <c r="O150" i="21" s="1"/>
  <c r="Q150" i="21" s="1"/>
  <c r="N151" i="21"/>
  <c r="M152" i="21"/>
  <c r="P153" i="21"/>
  <c r="Q153" i="21" s="1"/>
  <c r="K154" i="21"/>
  <c r="O154" i="21" s="1"/>
  <c r="Q154" i="21" s="1"/>
  <c r="N155" i="21"/>
  <c r="M156" i="21"/>
  <c r="P156" i="21" s="1"/>
  <c r="P157" i="21"/>
  <c r="K158" i="21"/>
  <c r="O158" i="21"/>
  <c r="Q158" i="21" s="1"/>
  <c r="N159" i="21"/>
  <c r="P159" i="21" s="1"/>
  <c r="M160" i="21"/>
  <c r="P160" i="21" s="1"/>
  <c r="P161" i="21"/>
  <c r="K162" i="21"/>
  <c r="O162" i="21" s="1"/>
  <c r="Q162" i="21" s="1"/>
  <c r="N163" i="21"/>
  <c r="M164" i="21"/>
  <c r="P165" i="21"/>
  <c r="K166" i="21"/>
  <c r="O166" i="21" s="1"/>
  <c r="Q166" i="21" s="1"/>
  <c r="N167" i="21"/>
  <c r="P167" i="21" s="1"/>
  <c r="M168" i="21"/>
  <c r="P168" i="21" s="1"/>
  <c r="Q168" i="21" s="1"/>
  <c r="P169" i="21"/>
  <c r="K170" i="21"/>
  <c r="O170" i="21" s="1"/>
  <c r="Q170" i="21" s="1"/>
  <c r="N171" i="21"/>
  <c r="P171" i="21" s="1"/>
  <c r="M172" i="21"/>
  <c r="P172" i="21" s="1"/>
  <c r="P173" i="21"/>
  <c r="K174" i="21"/>
  <c r="O174" i="21"/>
  <c r="Q174" i="21" s="1"/>
  <c r="N175" i="21"/>
  <c r="P175" i="21" s="1"/>
  <c r="M176" i="21"/>
  <c r="P176" i="21" s="1"/>
  <c r="P177" i="21"/>
  <c r="K178" i="21"/>
  <c r="O178" i="21" s="1"/>
  <c r="Q178" i="21" s="1"/>
  <c r="N179" i="21"/>
  <c r="M180" i="21"/>
  <c r="P180" i="21" s="1"/>
  <c r="P181" i="21"/>
  <c r="K182" i="21"/>
  <c r="O182" i="21" s="1"/>
  <c r="Q182" i="21" s="1"/>
  <c r="N183" i="21"/>
  <c r="M184" i="21"/>
  <c r="P185" i="21"/>
  <c r="K186" i="21"/>
  <c r="O186" i="21" s="1"/>
  <c r="Q186" i="21" s="1"/>
  <c r="N187" i="21"/>
  <c r="P187" i="21" s="1"/>
  <c r="M188" i="21"/>
  <c r="P188" i="21" s="1"/>
  <c r="K190" i="21"/>
  <c r="O190" i="21"/>
  <c r="Q190" i="21" s="1"/>
  <c r="N191" i="21"/>
  <c r="P191" i="21" s="1"/>
  <c r="M192" i="21"/>
  <c r="L193" i="21"/>
  <c r="P193" i="21"/>
  <c r="K194" i="21"/>
  <c r="O194" i="21"/>
  <c r="Q194" i="21" s="1"/>
  <c r="N196" i="21"/>
  <c r="O198" i="21"/>
  <c r="Q198" i="21" s="1"/>
  <c r="L200" i="21"/>
  <c r="O200" i="21" s="1"/>
  <c r="Q200" i="21" s="1"/>
  <c r="K200" i="21"/>
  <c r="K202" i="21"/>
  <c r="O202" i="21" s="1"/>
  <c r="L208" i="21"/>
  <c r="K208" i="21"/>
  <c r="O208" i="21" s="1"/>
  <c r="Q208" i="21" s="1"/>
  <c r="K210" i="21"/>
  <c r="O210" i="21" s="1"/>
  <c r="Q210" i="21" s="1"/>
  <c r="L216" i="21"/>
  <c r="O216" i="21"/>
  <c r="K216" i="21"/>
  <c r="K218" i="21"/>
  <c r="L218" i="21"/>
  <c r="O218" i="21" s="1"/>
  <c r="Q218" i="21" s="1"/>
  <c r="K219" i="21"/>
  <c r="O219" i="21" s="1"/>
  <c r="Q219" i="21" s="1"/>
  <c r="L224" i="21"/>
  <c r="O224" i="21"/>
  <c r="K224" i="21"/>
  <c r="P226" i="21"/>
  <c r="K119" i="21"/>
  <c r="O119" i="21" s="1"/>
  <c r="Q119" i="21" s="1"/>
  <c r="K123" i="21"/>
  <c r="O123" i="21" s="1"/>
  <c r="Q123" i="21" s="1"/>
  <c r="K127" i="21"/>
  <c r="O127" i="21" s="1"/>
  <c r="Q127" i="21" s="1"/>
  <c r="N128" i="21"/>
  <c r="P128" i="21" s="1"/>
  <c r="K131" i="21"/>
  <c r="N132" i="21"/>
  <c r="K135" i="21"/>
  <c r="N136" i="21"/>
  <c r="K139" i="21"/>
  <c r="O139" i="21" s="1"/>
  <c r="N140" i="21"/>
  <c r="K143" i="21"/>
  <c r="O143" i="21" s="1"/>
  <c r="Q143" i="21" s="1"/>
  <c r="N144" i="21"/>
  <c r="K147" i="21"/>
  <c r="N148" i="21"/>
  <c r="K151" i="21"/>
  <c r="N152" i="21"/>
  <c r="K155" i="21"/>
  <c r="O155" i="21" s="1"/>
  <c r="Q155" i="21" s="1"/>
  <c r="N156" i="21"/>
  <c r="K159" i="21"/>
  <c r="O159" i="21" s="1"/>
  <c r="Q159" i="21" s="1"/>
  <c r="N160" i="21"/>
  <c r="K163" i="21"/>
  <c r="O163" i="21" s="1"/>
  <c r="Q163" i="21" s="1"/>
  <c r="N164" i="21"/>
  <c r="K167" i="21"/>
  <c r="O167" i="21" s="1"/>
  <c r="Q167" i="21" s="1"/>
  <c r="N168" i="21"/>
  <c r="K171" i="21"/>
  <c r="O171" i="21" s="1"/>
  <c r="Q171" i="21" s="1"/>
  <c r="N172" i="21"/>
  <c r="K175" i="21"/>
  <c r="N176" i="21"/>
  <c r="K179" i="21"/>
  <c r="O179" i="21" s="1"/>
  <c r="Q179" i="21" s="1"/>
  <c r="N180" i="21"/>
  <c r="K183" i="21"/>
  <c r="O183" i="21" s="1"/>
  <c r="Q183" i="21" s="1"/>
  <c r="N184" i="21"/>
  <c r="K187" i="21"/>
  <c r="O187" i="21" s="1"/>
  <c r="Q187" i="21" s="1"/>
  <c r="N188" i="21"/>
  <c r="M189" i="21"/>
  <c r="P189" i="21" s="1"/>
  <c r="K191" i="21"/>
  <c r="O191" i="21" s="1"/>
  <c r="N192" i="21"/>
  <c r="M193" i="21"/>
  <c r="K195" i="21"/>
  <c r="O195" i="21" s="1"/>
  <c r="Q195" i="21" s="1"/>
  <c r="O196" i="21"/>
  <c r="K196" i="21"/>
  <c r="P196" i="21"/>
  <c r="P197" i="21"/>
  <c r="Q197" i="21" s="1"/>
  <c r="K198" i="21"/>
  <c r="P198" i="21"/>
  <c r="P199" i="21"/>
  <c r="N202" i="21"/>
  <c r="M202" i="21"/>
  <c r="L202" i="21"/>
  <c r="L203" i="21"/>
  <c r="O203" i="21" s="1"/>
  <c r="Q203" i="21" s="1"/>
  <c r="M205" i="21"/>
  <c r="P205" i="21" s="1"/>
  <c r="P207" i="21"/>
  <c r="N210" i="21"/>
  <c r="M210" i="21"/>
  <c r="L210" i="21"/>
  <c r="L211" i="21"/>
  <c r="O211" i="21" s="1"/>
  <c r="Q211" i="21" s="1"/>
  <c r="M213" i="21"/>
  <c r="P213" i="21" s="1"/>
  <c r="P215" i="21"/>
  <c r="N218" i="21"/>
  <c r="M218" i="21"/>
  <c r="P218" i="21" s="1"/>
  <c r="P219" i="21"/>
  <c r="P220" i="21"/>
  <c r="N222" i="21"/>
  <c r="M222" i="21"/>
  <c r="P222" i="21"/>
  <c r="O227" i="21"/>
  <c r="Q227" i="21" s="1"/>
  <c r="K227" i="21"/>
  <c r="L227" i="21"/>
  <c r="P127" i="21"/>
  <c r="K128" i="21"/>
  <c r="O128" i="21" s="1"/>
  <c r="Q128" i="21" s="1"/>
  <c r="K132" i="21"/>
  <c r="K136" i="21"/>
  <c r="K140" i="21"/>
  <c r="O140" i="21" s="1"/>
  <c r="Q140" i="21" s="1"/>
  <c r="K144" i="21"/>
  <c r="O144" i="21" s="1"/>
  <c r="Q144" i="21" s="1"/>
  <c r="K148" i="21"/>
  <c r="O148" i="21" s="1"/>
  <c r="Q148" i="21" s="1"/>
  <c r="K152" i="21"/>
  <c r="O152" i="21" s="1"/>
  <c r="Q152" i="21" s="1"/>
  <c r="K156" i="21"/>
  <c r="O156" i="21" s="1"/>
  <c r="Q156" i="21" s="1"/>
  <c r="K160" i="21"/>
  <c r="O160" i="21" s="1"/>
  <c r="K164" i="21"/>
  <c r="K168" i="21"/>
  <c r="K172" i="21"/>
  <c r="O172" i="21" s="1"/>
  <c r="Q172" i="21" s="1"/>
  <c r="K176" i="21"/>
  <c r="O176" i="21" s="1"/>
  <c r="Q176" i="21" s="1"/>
  <c r="K180" i="21"/>
  <c r="O180" i="21" s="1"/>
  <c r="Q180" i="21" s="1"/>
  <c r="K184" i="21"/>
  <c r="O184" i="21" s="1"/>
  <c r="Q184" i="21" s="1"/>
  <c r="K188" i="21"/>
  <c r="O188" i="21" s="1"/>
  <c r="Q188" i="21" s="1"/>
  <c r="K192" i="21"/>
  <c r="O192" i="21" s="1"/>
  <c r="Q192" i="21" s="1"/>
  <c r="P200" i="21"/>
  <c r="L204" i="21"/>
  <c r="O204" i="21" s="1"/>
  <c r="Q204" i="21" s="1"/>
  <c r="K204" i="21"/>
  <c r="P208" i="21"/>
  <c r="O209" i="21"/>
  <c r="Q209" i="21" s="1"/>
  <c r="L212" i="21"/>
  <c r="O212" i="21" s="1"/>
  <c r="Q212" i="21" s="1"/>
  <c r="K212" i="21"/>
  <c r="P216" i="21"/>
  <c r="O250" i="21"/>
  <c r="Q250" i="21" s="1"/>
  <c r="K125" i="21"/>
  <c r="O125" i="21" s="1"/>
  <c r="Q125" i="21" s="1"/>
  <c r="K129" i="21"/>
  <c r="O129" i="21" s="1"/>
  <c r="Q129" i="21" s="1"/>
  <c r="K133" i="21"/>
  <c r="O133" i="21" s="1"/>
  <c r="Q133" i="21" s="1"/>
  <c r="K137" i="21"/>
  <c r="O137" i="21" s="1"/>
  <c r="Q137" i="21" s="1"/>
  <c r="K141" i="21"/>
  <c r="O141" i="21" s="1"/>
  <c r="Q141" i="21" s="1"/>
  <c r="K145" i="21"/>
  <c r="O145" i="21" s="1"/>
  <c r="Q145" i="21" s="1"/>
  <c r="K149" i="21"/>
  <c r="O149" i="21" s="1"/>
  <c r="Q149" i="21" s="1"/>
  <c r="K153" i="21"/>
  <c r="K157" i="21"/>
  <c r="O157" i="21" s="1"/>
  <c r="Q157" i="21" s="1"/>
  <c r="K161" i="21"/>
  <c r="O161" i="21" s="1"/>
  <c r="Q161" i="21" s="1"/>
  <c r="K165" i="21"/>
  <c r="O165" i="21" s="1"/>
  <c r="Q165" i="21" s="1"/>
  <c r="K169" i="21"/>
  <c r="O169" i="21" s="1"/>
  <c r="Q169" i="21" s="1"/>
  <c r="K173" i="21"/>
  <c r="K177" i="21"/>
  <c r="O177" i="21" s="1"/>
  <c r="Q177" i="21" s="1"/>
  <c r="K181" i="21"/>
  <c r="O181" i="21" s="1"/>
  <c r="Q181" i="21" s="1"/>
  <c r="K185" i="21"/>
  <c r="O185" i="21" s="1"/>
  <c r="Q185" i="21" s="1"/>
  <c r="K189" i="21"/>
  <c r="K193" i="21"/>
  <c r="O193" i="21" s="1"/>
  <c r="Q193" i="21" s="1"/>
  <c r="L199" i="21"/>
  <c r="O199" i="21" s="1"/>
  <c r="Q199" i="21" s="1"/>
  <c r="M201" i="21"/>
  <c r="P201" i="21" s="1"/>
  <c r="P203" i="21"/>
  <c r="N206" i="21"/>
  <c r="M206" i="21"/>
  <c r="P206" i="21" s="1"/>
  <c r="Q206" i="21" s="1"/>
  <c r="L207" i="21"/>
  <c r="O207" i="21" s="1"/>
  <c r="Q207" i="21" s="1"/>
  <c r="M209" i="21"/>
  <c r="P211" i="21"/>
  <c r="N214" i="21"/>
  <c r="M214" i="21"/>
  <c r="P214" i="21" s="1"/>
  <c r="Q214" i="21" s="1"/>
  <c r="L215" i="21"/>
  <c r="O215" i="21" s="1"/>
  <c r="Q215" i="21" s="1"/>
  <c r="M217" i="21"/>
  <c r="P217" i="21" s="1"/>
  <c r="L220" i="21"/>
  <c r="O220" i="21" s="1"/>
  <c r="Q220" i="21" s="1"/>
  <c r="K220" i="21"/>
  <c r="P245" i="21"/>
  <c r="O286" i="21"/>
  <c r="Q286" i="21" s="1"/>
  <c r="P221" i="21"/>
  <c r="K222" i="21"/>
  <c r="O222" i="21" s="1"/>
  <c r="Q222" i="21" s="1"/>
  <c r="O223" i="21"/>
  <c r="Q223" i="21" s="1"/>
  <c r="N225" i="21"/>
  <c r="P225" i="21" s="1"/>
  <c r="K226" i="21"/>
  <c r="O229" i="21"/>
  <c r="K229" i="21"/>
  <c r="N233" i="21"/>
  <c r="K234" i="21"/>
  <c r="P236" i="21"/>
  <c r="O237" i="21"/>
  <c r="Q237" i="21" s="1"/>
  <c r="K237" i="21"/>
  <c r="N241" i="21"/>
  <c r="P241" i="21" s="1"/>
  <c r="K242" i="21"/>
  <c r="O242" i="21" s="1"/>
  <c r="Q242" i="21" s="1"/>
  <c r="P244" i="21"/>
  <c r="O245" i="21"/>
  <c r="K245" i="21"/>
  <c r="N249" i="21"/>
  <c r="K250" i="21"/>
  <c r="K253" i="21"/>
  <c r="O253" i="21" s="1"/>
  <c r="Q253" i="21" s="1"/>
  <c r="N257" i="21"/>
  <c r="P257" i="21" s="1"/>
  <c r="K258" i="21"/>
  <c r="O261" i="21"/>
  <c r="K261" i="21"/>
  <c r="N265" i="21"/>
  <c r="K266" i="21"/>
  <c r="O266" i="21" s="1"/>
  <c r="Q266" i="21" s="1"/>
  <c r="P268" i="21"/>
  <c r="O269" i="21"/>
  <c r="Q269" i="21" s="1"/>
  <c r="K269" i="21"/>
  <c r="N273" i="21"/>
  <c r="K274" i="21"/>
  <c r="O274" i="21" s="1"/>
  <c r="Q274" i="21" s="1"/>
  <c r="N277" i="21"/>
  <c r="M277" i="21"/>
  <c r="P277" i="21"/>
  <c r="P278" i="21"/>
  <c r="Q278" i="21" s="1"/>
  <c r="L286" i="21"/>
  <c r="O287" i="21"/>
  <c r="K287" i="21"/>
  <c r="L287" i="21"/>
  <c r="L288" i="21"/>
  <c r="K288" i="21"/>
  <c r="O288" i="21" s="1"/>
  <c r="Q288" i="21" s="1"/>
  <c r="L298" i="21"/>
  <c r="K298" i="21"/>
  <c r="L302" i="21"/>
  <c r="O302" i="21" s="1"/>
  <c r="Q302" i="21" s="1"/>
  <c r="K302" i="21"/>
  <c r="K309" i="21"/>
  <c r="L318" i="21"/>
  <c r="O318" i="21"/>
  <c r="K318" i="21"/>
  <c r="O320" i="21"/>
  <c r="L320" i="21"/>
  <c r="K320" i="21"/>
  <c r="N328" i="21"/>
  <c r="M328" i="21"/>
  <c r="P328" i="21" s="1"/>
  <c r="N335" i="21"/>
  <c r="P335" i="21"/>
  <c r="M335" i="21"/>
  <c r="N347" i="21"/>
  <c r="M347" i="21"/>
  <c r="P347" i="21"/>
  <c r="N231" i="21"/>
  <c r="K232" i="21"/>
  <c r="K235" i="21"/>
  <c r="N239" i="21"/>
  <c r="K240" i="21"/>
  <c r="O243" i="21"/>
  <c r="K243" i="21"/>
  <c r="N247" i="21"/>
  <c r="K248" i="21"/>
  <c r="K251" i="21"/>
  <c r="N255" i="21"/>
  <c r="K256" i="21"/>
  <c r="O259" i="21"/>
  <c r="K259" i="21"/>
  <c r="N263" i="21"/>
  <c r="K264" i="21"/>
  <c r="K267" i="21"/>
  <c r="N271" i="21"/>
  <c r="K272" i="21"/>
  <c r="O275" i="21"/>
  <c r="K275" i="21"/>
  <c r="L283" i="21"/>
  <c r="O283" i="21"/>
  <c r="Q283" i="21" s="1"/>
  <c r="K283" i="21"/>
  <c r="K286" i="21"/>
  <c r="P295" i="21"/>
  <c r="N295" i="21"/>
  <c r="L312" i="21"/>
  <c r="K312" i="21"/>
  <c r="O312" i="21" s="1"/>
  <c r="Q312" i="21" s="1"/>
  <c r="K325" i="21"/>
  <c r="O325" i="21" s="1"/>
  <c r="Q325" i="21" s="1"/>
  <c r="N332" i="21"/>
  <c r="M332" i="21"/>
  <c r="P332" i="21"/>
  <c r="L358" i="21"/>
  <c r="O358" i="21" s="1"/>
  <c r="Q358" i="21" s="1"/>
  <c r="K358" i="21"/>
  <c r="N360" i="21"/>
  <c r="P360" i="21"/>
  <c r="M360" i="21"/>
  <c r="L223" i="21"/>
  <c r="P224" i="21"/>
  <c r="O225" i="21"/>
  <c r="Q225" i="21" s="1"/>
  <c r="K225" i="21"/>
  <c r="N229" i="21"/>
  <c r="P229" i="21" s="1"/>
  <c r="P231" i="21"/>
  <c r="P232" i="21"/>
  <c r="O233" i="21"/>
  <c r="Q233" i="21" s="1"/>
  <c r="K233" i="21"/>
  <c r="L235" i="21"/>
  <c r="O235" i="21" s="1"/>
  <c r="Q235" i="21" s="1"/>
  <c r="N237" i="21"/>
  <c r="P239" i="21"/>
  <c r="O241" i="21"/>
  <c r="Q241" i="21" s="1"/>
  <c r="K241" i="21"/>
  <c r="L243" i="21"/>
  <c r="N245" i="21"/>
  <c r="P247" i="21"/>
  <c r="P248" i="21"/>
  <c r="O249" i="21"/>
  <c r="Q249" i="21" s="1"/>
  <c r="K249" i="21"/>
  <c r="L251" i="21"/>
  <c r="O251" i="21" s="1"/>
  <c r="N253" i="21"/>
  <c r="P255" i="21"/>
  <c r="P256" i="21"/>
  <c r="O257" i="21"/>
  <c r="Q257" i="21" s="1"/>
  <c r="K257" i="21"/>
  <c r="L259" i="21"/>
  <c r="N261" i="21"/>
  <c r="P261" i="21" s="1"/>
  <c r="P263" i="21"/>
  <c r="P264" i="21"/>
  <c r="O265" i="21"/>
  <c r="Q265" i="21" s="1"/>
  <c r="K265" i="21"/>
  <c r="L267" i="21"/>
  <c r="O267" i="21" s="1"/>
  <c r="N269" i="21"/>
  <c r="P271" i="21"/>
  <c r="P272" i="21"/>
  <c r="O273" i="21"/>
  <c r="Q273" i="21" s="1"/>
  <c r="K273" i="21"/>
  <c r="L275" i="21"/>
  <c r="L279" i="21"/>
  <c r="O279" i="21" s="1"/>
  <c r="Q279" i="21" s="1"/>
  <c r="K279" i="21"/>
  <c r="N285" i="21"/>
  <c r="M285" i="21"/>
  <c r="P285" i="21" s="1"/>
  <c r="P286" i="21"/>
  <c r="N287" i="21"/>
  <c r="O298" i="21"/>
  <c r="Q298" i="21" s="1"/>
  <c r="L310" i="21"/>
  <c r="K310" i="21"/>
  <c r="O310" i="21" s="1"/>
  <c r="Q310" i="21" s="1"/>
  <c r="K317" i="21"/>
  <c r="K201" i="21"/>
  <c r="O201" i="21" s="1"/>
  <c r="Q201" i="21" s="1"/>
  <c r="K205" i="21"/>
  <c r="O205" i="21" s="1"/>
  <c r="Q205" i="21" s="1"/>
  <c r="K209" i="21"/>
  <c r="K213" i="21"/>
  <c r="O213" i="21" s="1"/>
  <c r="K217" i="21"/>
  <c r="O217" i="21" s="1"/>
  <c r="Q217" i="21" s="1"/>
  <c r="K221" i="21"/>
  <c r="O221" i="21" s="1"/>
  <c r="Q221" i="21" s="1"/>
  <c r="L226" i="21"/>
  <c r="O226" i="21" s="1"/>
  <c r="Q226" i="21" s="1"/>
  <c r="N227" i="21"/>
  <c r="K228" i="21"/>
  <c r="O228" i="21" s="1"/>
  <c r="P230" i="21"/>
  <c r="Q230" i="21" s="1"/>
  <c r="O231" i="21"/>
  <c r="K231" i="21"/>
  <c r="O232" i="21"/>
  <c r="L234" i="21"/>
  <c r="O234" i="21" s="1"/>
  <c r="Q234" i="21" s="1"/>
  <c r="N235" i="21"/>
  <c r="P235" i="21" s="1"/>
  <c r="K236" i="21"/>
  <c r="O236" i="21" s="1"/>
  <c r="P238" i="21"/>
  <c r="Q238" i="21" s="1"/>
  <c r="O239" i="21"/>
  <c r="Q239" i="21" s="1"/>
  <c r="K239" i="21"/>
  <c r="O240" i="21"/>
  <c r="L242" i="21"/>
  <c r="N243" i="21"/>
  <c r="P243" i="21" s="1"/>
  <c r="K244" i="21"/>
  <c r="O244" i="21" s="1"/>
  <c r="Q244" i="21" s="1"/>
  <c r="P246" i="21"/>
  <c r="Q246" i="21" s="1"/>
  <c r="O247" i="21"/>
  <c r="K247" i="21"/>
  <c r="O248" i="21"/>
  <c r="Q248" i="21" s="1"/>
  <c r="L250" i="21"/>
  <c r="N251" i="21"/>
  <c r="P251" i="21" s="1"/>
  <c r="K252" i="21"/>
  <c r="O252" i="21" s="1"/>
  <c r="P254" i="21"/>
  <c r="Q254" i="21" s="1"/>
  <c r="O255" i="21"/>
  <c r="Q255" i="21" s="1"/>
  <c r="K255" i="21"/>
  <c r="O256" i="21"/>
  <c r="Q256" i="21" s="1"/>
  <c r="L258" i="21"/>
  <c r="O258" i="21" s="1"/>
  <c r="Q258" i="21" s="1"/>
  <c r="N259" i="21"/>
  <c r="P259" i="21" s="1"/>
  <c r="K260" i="21"/>
  <c r="O260" i="21" s="1"/>
  <c r="P262" i="21"/>
  <c r="Q262" i="21" s="1"/>
  <c r="O263" i="21"/>
  <c r="K263" i="21"/>
  <c r="O264" i="21"/>
  <c r="L266" i="21"/>
  <c r="N267" i="21"/>
  <c r="P267" i="21" s="1"/>
  <c r="K268" i="21"/>
  <c r="O268" i="21" s="1"/>
  <c r="P270" i="21"/>
  <c r="Q270" i="21" s="1"/>
  <c r="O271" i="21"/>
  <c r="Q271" i="21" s="1"/>
  <c r="K271" i="21"/>
  <c r="O272" i="21"/>
  <c r="Q272" i="21" s="1"/>
  <c r="L274" i="21"/>
  <c r="N275" i="21"/>
  <c r="P280" i="21"/>
  <c r="N281" i="21"/>
  <c r="M281" i="21"/>
  <c r="P281" i="21"/>
  <c r="Q282" i="21"/>
  <c r="L293" i="21"/>
  <c r="K293" i="21"/>
  <c r="O293" i="21" s="1"/>
  <c r="Q293" i="21" s="1"/>
  <c r="M296" i="21"/>
  <c r="N300" i="21"/>
  <c r="P300" i="21"/>
  <c r="Q300" i="21" s="1"/>
  <c r="M300" i="21"/>
  <c r="M301" i="21"/>
  <c r="P301" i="21"/>
  <c r="N301" i="21"/>
  <c r="O304" i="21"/>
  <c r="Q304" i="21" s="1"/>
  <c r="L304" i="21"/>
  <c r="K304" i="21"/>
  <c r="L326" i="21"/>
  <c r="O326" i="21" s="1"/>
  <c r="Q326" i="21" s="1"/>
  <c r="K326" i="21"/>
  <c r="N224" i="21"/>
  <c r="N228" i="21"/>
  <c r="P228" i="21" s="1"/>
  <c r="N232" i="21"/>
  <c r="N236" i="21"/>
  <c r="N240" i="21"/>
  <c r="P240" i="21" s="1"/>
  <c r="N244" i="21"/>
  <c r="N248" i="21"/>
  <c r="N252" i="21"/>
  <c r="P252" i="21" s="1"/>
  <c r="N256" i="21"/>
  <c r="N260" i="21"/>
  <c r="P260" i="21" s="1"/>
  <c r="N264" i="21"/>
  <c r="N268" i="21"/>
  <c r="N272" i="21"/>
  <c r="N276" i="21"/>
  <c r="P276" i="21" s="1"/>
  <c r="N280" i="21"/>
  <c r="N284" i="21"/>
  <c r="P284" i="21" s="1"/>
  <c r="L289" i="21"/>
  <c r="O289" i="21" s="1"/>
  <c r="Q289" i="21" s="1"/>
  <c r="O291" i="21"/>
  <c r="Q291" i="21" s="1"/>
  <c r="K291" i="21"/>
  <c r="P291" i="21"/>
  <c r="P292" i="21"/>
  <c r="Q292" i="21" s="1"/>
  <c r="P293" i="21"/>
  <c r="P294" i="21"/>
  <c r="O303" i="21"/>
  <c r="N304" i="21"/>
  <c r="M304" i="21"/>
  <c r="L305" i="21"/>
  <c r="O305" i="21" s="1"/>
  <c r="M307" i="21"/>
  <c r="P307" i="21" s="1"/>
  <c r="N312" i="21"/>
  <c r="M312" i="21"/>
  <c r="L313" i="21"/>
  <c r="O313" i="21" s="1"/>
  <c r="Q313" i="21" s="1"/>
  <c r="M315" i="21"/>
  <c r="N320" i="21"/>
  <c r="M320" i="21"/>
  <c r="L321" i="21"/>
  <c r="O321" i="21" s="1"/>
  <c r="M323" i="21"/>
  <c r="P323" i="21" s="1"/>
  <c r="O331" i="21"/>
  <c r="Q331" i="21" s="1"/>
  <c r="P346" i="21"/>
  <c r="L348" i="21"/>
  <c r="K348" i="21"/>
  <c r="O348" i="21" s="1"/>
  <c r="Q348" i="21" s="1"/>
  <c r="N350" i="21"/>
  <c r="P350" i="21" s="1"/>
  <c r="Q350" i="21" s="1"/>
  <c r="M350" i="21"/>
  <c r="K354" i="21"/>
  <c r="O354" i="21" s="1"/>
  <c r="Q354" i="21" s="1"/>
  <c r="L390" i="21"/>
  <c r="O390" i="21"/>
  <c r="Q390" i="21" s="1"/>
  <c r="K390" i="21"/>
  <c r="N392" i="21"/>
  <c r="M392" i="21"/>
  <c r="P392" i="21" s="1"/>
  <c r="K276" i="21"/>
  <c r="O276" i="21" s="1"/>
  <c r="P279" i="21"/>
  <c r="K280" i="21"/>
  <c r="O280" i="21" s="1"/>
  <c r="Q280" i="21" s="1"/>
  <c r="P283" i="21"/>
  <c r="K284" i="21"/>
  <c r="O284" i="21"/>
  <c r="M287" i="21"/>
  <c r="K295" i="21"/>
  <c r="O295" i="21" s="1"/>
  <c r="Q295" i="21" s="1"/>
  <c r="K296" i="21"/>
  <c r="O296" i="21" s="1"/>
  <c r="Q296" i="21" s="1"/>
  <c r="K297" i="21"/>
  <c r="O297" i="21" s="1"/>
  <c r="Q297" i="21" s="1"/>
  <c r="P298" i="21"/>
  <c r="O301" i="21"/>
  <c r="Q301" i="21" s="1"/>
  <c r="P302" i="21"/>
  <c r="L306" i="21"/>
  <c r="K306" i="21"/>
  <c r="O306" i="21" s="1"/>
  <c r="Q306" i="21" s="1"/>
  <c r="K308" i="21"/>
  <c r="O308" i="21" s="1"/>
  <c r="Q308" i="21" s="1"/>
  <c r="P310" i="21"/>
  <c r="L314" i="21"/>
  <c r="O314" i="21"/>
  <c r="Q314" i="21" s="1"/>
  <c r="K314" i="21"/>
  <c r="K316" i="21"/>
  <c r="O316" i="21" s="1"/>
  <c r="Q316" i="21" s="1"/>
  <c r="P318" i="21"/>
  <c r="L322" i="21"/>
  <c r="O322" i="21" s="1"/>
  <c r="Q322" i="21" s="1"/>
  <c r="K322" i="21"/>
  <c r="K324" i="21"/>
  <c r="O324" i="21" s="1"/>
  <c r="P326" i="21"/>
  <c r="L330" i="21"/>
  <c r="O330" i="21" s="1"/>
  <c r="Q330" i="21" s="1"/>
  <c r="K330" i="21"/>
  <c r="N339" i="21"/>
  <c r="M339" i="21"/>
  <c r="P339" i="21"/>
  <c r="P388" i="21"/>
  <c r="K277" i="21"/>
  <c r="O277" i="21" s="1"/>
  <c r="Q277" i="21" s="1"/>
  <c r="K281" i="21"/>
  <c r="O281" i="21" s="1"/>
  <c r="Q281" i="21" s="1"/>
  <c r="K285" i="21"/>
  <c r="O285" i="21" s="1"/>
  <c r="Q285" i="21" s="1"/>
  <c r="K290" i="21"/>
  <c r="O290" i="21" s="1"/>
  <c r="Q290" i="21" s="1"/>
  <c r="M292" i="21"/>
  <c r="N293" i="21"/>
  <c r="L294" i="21"/>
  <c r="O294" i="21"/>
  <c r="Q294" i="21" s="1"/>
  <c r="L295" i="21"/>
  <c r="O299" i="21"/>
  <c r="Q299" i="21" s="1"/>
  <c r="K299" i="21"/>
  <c r="M303" i="21"/>
  <c r="P303" i="21" s="1"/>
  <c r="P304" i="21"/>
  <c r="N308" i="21"/>
  <c r="M308" i="21"/>
  <c r="L309" i="21"/>
  <c r="O309" i="21" s="1"/>
  <c r="Q309" i="21" s="1"/>
  <c r="M311" i="21"/>
  <c r="P311" i="21" s="1"/>
  <c r="P312" i="21"/>
  <c r="N316" i="21"/>
  <c r="M316" i="21"/>
  <c r="L317" i="21"/>
  <c r="O317" i="21" s="1"/>
  <c r="Q317" i="21" s="1"/>
  <c r="M319" i="21"/>
  <c r="P319" i="21" s="1"/>
  <c r="P320" i="21"/>
  <c r="N324" i="21"/>
  <c r="M324" i="21"/>
  <c r="P324" i="21" s="1"/>
  <c r="L325" i="21"/>
  <c r="P327" i="21"/>
  <c r="N327" i="21"/>
  <c r="M327" i="21"/>
  <c r="O328" i="21"/>
  <c r="P331" i="21"/>
  <c r="L340" i="21"/>
  <c r="O340" i="21" s="1"/>
  <c r="Q340" i="21" s="1"/>
  <c r="K340" i="21"/>
  <c r="N342" i="21"/>
  <c r="P342" i="21"/>
  <c r="M342" i="21"/>
  <c r="L374" i="21"/>
  <c r="K374" i="21"/>
  <c r="O374" i="21" s="1"/>
  <c r="Q374" i="21" s="1"/>
  <c r="N376" i="21"/>
  <c r="P376" i="21"/>
  <c r="M376" i="21"/>
  <c r="P305" i="21"/>
  <c r="P309" i="21"/>
  <c r="P313" i="21"/>
  <c r="P317" i="21"/>
  <c r="P321" i="21"/>
  <c r="P325" i="21"/>
  <c r="P329" i="21"/>
  <c r="Q329" i="21" s="1"/>
  <c r="N331" i="21"/>
  <c r="P333" i="21"/>
  <c r="Q333" i="21" s="1"/>
  <c r="M334" i="21"/>
  <c r="P337" i="21"/>
  <c r="O339" i="21"/>
  <c r="Q339" i="21" s="1"/>
  <c r="L341" i="21"/>
  <c r="O341" i="21" s="1"/>
  <c r="Q341" i="21" s="1"/>
  <c r="K341" i="21"/>
  <c r="K343" i="21"/>
  <c r="O343" i="21" s="1"/>
  <c r="O344" i="21"/>
  <c r="Q344" i="21" s="1"/>
  <c r="P345" i="21"/>
  <c r="O347" i="21"/>
  <c r="Q347" i="21" s="1"/>
  <c r="L349" i="21"/>
  <c r="O349" i="21" s="1"/>
  <c r="Q349" i="21" s="1"/>
  <c r="K349" i="21"/>
  <c r="P351" i="21"/>
  <c r="N352" i="21"/>
  <c r="P352" i="21" s="1"/>
  <c r="M352" i="21"/>
  <c r="N365" i="21"/>
  <c r="M365" i="21"/>
  <c r="P365" i="21"/>
  <c r="N381" i="21"/>
  <c r="M381" i="21"/>
  <c r="P381" i="21" s="1"/>
  <c r="K303" i="21"/>
  <c r="K307" i="21"/>
  <c r="O307" i="21" s="1"/>
  <c r="K311" i="21"/>
  <c r="O311" i="21" s="1"/>
  <c r="Q311" i="21" s="1"/>
  <c r="K315" i="21"/>
  <c r="K319" i="21"/>
  <c r="O319" i="21" s="1"/>
  <c r="Q319" i="21" s="1"/>
  <c r="K323" i="21"/>
  <c r="O323" i="21" s="1"/>
  <c r="K327" i="21"/>
  <c r="O327" i="21" s="1"/>
  <c r="Q327" i="21" s="1"/>
  <c r="K331" i="21"/>
  <c r="M333" i="21"/>
  <c r="O335" i="21"/>
  <c r="Q335" i="21" s="1"/>
  <c r="L336" i="21"/>
  <c r="O336" i="21" s="1"/>
  <c r="Q336" i="21" s="1"/>
  <c r="M338" i="21"/>
  <c r="P338" i="21" s="1"/>
  <c r="N343" i="21"/>
  <c r="M343" i="21"/>
  <c r="L344" i="21"/>
  <c r="M346" i="21"/>
  <c r="L366" i="21"/>
  <c r="O366" i="21" s="1"/>
  <c r="Q366" i="21" s="1"/>
  <c r="K366" i="21"/>
  <c r="N368" i="21"/>
  <c r="P368" i="21" s="1"/>
  <c r="M368" i="21"/>
  <c r="L382" i="21"/>
  <c r="O382" i="21" s="1"/>
  <c r="Q382" i="21" s="1"/>
  <c r="K382" i="21"/>
  <c r="N384" i="21"/>
  <c r="P384" i="21"/>
  <c r="M384" i="21"/>
  <c r="N397" i="21"/>
  <c r="M397" i="21"/>
  <c r="P397" i="21" s="1"/>
  <c r="K328" i="21"/>
  <c r="K332" i="21"/>
  <c r="O332" i="21" s="1"/>
  <c r="Q332" i="21" s="1"/>
  <c r="O334" i="21"/>
  <c r="Q334" i="21" s="1"/>
  <c r="K334" i="21"/>
  <c r="L337" i="21"/>
  <c r="O337" i="21"/>
  <c r="Q337" i="21" s="1"/>
  <c r="K337" i="21"/>
  <c r="P341" i="21"/>
  <c r="L345" i="21"/>
  <c r="K345" i="21"/>
  <c r="O345" i="21" s="1"/>
  <c r="Q345" i="21" s="1"/>
  <c r="P349" i="21"/>
  <c r="N357" i="21"/>
  <c r="M357" i="21"/>
  <c r="P357" i="21"/>
  <c r="O364" i="21"/>
  <c r="Q364" i="21" s="1"/>
  <c r="N373" i="21"/>
  <c r="M373" i="21"/>
  <c r="P373" i="21"/>
  <c r="N389" i="21"/>
  <c r="M389" i="21"/>
  <c r="P389" i="21"/>
  <c r="P396" i="21"/>
  <c r="L398" i="21"/>
  <c r="K398" i="21"/>
  <c r="O398" i="21" s="1"/>
  <c r="Q398" i="21" s="1"/>
  <c r="P336" i="21"/>
  <c r="P340" i="21"/>
  <c r="P344" i="21"/>
  <c r="P348" i="21"/>
  <c r="L351" i="21"/>
  <c r="O351" i="21" s="1"/>
  <c r="Q351" i="21" s="1"/>
  <c r="K351" i="21"/>
  <c r="K353" i="21"/>
  <c r="O353" i="21" s="1"/>
  <c r="P355" i="21"/>
  <c r="O357" i="21"/>
  <c r="L359" i="21"/>
  <c r="O359" i="21"/>
  <c r="Q359" i="21" s="1"/>
  <c r="K359" i="21"/>
  <c r="K361" i="21"/>
  <c r="O361" i="21" s="1"/>
  <c r="Q361" i="21" s="1"/>
  <c r="P363" i="21"/>
  <c r="O365" i="21"/>
  <c r="Q365" i="21" s="1"/>
  <c r="L367" i="21"/>
  <c r="O367" i="21"/>
  <c r="K367" i="21"/>
  <c r="K369" i="21"/>
  <c r="O369" i="21" s="1"/>
  <c r="P371" i="21"/>
  <c r="O373" i="21"/>
  <c r="Q373" i="21" s="1"/>
  <c r="L375" i="21"/>
  <c r="O375" i="21" s="1"/>
  <c r="Q375" i="21" s="1"/>
  <c r="K375" i="21"/>
  <c r="K377" i="21"/>
  <c r="O377" i="21" s="1"/>
  <c r="P379" i="21"/>
  <c r="O381" i="21"/>
  <c r="L383" i="21"/>
  <c r="O383" i="21" s="1"/>
  <c r="Q383" i="21" s="1"/>
  <c r="K383" i="21"/>
  <c r="K385" i="21"/>
  <c r="O385" i="21" s="1"/>
  <c r="P387" i="21"/>
  <c r="O389" i="21"/>
  <c r="Q389" i="21" s="1"/>
  <c r="L391" i="21"/>
  <c r="O391" i="21" s="1"/>
  <c r="Q391" i="21" s="1"/>
  <c r="K391" i="21"/>
  <c r="P395" i="21"/>
  <c r="O397" i="21"/>
  <c r="K338" i="21"/>
  <c r="O338" i="21" s="1"/>
  <c r="Q338" i="21" s="1"/>
  <c r="K342" i="21"/>
  <c r="O342" i="21" s="1"/>
  <c r="Q342" i="21" s="1"/>
  <c r="K346" i="21"/>
  <c r="K350" i="21"/>
  <c r="N353" i="21"/>
  <c r="M353" i="21"/>
  <c r="P353" i="21" s="1"/>
  <c r="L354" i="21"/>
  <c r="M356" i="21"/>
  <c r="P356" i="21" s="1"/>
  <c r="N361" i="21"/>
  <c r="M361" i="21"/>
  <c r="L362" i="21"/>
  <c r="O362" i="21" s="1"/>
  <c r="Q362" i="21" s="1"/>
  <c r="M364" i="21"/>
  <c r="O368" i="21"/>
  <c r="N369" i="21"/>
  <c r="M369" i="21"/>
  <c r="L370" i="21"/>
  <c r="O370" i="21" s="1"/>
  <c r="Q370" i="21" s="1"/>
  <c r="M372" i="21"/>
  <c r="P372" i="21" s="1"/>
  <c r="O376" i="21"/>
  <c r="Q376" i="21" s="1"/>
  <c r="N377" i="21"/>
  <c r="M377" i="21"/>
  <c r="P377" i="21" s="1"/>
  <c r="L378" i="21"/>
  <c r="O378" i="21" s="1"/>
  <c r="Q378" i="21" s="1"/>
  <c r="M380" i="21"/>
  <c r="P380" i="21" s="1"/>
  <c r="N385" i="21"/>
  <c r="M385" i="21"/>
  <c r="P385" i="21" s="1"/>
  <c r="L386" i="21"/>
  <c r="O386" i="21" s="1"/>
  <c r="Q386" i="21" s="1"/>
  <c r="M388" i="21"/>
  <c r="P390" i="21"/>
  <c r="N393" i="21"/>
  <c r="M393" i="21"/>
  <c r="P393" i="21" s="1"/>
  <c r="Q393" i="21" s="1"/>
  <c r="L394" i="21"/>
  <c r="O394" i="21" s="1"/>
  <c r="Q394" i="21" s="1"/>
  <c r="M396" i="21"/>
  <c r="L355" i="21"/>
  <c r="O355" i="21"/>
  <c r="Q355" i="21" s="1"/>
  <c r="K355" i="21"/>
  <c r="P359" i="21"/>
  <c r="L363" i="21"/>
  <c r="O363" i="21"/>
  <c r="Q363" i="21" s="1"/>
  <c r="K363" i="21"/>
  <c r="P367" i="21"/>
  <c r="L371" i="21"/>
  <c r="O371" i="21"/>
  <c r="Q371" i="21" s="1"/>
  <c r="K371" i="21"/>
  <c r="P375" i="21"/>
  <c r="L379" i="21"/>
  <c r="O379" i="21"/>
  <c r="Q379" i="21" s="1"/>
  <c r="K379" i="21"/>
  <c r="P383" i="21"/>
  <c r="O384" i="21"/>
  <c r="Q384" i="21" s="1"/>
  <c r="L387" i="21"/>
  <c r="O387" i="21" s="1"/>
  <c r="Q387" i="21" s="1"/>
  <c r="K387" i="21"/>
  <c r="P391" i="21"/>
  <c r="O392" i="21"/>
  <c r="L395" i="21"/>
  <c r="K395" i="21"/>
  <c r="O395" i="21" s="1"/>
  <c r="Q395" i="21" s="1"/>
  <c r="P354" i="21"/>
  <c r="P358" i="21"/>
  <c r="P362" i="21"/>
  <c r="P366" i="21"/>
  <c r="P370" i="21"/>
  <c r="P374" i="21"/>
  <c r="P378" i="21"/>
  <c r="P382" i="21"/>
  <c r="P386" i="21"/>
  <c r="P398" i="21"/>
  <c r="K352" i="21"/>
  <c r="O352" i="21" s="1"/>
  <c r="Q352" i="21" s="1"/>
  <c r="K356" i="21"/>
  <c r="O356" i="21" s="1"/>
  <c r="Q356" i="21" s="1"/>
  <c r="K360" i="21"/>
  <c r="O360" i="21" s="1"/>
  <c r="Q360" i="21" s="1"/>
  <c r="K364" i="21"/>
  <c r="K368" i="21"/>
  <c r="K372" i="21"/>
  <c r="O372" i="21" s="1"/>
  <c r="K380" i="21"/>
  <c r="O380" i="21" s="1"/>
  <c r="Q380" i="21" s="1"/>
  <c r="K384" i="21"/>
  <c r="K388" i="21"/>
  <c r="O388" i="21" s="1"/>
  <c r="Q388" i="21" s="1"/>
  <c r="K392" i="21"/>
  <c r="K396" i="21"/>
  <c r="M2" i="15" l="1"/>
  <c r="N2" i="15"/>
  <c r="L302" i="2"/>
  <c r="L312" i="2"/>
  <c r="L298" i="2"/>
  <c r="L356" i="2"/>
  <c r="L202" i="2"/>
  <c r="L167" i="2"/>
  <c r="L170" i="2"/>
  <c r="L349" i="2"/>
  <c r="L310" i="2"/>
  <c r="L217" i="2"/>
  <c r="L314" i="2"/>
  <c r="L354" i="2"/>
  <c r="L207" i="2"/>
  <c r="L203" i="2"/>
  <c r="L196" i="2"/>
  <c r="L184" i="2"/>
  <c r="L161" i="2"/>
  <c r="L7" i="2"/>
  <c r="L45" i="2"/>
  <c r="L29" i="2"/>
  <c r="L13" i="2"/>
  <c r="L308" i="2"/>
  <c r="L209" i="2"/>
  <c r="L205" i="2"/>
  <c r="L165" i="2"/>
  <c r="L73" i="2"/>
  <c r="L69" i="2"/>
  <c r="L65" i="2"/>
  <c r="L41" i="2"/>
  <c r="L25" i="2"/>
  <c r="L9" i="2"/>
  <c r="L397" i="2"/>
  <c r="L396" i="2"/>
  <c r="L380" i="2"/>
  <c r="L368" i="2"/>
  <c r="L364" i="2"/>
  <c r="L360" i="2"/>
  <c r="L388" i="2"/>
  <c r="L350" i="2"/>
  <c r="L346" i="2"/>
  <c r="I392" i="2"/>
  <c r="H392" i="2"/>
  <c r="H324" i="2"/>
  <c r="I324" i="2"/>
  <c r="I334" i="2"/>
  <c r="H334" i="2"/>
  <c r="I326" i="2"/>
  <c r="H326" i="2"/>
  <c r="I306" i="2"/>
  <c r="H306" i="2"/>
  <c r="H394" i="2"/>
  <c r="I394" i="2"/>
  <c r="H378" i="2"/>
  <c r="I378" i="2"/>
  <c r="H362" i="2"/>
  <c r="I362" i="2"/>
  <c r="I393" i="2"/>
  <c r="H393" i="2"/>
  <c r="I377" i="2"/>
  <c r="H377" i="2"/>
  <c r="I357" i="2"/>
  <c r="H357" i="2"/>
  <c r="I384" i="2"/>
  <c r="H384" i="2"/>
  <c r="I372" i="2"/>
  <c r="H372" i="2"/>
  <c r="L378" i="2"/>
  <c r="H345" i="2"/>
  <c r="I345" i="2"/>
  <c r="H332" i="2"/>
  <c r="I332" i="2"/>
  <c r="H316" i="2"/>
  <c r="I316" i="2"/>
  <c r="L377" i="2"/>
  <c r="I352" i="2"/>
  <c r="H352" i="2"/>
  <c r="I338" i="2"/>
  <c r="H338" i="2"/>
  <c r="I330" i="2"/>
  <c r="H330" i="2"/>
  <c r="I322" i="2"/>
  <c r="H322" i="2"/>
  <c r="I314" i="2"/>
  <c r="H314" i="2"/>
  <c r="L338" i="2"/>
  <c r="L322" i="2"/>
  <c r="L306" i="2"/>
  <c r="L324" i="2"/>
  <c r="I287" i="2"/>
  <c r="H287" i="2"/>
  <c r="I271" i="2"/>
  <c r="H271" i="2"/>
  <c r="I255" i="2"/>
  <c r="H255" i="2"/>
  <c r="I239" i="2"/>
  <c r="H239" i="2"/>
  <c r="I223" i="2"/>
  <c r="H223" i="2"/>
  <c r="I198" i="2"/>
  <c r="H198" i="2"/>
  <c r="I182" i="2"/>
  <c r="H182" i="2"/>
  <c r="H189" i="2"/>
  <c r="I189" i="2"/>
  <c r="H173" i="2"/>
  <c r="I173" i="2"/>
  <c r="I180" i="2"/>
  <c r="H180" i="2"/>
  <c r="I157" i="2"/>
  <c r="H157" i="2"/>
  <c r="I141" i="2"/>
  <c r="H141" i="2"/>
  <c r="I125" i="2"/>
  <c r="H125" i="2"/>
  <c r="I109" i="2"/>
  <c r="H109" i="2"/>
  <c r="I93" i="2"/>
  <c r="H93" i="2"/>
  <c r="I77" i="2"/>
  <c r="H77" i="2"/>
  <c r="L182" i="2"/>
  <c r="H164" i="2"/>
  <c r="I164" i="2"/>
  <c r="I176" i="2"/>
  <c r="H176" i="2"/>
  <c r="I168" i="2"/>
  <c r="H168" i="2"/>
  <c r="I151" i="2"/>
  <c r="H151" i="2"/>
  <c r="I143" i="2"/>
  <c r="H143" i="2"/>
  <c r="I135" i="2"/>
  <c r="H135" i="2"/>
  <c r="I127" i="2"/>
  <c r="H127" i="2"/>
  <c r="I119" i="2"/>
  <c r="H119" i="2"/>
  <c r="I111" i="2"/>
  <c r="H111" i="2"/>
  <c r="I103" i="2"/>
  <c r="H103" i="2"/>
  <c r="I95" i="2"/>
  <c r="H95" i="2"/>
  <c r="I87" i="2"/>
  <c r="H87" i="2"/>
  <c r="I79" i="2"/>
  <c r="H79" i="2"/>
  <c r="L135" i="2"/>
  <c r="L103" i="2"/>
  <c r="I71" i="2"/>
  <c r="H71" i="2"/>
  <c r="I67" i="2"/>
  <c r="H67" i="2"/>
  <c r="I57" i="2"/>
  <c r="H57" i="2"/>
  <c r="I43" i="2"/>
  <c r="H43" i="2"/>
  <c r="I27" i="2"/>
  <c r="H27" i="2"/>
  <c r="I11" i="2"/>
  <c r="H11" i="2"/>
  <c r="L157" i="2"/>
  <c r="L111" i="2"/>
  <c r="L79" i="2"/>
  <c r="I49" i="2"/>
  <c r="H49" i="2"/>
  <c r="I33" i="2"/>
  <c r="H33" i="2"/>
  <c r="I17" i="2"/>
  <c r="H17" i="2"/>
  <c r="I52" i="2"/>
  <c r="H52" i="2"/>
  <c r="I44" i="2"/>
  <c r="H44" i="2"/>
  <c r="I36" i="2"/>
  <c r="H36" i="2"/>
  <c r="I28" i="2"/>
  <c r="H28" i="2"/>
  <c r="I20" i="2"/>
  <c r="H20" i="2"/>
  <c r="I12" i="2"/>
  <c r="H12" i="2"/>
  <c r="L52" i="2"/>
  <c r="L20" i="2"/>
  <c r="H390" i="2"/>
  <c r="I390" i="2"/>
  <c r="H374" i="2"/>
  <c r="I374" i="2"/>
  <c r="H358" i="2"/>
  <c r="I358" i="2"/>
  <c r="I389" i="2"/>
  <c r="H389" i="2"/>
  <c r="I369" i="2"/>
  <c r="H369" i="2"/>
  <c r="H353" i="2"/>
  <c r="I353" i="2"/>
  <c r="L392" i="2"/>
  <c r="I388" i="2"/>
  <c r="H388" i="2"/>
  <c r="L376" i="2"/>
  <c r="H349" i="2"/>
  <c r="I349" i="2"/>
  <c r="L345" i="2"/>
  <c r="L372" i="2"/>
  <c r="I350" i="2"/>
  <c r="H350" i="2"/>
  <c r="I346" i="2"/>
  <c r="H346" i="2"/>
  <c r="H340" i="2"/>
  <c r="I340" i="2"/>
  <c r="H328" i="2"/>
  <c r="I328" i="2"/>
  <c r="L352" i="2"/>
  <c r="L374" i="2"/>
  <c r="I354" i="2"/>
  <c r="H354" i="2"/>
  <c r="L344" i="2"/>
  <c r="I310" i="2"/>
  <c r="H310" i="2"/>
  <c r="I302" i="2"/>
  <c r="H302" i="2"/>
  <c r="H289" i="2"/>
  <c r="I289" i="2"/>
  <c r="H281" i="2"/>
  <c r="I281" i="2"/>
  <c r="H273" i="2"/>
  <c r="I273" i="2"/>
  <c r="H265" i="2"/>
  <c r="I265" i="2"/>
  <c r="H257" i="2"/>
  <c r="I257" i="2"/>
  <c r="H249" i="2"/>
  <c r="I249" i="2"/>
  <c r="H241" i="2"/>
  <c r="I241" i="2"/>
  <c r="H233" i="2"/>
  <c r="I233" i="2"/>
  <c r="H225" i="2"/>
  <c r="I225" i="2"/>
  <c r="H217" i="2"/>
  <c r="I217" i="2"/>
  <c r="L334" i="2"/>
  <c r="I308" i="2"/>
  <c r="H308" i="2"/>
  <c r="L340" i="2"/>
  <c r="I283" i="2"/>
  <c r="H283" i="2"/>
  <c r="I267" i="2"/>
  <c r="H267" i="2"/>
  <c r="I251" i="2"/>
  <c r="H251" i="2"/>
  <c r="I235" i="2"/>
  <c r="H235" i="2"/>
  <c r="I219" i="2"/>
  <c r="H219" i="2"/>
  <c r="L265" i="2"/>
  <c r="L233" i="2"/>
  <c r="I194" i="2"/>
  <c r="H194" i="2"/>
  <c r="I178" i="2"/>
  <c r="H178" i="2"/>
  <c r="L213" i="2"/>
  <c r="H185" i="2"/>
  <c r="I185" i="2"/>
  <c r="H169" i="2"/>
  <c r="I169" i="2"/>
  <c r="L289" i="2"/>
  <c r="L257" i="2"/>
  <c r="L225" i="2"/>
  <c r="H209" i="2"/>
  <c r="I209" i="2"/>
  <c r="I205" i="2"/>
  <c r="H205" i="2"/>
  <c r="H202" i="2"/>
  <c r="I202" i="2"/>
  <c r="I196" i="2"/>
  <c r="H196" i="2"/>
  <c r="L188" i="2"/>
  <c r="I184" i="2"/>
  <c r="H184" i="2"/>
  <c r="L271" i="2"/>
  <c r="L239" i="2"/>
  <c r="I153" i="2"/>
  <c r="H153" i="2"/>
  <c r="I137" i="2"/>
  <c r="H137" i="2"/>
  <c r="I121" i="2"/>
  <c r="H121" i="2"/>
  <c r="I105" i="2"/>
  <c r="H105" i="2"/>
  <c r="I89" i="2"/>
  <c r="H89" i="2"/>
  <c r="L164" i="2"/>
  <c r="L176" i="2"/>
  <c r="L173" i="2"/>
  <c r="L168" i="2"/>
  <c r="I165" i="2"/>
  <c r="H165" i="2"/>
  <c r="L189" i="2"/>
  <c r="L71" i="2"/>
  <c r="L67" i="2"/>
  <c r="L57" i="2"/>
  <c r="I39" i="2"/>
  <c r="H39" i="2"/>
  <c r="I23" i="2"/>
  <c r="H23" i="2"/>
  <c r="I3" i="2"/>
  <c r="H3" i="2"/>
  <c r="L105" i="2"/>
  <c r="I58" i="2"/>
  <c r="H58" i="2"/>
  <c r="I53" i="2"/>
  <c r="H53" i="2"/>
  <c r="I37" i="2"/>
  <c r="H37" i="2"/>
  <c r="I21" i="2"/>
  <c r="H21" i="2"/>
  <c r="L153" i="2"/>
  <c r="L125" i="2"/>
  <c r="L93" i="2"/>
  <c r="I7" i="2"/>
  <c r="H7" i="2"/>
  <c r="L43" i="2"/>
  <c r="L11" i="2"/>
  <c r="L44" i="2"/>
  <c r="L12" i="2"/>
  <c r="H386" i="2"/>
  <c r="I386" i="2"/>
  <c r="H370" i="2"/>
  <c r="I370" i="2"/>
  <c r="I376" i="2"/>
  <c r="H376" i="2"/>
  <c r="I318" i="2"/>
  <c r="H318" i="2"/>
  <c r="I161" i="2"/>
  <c r="H161" i="2"/>
  <c r="I155" i="2"/>
  <c r="H155" i="2"/>
  <c r="I147" i="2"/>
  <c r="H147" i="2"/>
  <c r="I139" i="2"/>
  <c r="H139" i="2"/>
  <c r="I131" i="2"/>
  <c r="H131" i="2"/>
  <c r="I123" i="2"/>
  <c r="H123" i="2"/>
  <c r="I115" i="2"/>
  <c r="H115" i="2"/>
  <c r="I107" i="2"/>
  <c r="H107" i="2"/>
  <c r="I99" i="2"/>
  <c r="H99" i="2"/>
  <c r="I91" i="2"/>
  <c r="H91" i="2"/>
  <c r="I83" i="2"/>
  <c r="H83" i="2"/>
  <c r="I75" i="2"/>
  <c r="H75" i="2"/>
  <c r="I170" i="2"/>
  <c r="H170" i="2"/>
  <c r="L151" i="2"/>
  <c r="L119" i="2"/>
  <c r="L87" i="2"/>
  <c r="I73" i="2"/>
  <c r="H73" i="2"/>
  <c r="I69" i="2"/>
  <c r="H69" i="2"/>
  <c r="I65" i="2"/>
  <c r="H65" i="2"/>
  <c r="I51" i="2"/>
  <c r="H51" i="2"/>
  <c r="I35" i="2"/>
  <c r="H35" i="2"/>
  <c r="I19" i="2"/>
  <c r="H19" i="2"/>
  <c r="L141" i="2"/>
  <c r="L107" i="2"/>
  <c r="L75" i="2"/>
  <c r="L127" i="2"/>
  <c r="L95" i="2"/>
  <c r="I61" i="2"/>
  <c r="H61" i="2"/>
  <c r="I41" i="2"/>
  <c r="H41" i="2"/>
  <c r="I25" i="2"/>
  <c r="H25" i="2"/>
  <c r="I9" i="2"/>
  <c r="H9" i="2"/>
  <c r="L115" i="2"/>
  <c r="L83" i="2"/>
  <c r="I48" i="2"/>
  <c r="H48" i="2"/>
  <c r="I40" i="2"/>
  <c r="H40" i="2"/>
  <c r="I32" i="2"/>
  <c r="H32" i="2"/>
  <c r="I24" i="2"/>
  <c r="H24" i="2"/>
  <c r="I16" i="2"/>
  <c r="H16" i="2"/>
  <c r="H8" i="2"/>
  <c r="I8" i="2"/>
  <c r="L36" i="2"/>
  <c r="L40" i="2"/>
  <c r="L8" i="2"/>
  <c r="L35" i="2"/>
  <c r="L3" i="2"/>
  <c r="L39" i="2"/>
  <c r="I385" i="2"/>
  <c r="H385" i="2"/>
  <c r="I365" i="2"/>
  <c r="H365" i="2"/>
  <c r="I341" i="2"/>
  <c r="H341" i="2"/>
  <c r="L370" i="2"/>
  <c r="H213" i="2"/>
  <c r="I213" i="2"/>
  <c r="I295" i="2"/>
  <c r="H295" i="2"/>
  <c r="I279" i="2"/>
  <c r="H279" i="2"/>
  <c r="I263" i="2"/>
  <c r="H263" i="2"/>
  <c r="I247" i="2"/>
  <c r="H247" i="2"/>
  <c r="I231" i="2"/>
  <c r="H231" i="2"/>
  <c r="I211" i="2"/>
  <c r="H211" i="2"/>
  <c r="I190" i="2"/>
  <c r="H190" i="2"/>
  <c r="L295" i="2"/>
  <c r="L263" i="2"/>
  <c r="L231" i="2"/>
  <c r="H197" i="2"/>
  <c r="I197" i="2"/>
  <c r="H181" i="2"/>
  <c r="I181" i="2"/>
  <c r="I200" i="2"/>
  <c r="H200" i="2"/>
  <c r="I188" i="2"/>
  <c r="H188" i="2"/>
  <c r="I215" i="2"/>
  <c r="H215" i="2"/>
  <c r="I172" i="2"/>
  <c r="H172" i="2"/>
  <c r="I149" i="2"/>
  <c r="H149" i="2"/>
  <c r="I133" i="2"/>
  <c r="H133" i="2"/>
  <c r="I117" i="2"/>
  <c r="H117" i="2"/>
  <c r="I101" i="2"/>
  <c r="H101" i="2"/>
  <c r="I85" i="2"/>
  <c r="H85" i="2"/>
  <c r="I174" i="2"/>
  <c r="H174" i="2"/>
  <c r="H160" i="2"/>
  <c r="I160" i="2"/>
  <c r="H398" i="2"/>
  <c r="I398" i="2"/>
  <c r="H382" i="2"/>
  <c r="I382" i="2"/>
  <c r="H366" i="2"/>
  <c r="I366" i="2"/>
  <c r="I397" i="2"/>
  <c r="H397" i="2"/>
  <c r="I381" i="2"/>
  <c r="H381" i="2"/>
  <c r="I361" i="2"/>
  <c r="H361" i="2"/>
  <c r="I396" i="2"/>
  <c r="H396" i="2"/>
  <c r="L384" i="2"/>
  <c r="I380" i="2"/>
  <c r="H380" i="2"/>
  <c r="I368" i="2"/>
  <c r="H368" i="2"/>
  <c r="I364" i="2"/>
  <c r="H364" i="2"/>
  <c r="I360" i="2"/>
  <c r="H360" i="2"/>
  <c r="L385" i="2"/>
  <c r="I356" i="2"/>
  <c r="H356" i="2"/>
  <c r="L361" i="2"/>
  <c r="I344" i="2"/>
  <c r="H344" i="2"/>
  <c r="H336" i="2"/>
  <c r="I336" i="2"/>
  <c r="H320" i="2"/>
  <c r="I320" i="2"/>
  <c r="L386" i="2"/>
  <c r="L362" i="2"/>
  <c r="L341" i="2"/>
  <c r="I299" i="2"/>
  <c r="H299" i="2"/>
  <c r="H293" i="2"/>
  <c r="I293" i="2"/>
  <c r="H285" i="2"/>
  <c r="I285" i="2"/>
  <c r="H277" i="2"/>
  <c r="I277" i="2"/>
  <c r="H269" i="2"/>
  <c r="I269" i="2"/>
  <c r="H261" i="2"/>
  <c r="I261" i="2"/>
  <c r="H253" i="2"/>
  <c r="I253" i="2"/>
  <c r="H245" i="2"/>
  <c r="I245" i="2"/>
  <c r="H237" i="2"/>
  <c r="I237" i="2"/>
  <c r="H229" i="2"/>
  <c r="I229" i="2"/>
  <c r="H221" i="2"/>
  <c r="I221" i="2"/>
  <c r="L326" i="2"/>
  <c r="I312" i="2"/>
  <c r="H312" i="2"/>
  <c r="I298" i="2"/>
  <c r="H298" i="2"/>
  <c r="I291" i="2"/>
  <c r="H291" i="2"/>
  <c r="I275" i="2"/>
  <c r="H275" i="2"/>
  <c r="I259" i="2"/>
  <c r="H259" i="2"/>
  <c r="I243" i="2"/>
  <c r="H243" i="2"/>
  <c r="I227" i="2"/>
  <c r="H227" i="2"/>
  <c r="L211" i="2"/>
  <c r="I186" i="2"/>
  <c r="H186" i="2"/>
  <c r="L285" i="2"/>
  <c r="L253" i="2"/>
  <c r="L221" i="2"/>
  <c r="H193" i="2"/>
  <c r="I193" i="2"/>
  <c r="H177" i="2"/>
  <c r="I177" i="2"/>
  <c r="I207" i="2"/>
  <c r="H207" i="2"/>
  <c r="I203" i="2"/>
  <c r="H203" i="2"/>
  <c r="I192" i="2"/>
  <c r="H192" i="2"/>
  <c r="L180" i="2"/>
  <c r="L287" i="2"/>
  <c r="L255" i="2"/>
  <c r="L223" i="2"/>
  <c r="L215" i="2"/>
  <c r="L193" i="2"/>
  <c r="L172" i="2"/>
  <c r="I145" i="2"/>
  <c r="H145" i="2"/>
  <c r="I129" i="2"/>
  <c r="H129" i="2"/>
  <c r="I113" i="2"/>
  <c r="H113" i="2"/>
  <c r="I97" i="2"/>
  <c r="H97" i="2"/>
  <c r="I81" i="2"/>
  <c r="H81" i="2"/>
  <c r="L197" i="2"/>
  <c r="L174" i="2"/>
  <c r="L160" i="2"/>
  <c r="I167" i="2"/>
  <c r="H167" i="2"/>
  <c r="I163" i="2"/>
  <c r="H163" i="2"/>
  <c r="L192" i="2"/>
  <c r="L143" i="2"/>
  <c r="L113" i="2"/>
  <c r="L81" i="2"/>
  <c r="I47" i="2"/>
  <c r="H47" i="2"/>
  <c r="I31" i="2"/>
  <c r="H31" i="2"/>
  <c r="I15" i="2"/>
  <c r="H15" i="2"/>
  <c r="L133" i="2"/>
  <c r="L101" i="2"/>
  <c r="L155" i="2"/>
  <c r="L121" i="2"/>
  <c r="L89" i="2"/>
  <c r="L61" i="2"/>
  <c r="L49" i="2"/>
  <c r="I45" i="2"/>
  <c r="H45" i="2"/>
  <c r="L33" i="2"/>
  <c r="I29" i="2"/>
  <c r="H29" i="2"/>
  <c r="L17" i="2"/>
  <c r="I13" i="2"/>
  <c r="H13" i="2"/>
  <c r="I5" i="2"/>
  <c r="H5" i="2"/>
  <c r="L137" i="2"/>
  <c r="L109" i="2"/>
  <c r="L77" i="2"/>
  <c r="H4" i="2"/>
  <c r="I4" i="2"/>
  <c r="L27" i="2"/>
  <c r="L4" i="2"/>
  <c r="L31" i="2"/>
  <c r="L23" i="2"/>
  <c r="L28" i="2"/>
  <c r="L16" i="2"/>
  <c r="E2" i="2"/>
  <c r="I2" i="2"/>
  <c r="M278" i="15"/>
  <c r="N278" i="15"/>
  <c r="N6" i="15"/>
  <c r="M6" i="15"/>
  <c r="M218" i="15"/>
  <c r="M328" i="15"/>
  <c r="N311" i="15"/>
  <c r="M311" i="15"/>
  <c r="N75" i="15"/>
  <c r="M75" i="15"/>
  <c r="M29" i="15"/>
  <c r="N29" i="15"/>
  <c r="N78" i="15"/>
  <c r="M78" i="15"/>
  <c r="M298" i="15"/>
  <c r="L206" i="15"/>
  <c r="L151" i="15"/>
  <c r="M189" i="15"/>
  <c r="M63" i="15"/>
  <c r="M8" i="15"/>
  <c r="M39" i="15"/>
  <c r="M4" i="15"/>
  <c r="M307" i="15"/>
  <c r="M158" i="15"/>
  <c r="M387" i="15"/>
  <c r="M322" i="15"/>
  <c r="L100" i="15"/>
  <c r="M57" i="15"/>
  <c r="M10" i="15"/>
  <c r="M12" i="15"/>
  <c r="L372" i="15"/>
  <c r="N275" i="15"/>
  <c r="M275" i="15"/>
  <c r="N257" i="15"/>
  <c r="M257" i="15"/>
  <c r="N173" i="15"/>
  <c r="M173" i="15"/>
  <c r="N101" i="15"/>
  <c r="M101" i="15"/>
  <c r="M93" i="15"/>
  <c r="M368" i="15"/>
  <c r="M265" i="15"/>
  <c r="M136" i="15"/>
  <c r="M273" i="15"/>
  <c r="M398" i="15"/>
  <c r="M397" i="15"/>
  <c r="M279" i="15"/>
  <c r="L172" i="15"/>
  <c r="N68" i="15"/>
  <c r="M68" i="15"/>
  <c r="N48" i="15"/>
  <c r="M48" i="15"/>
  <c r="N19" i="15"/>
  <c r="M19" i="15"/>
  <c r="N9" i="15"/>
  <c r="M9" i="15"/>
  <c r="N5" i="15"/>
  <c r="M5" i="15"/>
  <c r="Q372" i="21"/>
  <c r="Q276" i="21"/>
  <c r="Q160" i="21"/>
  <c r="Q323" i="21"/>
  <c r="Q307" i="21"/>
  <c r="Q213" i="21"/>
  <c r="Q267" i="21"/>
  <c r="Q251" i="21"/>
  <c r="Q191" i="21"/>
  <c r="Q113" i="21"/>
  <c r="Q105" i="21"/>
  <c r="Q392" i="21"/>
  <c r="Q385" i="21"/>
  <c r="Q328" i="21"/>
  <c r="P369" i="21"/>
  <c r="Q367" i="21"/>
  <c r="O346" i="21"/>
  <c r="Q346" i="21" s="1"/>
  <c r="Q324" i="21"/>
  <c r="Q305" i="21"/>
  <c r="Q264" i="21"/>
  <c r="Q260" i="21"/>
  <c r="Q247" i="21"/>
  <c r="Q232" i="21"/>
  <c r="Q228" i="21"/>
  <c r="Q318" i="21"/>
  <c r="Q120" i="21"/>
  <c r="Q22" i="21"/>
  <c r="Q3" i="21"/>
  <c r="O78" i="21"/>
  <c r="Q78" i="21" s="1"/>
  <c r="Q377" i="21"/>
  <c r="Q353" i="21"/>
  <c r="Q252" i="21"/>
  <c r="Q397" i="21"/>
  <c r="Q357" i="21"/>
  <c r="Q268" i="21"/>
  <c r="Q240" i="21"/>
  <c r="Q236" i="21"/>
  <c r="Q245" i="21"/>
  <c r="P275" i="21"/>
  <c r="Q275" i="21" s="1"/>
  <c r="P202" i="21"/>
  <c r="Q202" i="21" s="1"/>
  <c r="Q196" i="21"/>
  <c r="O61" i="21"/>
  <c r="Q61" i="21" s="1"/>
  <c r="Q115" i="21"/>
  <c r="P151" i="21"/>
  <c r="P10" i="21"/>
  <c r="Q10" i="21" s="1"/>
  <c r="Q368" i="21"/>
  <c r="O396" i="21"/>
  <c r="Q396" i="21" s="1"/>
  <c r="Q369" i="21"/>
  <c r="P343" i="21"/>
  <c r="Q343" i="21" s="1"/>
  <c r="P287" i="21"/>
  <c r="Q321" i="21"/>
  <c r="Q263" i="21"/>
  <c r="Q231" i="21"/>
  <c r="Q320" i="21"/>
  <c r="O173" i="21"/>
  <c r="Q173" i="21" s="1"/>
  <c r="P139" i="21"/>
  <c r="Q139" i="21" s="1"/>
  <c r="O81" i="21"/>
  <c r="Q81" i="21" s="1"/>
  <c r="Q30" i="21"/>
  <c r="Q42" i="21"/>
  <c r="Q21" i="21"/>
  <c r="Q15" i="21"/>
  <c r="Q14" i="21"/>
  <c r="Q381" i="21"/>
  <c r="Q284" i="21"/>
  <c r="Q303" i="21"/>
  <c r="Q259" i="21"/>
  <c r="Q243" i="21"/>
  <c r="Q287" i="21"/>
  <c r="Q261" i="21"/>
  <c r="Q229" i="21"/>
  <c r="Q224" i="21"/>
  <c r="Q216" i="21"/>
  <c r="Q189" i="21"/>
  <c r="Q175" i="21"/>
  <c r="Q151" i="21"/>
  <c r="Q136" i="21"/>
  <c r="Q101" i="21"/>
  <c r="Q85" i="21"/>
  <c r="Q69" i="21"/>
  <c r="Q121" i="21"/>
  <c r="Q34" i="21"/>
  <c r="Q38" i="21"/>
  <c r="Q45" i="21"/>
  <c r="Q13" i="21"/>
  <c r="Q29" i="21"/>
  <c r="Q23" i="21"/>
  <c r="N172" i="15" l="1"/>
  <c r="M172" i="15"/>
  <c r="N206" i="15"/>
  <c r="M206" i="15"/>
  <c r="N372" i="15"/>
  <c r="M372" i="15"/>
  <c r="N100" i="15"/>
  <c r="M100" i="15"/>
  <c r="N151" i="15"/>
  <c r="M151" i="15"/>
  <c r="C17" i="15"/>
  <c r="A155" i="15"/>
  <c r="A114" i="15"/>
  <c r="B114" i="15"/>
  <c r="C114" i="15"/>
  <c r="E114" i="15"/>
  <c r="A115" i="15"/>
  <c r="B115" i="15"/>
  <c r="C115" i="15"/>
  <c r="A116" i="15"/>
  <c r="B116" i="15"/>
  <c r="C116" i="15"/>
  <c r="E116" i="15"/>
  <c r="A117" i="15"/>
  <c r="B117" i="15"/>
  <c r="C117" i="15"/>
  <c r="F117" i="15"/>
  <c r="A13" i="15"/>
  <c r="B13" i="15"/>
  <c r="C13" i="15"/>
  <c r="F13" i="15"/>
  <c r="A14" i="15"/>
  <c r="B14" i="15"/>
  <c r="C14" i="15"/>
  <c r="E14" i="15"/>
  <c r="A15" i="15"/>
  <c r="B15" i="15"/>
  <c r="C15" i="15"/>
  <c r="E15" i="15"/>
  <c r="A16" i="15"/>
  <c r="B16" i="15"/>
  <c r="C16" i="15"/>
  <c r="F16" i="15"/>
  <c r="E16" i="15"/>
  <c r="A17" i="15"/>
  <c r="B17" i="15"/>
  <c r="F17" i="15"/>
  <c r="A122" i="15"/>
  <c r="B122" i="15"/>
  <c r="C122" i="15"/>
  <c r="A125" i="15"/>
  <c r="B125" i="15"/>
  <c r="C125" i="15"/>
  <c r="E125" i="15"/>
  <c r="A20" i="15"/>
  <c r="B20" i="15"/>
  <c r="C20" i="15"/>
  <c r="E20" i="15"/>
  <c r="F20" i="15"/>
  <c r="A76" i="15"/>
  <c r="B76" i="15"/>
  <c r="C76" i="15"/>
  <c r="E76" i="15"/>
  <c r="A22" i="15"/>
  <c r="B22" i="15"/>
  <c r="C22" i="15"/>
  <c r="E22" i="15"/>
  <c r="A23" i="15"/>
  <c r="B23" i="15"/>
  <c r="C23" i="15"/>
  <c r="F23" i="15"/>
  <c r="E23" i="15"/>
  <c r="A24" i="15"/>
  <c r="B24" i="15"/>
  <c r="C24" i="15"/>
  <c r="F24" i="15"/>
  <c r="A126" i="15"/>
  <c r="B126" i="15"/>
  <c r="C126" i="15"/>
  <c r="E126" i="15"/>
  <c r="A26" i="15"/>
  <c r="B26" i="15"/>
  <c r="C26" i="15"/>
  <c r="E26" i="15"/>
  <c r="A27" i="15"/>
  <c r="B27" i="15"/>
  <c r="C27" i="15"/>
  <c r="F27" i="15"/>
  <c r="E27" i="15"/>
  <c r="A130" i="15"/>
  <c r="B130" i="15"/>
  <c r="C130" i="15"/>
  <c r="F130" i="15"/>
  <c r="A107" i="15"/>
  <c r="B107" i="15"/>
  <c r="C107" i="15"/>
  <c r="E107" i="15"/>
  <c r="A30" i="15"/>
  <c r="B30" i="15"/>
  <c r="C30" i="15"/>
  <c r="E30" i="15"/>
  <c r="A31" i="15"/>
  <c r="B31" i="15"/>
  <c r="C31" i="15"/>
  <c r="F31" i="15"/>
  <c r="A131" i="15"/>
  <c r="B131" i="15"/>
  <c r="C131" i="15"/>
  <c r="F131" i="15"/>
  <c r="A34" i="15"/>
  <c r="B34" i="15"/>
  <c r="C34" i="15"/>
  <c r="A35" i="15"/>
  <c r="B35" i="15"/>
  <c r="C35" i="15"/>
  <c r="E35" i="15"/>
  <c r="A36" i="15"/>
  <c r="B36" i="15"/>
  <c r="C36" i="15"/>
  <c r="F36" i="15"/>
  <c r="A38" i="15"/>
  <c r="B38" i="15"/>
  <c r="C38" i="15"/>
  <c r="F38" i="15"/>
  <c r="A82" i="15"/>
  <c r="B82" i="15"/>
  <c r="C82" i="15"/>
  <c r="F82" i="15"/>
  <c r="E82" i="15"/>
  <c r="A140" i="15"/>
  <c r="B140" i="15"/>
  <c r="C140" i="15"/>
  <c r="E140" i="15"/>
  <c r="F140" i="15"/>
  <c r="A41" i="15"/>
  <c r="B41" i="15"/>
  <c r="C41" i="15"/>
  <c r="E41" i="15"/>
  <c r="F41" i="15"/>
  <c r="A141" i="15"/>
  <c r="B141" i="15"/>
  <c r="C141" i="15"/>
  <c r="E141" i="15"/>
  <c r="F141" i="15"/>
  <c r="A43" i="15"/>
  <c r="B43" i="15"/>
  <c r="C43" i="15"/>
  <c r="E43" i="15"/>
  <c r="A146" i="15"/>
  <c r="B146" i="15"/>
  <c r="C146" i="15"/>
  <c r="F146" i="15"/>
  <c r="A45" i="15"/>
  <c r="B45" i="15"/>
  <c r="C45" i="15"/>
  <c r="F45" i="15"/>
  <c r="E45" i="15"/>
  <c r="A109" i="15"/>
  <c r="B109" i="15"/>
  <c r="C109" i="15"/>
  <c r="F109" i="15"/>
  <c r="A154" i="15"/>
  <c r="B154" i="15"/>
  <c r="C154" i="15"/>
  <c r="F154" i="15"/>
  <c r="A51" i="15"/>
  <c r="B51" i="15"/>
  <c r="C51" i="15"/>
  <c r="F51" i="15"/>
  <c r="A52" i="15"/>
  <c r="B52" i="15"/>
  <c r="C52" i="15"/>
  <c r="G52" i="15"/>
  <c r="A53" i="15"/>
  <c r="B53" i="15"/>
  <c r="C53" i="15"/>
  <c r="F53" i="15"/>
  <c r="E53" i="15"/>
  <c r="A159" i="15"/>
  <c r="B159" i="15"/>
  <c r="C159" i="15"/>
  <c r="E159" i="15"/>
  <c r="A56" i="15"/>
  <c r="B56" i="15"/>
  <c r="C56" i="15"/>
  <c r="E56" i="15"/>
  <c r="A160" i="15"/>
  <c r="B160" i="15"/>
  <c r="C160" i="15"/>
  <c r="F160" i="15"/>
  <c r="E160" i="15"/>
  <c r="A58" i="15"/>
  <c r="B58" i="15"/>
  <c r="C58" i="15"/>
  <c r="F58" i="15"/>
  <c r="A59" i="15"/>
  <c r="B59" i="15"/>
  <c r="C59" i="15"/>
  <c r="F59" i="15"/>
  <c r="A165" i="15"/>
  <c r="B165" i="15"/>
  <c r="C165" i="15"/>
  <c r="A166" i="15"/>
  <c r="B166" i="15"/>
  <c r="C166" i="15"/>
  <c r="F166" i="15"/>
  <c r="E166" i="15"/>
  <c r="A167" i="15"/>
  <c r="B167" i="15"/>
  <c r="C167" i="15"/>
  <c r="F167" i="15"/>
  <c r="A170" i="15"/>
  <c r="B170" i="15"/>
  <c r="C170" i="15"/>
  <c r="F170" i="15"/>
  <c r="A64" i="15"/>
  <c r="B64" i="15"/>
  <c r="C64" i="15"/>
  <c r="E64" i="15"/>
  <c r="A65" i="15"/>
  <c r="B65" i="15"/>
  <c r="C65" i="15"/>
  <c r="F65" i="15"/>
  <c r="E65" i="15"/>
  <c r="A66" i="15"/>
  <c r="B66" i="15"/>
  <c r="C66" i="15"/>
  <c r="F66" i="15"/>
  <c r="A67" i="15"/>
  <c r="B67" i="15"/>
  <c r="C67" i="15"/>
  <c r="E67" i="15"/>
  <c r="A171" i="15"/>
  <c r="B171" i="15"/>
  <c r="C171" i="15"/>
  <c r="E171" i="15"/>
  <c r="A77" i="15"/>
  <c r="B77" i="15"/>
  <c r="C77" i="15"/>
  <c r="F77" i="15"/>
  <c r="A71" i="15"/>
  <c r="B71" i="15"/>
  <c r="C71" i="15"/>
  <c r="E71" i="15"/>
  <c r="F71" i="15"/>
  <c r="A72" i="15"/>
  <c r="B72" i="15"/>
  <c r="C72" i="15"/>
  <c r="E72" i="15"/>
  <c r="A73" i="15"/>
  <c r="B73" i="15"/>
  <c r="C73" i="15"/>
  <c r="E73" i="15"/>
  <c r="A74" i="15"/>
  <c r="B74" i="15"/>
  <c r="C74" i="15"/>
  <c r="F74" i="15"/>
  <c r="E74" i="15"/>
  <c r="A174" i="15"/>
  <c r="B174" i="15"/>
  <c r="C174" i="15"/>
  <c r="E174" i="15"/>
  <c r="A175" i="15"/>
  <c r="B175" i="15"/>
  <c r="C175" i="15"/>
  <c r="E175" i="15"/>
  <c r="A179" i="15"/>
  <c r="B179" i="15"/>
  <c r="C179" i="15"/>
  <c r="F179" i="15"/>
  <c r="A180" i="15"/>
  <c r="B180" i="15"/>
  <c r="C180" i="15"/>
  <c r="E180" i="15"/>
  <c r="A186" i="15"/>
  <c r="B186" i="15"/>
  <c r="C186" i="15"/>
  <c r="F186" i="15"/>
  <c r="A85" i="15"/>
  <c r="B85" i="15"/>
  <c r="C85" i="15"/>
  <c r="E85" i="15"/>
  <c r="A86" i="15"/>
  <c r="B86" i="15"/>
  <c r="C86" i="15"/>
  <c r="E86" i="15"/>
  <c r="A187" i="15"/>
  <c r="B187" i="15"/>
  <c r="C187" i="15"/>
  <c r="E187" i="15"/>
  <c r="F187" i="15"/>
  <c r="A88" i="15"/>
  <c r="B88" i="15"/>
  <c r="C88" i="15"/>
  <c r="F88" i="15"/>
  <c r="A89" i="15"/>
  <c r="B89" i="15"/>
  <c r="C89" i="15"/>
  <c r="E89" i="15"/>
  <c r="F89" i="15"/>
  <c r="A188" i="15"/>
  <c r="B188" i="15"/>
  <c r="C188" i="15"/>
  <c r="E188" i="15"/>
  <c r="A190" i="15"/>
  <c r="B190" i="15"/>
  <c r="C190" i="15"/>
  <c r="E190" i="15"/>
  <c r="A95" i="15"/>
  <c r="B95" i="15"/>
  <c r="C95" i="15"/>
  <c r="E95" i="15"/>
  <c r="F95" i="15"/>
  <c r="A60" i="15"/>
  <c r="B60" i="15"/>
  <c r="C60" i="15"/>
  <c r="F60" i="15"/>
  <c r="A102" i="15"/>
  <c r="B102" i="15"/>
  <c r="C102" i="15"/>
  <c r="E102" i="15"/>
  <c r="F102" i="15"/>
  <c r="A98" i="15"/>
  <c r="B98" i="15"/>
  <c r="C98" i="15"/>
  <c r="E98" i="15"/>
  <c r="A191" i="15"/>
  <c r="B191" i="15"/>
  <c r="C191" i="15"/>
  <c r="E191" i="15"/>
  <c r="A87" i="15"/>
  <c r="B87" i="15"/>
  <c r="C87" i="15"/>
  <c r="F87" i="15"/>
  <c r="A195" i="15"/>
  <c r="B195" i="15"/>
  <c r="C195" i="15"/>
  <c r="E195" i="15"/>
  <c r="A197" i="15"/>
  <c r="B197" i="15"/>
  <c r="C197" i="15"/>
  <c r="F197" i="15"/>
  <c r="E197" i="15"/>
  <c r="A198" i="15"/>
  <c r="B198" i="15"/>
  <c r="C198" i="15"/>
  <c r="F198" i="15"/>
  <c r="E198" i="15"/>
  <c r="A105" i="15"/>
  <c r="B105" i="15"/>
  <c r="C105" i="15"/>
  <c r="E105" i="15"/>
  <c r="F105" i="15"/>
  <c r="A202" i="15"/>
  <c r="B202" i="15"/>
  <c r="C202" i="15"/>
  <c r="E202" i="15"/>
  <c r="A203" i="15"/>
  <c r="B203" i="15"/>
  <c r="C203" i="15"/>
  <c r="E203" i="15"/>
  <c r="A108" i="15"/>
  <c r="B108" i="15"/>
  <c r="C108" i="15"/>
  <c r="A205" i="15"/>
  <c r="B205" i="15"/>
  <c r="C205" i="15"/>
  <c r="E205" i="15"/>
  <c r="F205" i="15"/>
  <c r="A110" i="15"/>
  <c r="B110" i="15"/>
  <c r="C110" i="15"/>
  <c r="A113" i="15"/>
  <c r="B113" i="15"/>
  <c r="C113" i="15"/>
  <c r="E113" i="15"/>
  <c r="F113" i="15"/>
  <c r="A210" i="15"/>
  <c r="B210" i="15"/>
  <c r="C210" i="15"/>
  <c r="E210" i="15"/>
  <c r="A112" i="15"/>
  <c r="B112" i="15"/>
  <c r="C112" i="15"/>
  <c r="F112" i="15"/>
  <c r="E112" i="15"/>
  <c r="A40" i="15"/>
  <c r="B40" i="15"/>
  <c r="C40" i="15"/>
  <c r="A118" i="15"/>
  <c r="B118" i="15"/>
  <c r="C118" i="15"/>
  <c r="E118" i="15"/>
  <c r="A119" i="15"/>
  <c r="B119" i="15"/>
  <c r="C119" i="15"/>
  <c r="F119" i="15"/>
  <c r="E119" i="15"/>
  <c r="A120" i="15"/>
  <c r="B120" i="15"/>
  <c r="C120" i="15"/>
  <c r="F120" i="15"/>
  <c r="A121" i="15"/>
  <c r="B121" i="15"/>
  <c r="C121" i="15"/>
  <c r="E121" i="15"/>
  <c r="A212" i="15"/>
  <c r="B212" i="15"/>
  <c r="C212" i="15"/>
  <c r="E212" i="15"/>
  <c r="A123" i="15"/>
  <c r="B123" i="15"/>
  <c r="C123" i="15"/>
  <c r="F123" i="15"/>
  <c r="E123" i="15"/>
  <c r="A124" i="15"/>
  <c r="B124" i="15"/>
  <c r="C124" i="15"/>
  <c r="F124" i="15"/>
  <c r="A213" i="15"/>
  <c r="B213" i="15"/>
  <c r="C213" i="15"/>
  <c r="F213" i="15"/>
  <c r="E213" i="15"/>
  <c r="A214" i="15"/>
  <c r="B214" i="15"/>
  <c r="C214" i="15"/>
  <c r="E214" i="15"/>
  <c r="F214" i="15"/>
  <c r="A127" i="15"/>
  <c r="B127" i="15"/>
  <c r="C127" i="15"/>
  <c r="A128" i="15"/>
  <c r="B128" i="15"/>
  <c r="C128" i="15"/>
  <c r="E128" i="15"/>
  <c r="A129" i="15"/>
  <c r="B129" i="15"/>
  <c r="C129" i="15"/>
  <c r="E129" i="15"/>
  <c r="A215" i="15"/>
  <c r="B215" i="15"/>
  <c r="C215" i="15"/>
  <c r="A216" i="15"/>
  <c r="B216" i="15"/>
  <c r="C216" i="15"/>
  <c r="E216" i="15"/>
  <c r="F216" i="15"/>
  <c r="A132" i="15"/>
  <c r="B132" i="15"/>
  <c r="C132" i="15"/>
  <c r="E132" i="15"/>
  <c r="F132" i="15"/>
  <c r="A133" i="15"/>
  <c r="B133" i="15"/>
  <c r="C133" i="15"/>
  <c r="E133" i="15"/>
  <c r="A134" i="15"/>
  <c r="B134" i="15"/>
  <c r="C134" i="15"/>
  <c r="F134" i="15"/>
  <c r="A135" i="15"/>
  <c r="B135" i="15"/>
  <c r="C135" i="15"/>
  <c r="E135" i="15"/>
  <c r="F135" i="15"/>
  <c r="A42" i="15"/>
  <c r="B42" i="15"/>
  <c r="C42" i="15"/>
  <c r="A137" i="15"/>
  <c r="B137" i="15"/>
  <c r="C137" i="15"/>
  <c r="E137" i="15"/>
  <c r="A138" i="15"/>
  <c r="B138" i="15"/>
  <c r="C138" i="15"/>
  <c r="E138" i="15"/>
  <c r="A219" i="15"/>
  <c r="B219" i="15"/>
  <c r="C219" i="15"/>
  <c r="E219" i="15"/>
  <c r="A18" i="15"/>
  <c r="B18" i="15"/>
  <c r="C18" i="15"/>
  <c r="F18" i="15"/>
  <c r="E18" i="15"/>
  <c r="A142" i="15"/>
  <c r="B142" i="15"/>
  <c r="C142" i="15"/>
  <c r="F142" i="15"/>
  <c r="A143" i="15"/>
  <c r="B143" i="15"/>
  <c r="C143" i="15"/>
  <c r="E143" i="15"/>
  <c r="A144" i="15"/>
  <c r="B144" i="15"/>
  <c r="C144" i="15"/>
  <c r="E144" i="15"/>
  <c r="A145" i="15"/>
  <c r="B145" i="15"/>
  <c r="C145" i="15"/>
  <c r="E145" i="15"/>
  <c r="A96" i="15"/>
  <c r="B96" i="15"/>
  <c r="C96" i="15"/>
  <c r="F96" i="15"/>
  <c r="A147" i="15"/>
  <c r="B147" i="15"/>
  <c r="C147" i="15"/>
  <c r="E147" i="15"/>
  <c r="A148" i="15"/>
  <c r="B148" i="15"/>
  <c r="C148" i="15"/>
  <c r="F148" i="15"/>
  <c r="A149" i="15"/>
  <c r="B149" i="15"/>
  <c r="C149" i="15"/>
  <c r="F149" i="15"/>
  <c r="E149" i="15"/>
  <c r="A150" i="15"/>
  <c r="B150" i="15"/>
  <c r="C150" i="15"/>
  <c r="F150" i="15"/>
  <c r="A225" i="15"/>
  <c r="B225" i="15"/>
  <c r="C225" i="15"/>
  <c r="E225" i="15"/>
  <c r="A153" i="15"/>
  <c r="B153" i="15"/>
  <c r="C153" i="15"/>
  <c r="F153" i="15"/>
  <c r="E153" i="15"/>
  <c r="A226" i="15"/>
  <c r="B226" i="15"/>
  <c r="C226" i="15"/>
  <c r="E226" i="15"/>
  <c r="B155" i="15"/>
  <c r="C155" i="15"/>
  <c r="F155" i="15"/>
  <c r="A156" i="15"/>
  <c r="B156" i="15"/>
  <c r="C156" i="15"/>
  <c r="E156" i="15"/>
  <c r="A157" i="15"/>
  <c r="B157" i="15"/>
  <c r="C157" i="15"/>
  <c r="F157" i="15"/>
  <c r="E157" i="15"/>
  <c r="A228" i="15"/>
  <c r="B228" i="15"/>
  <c r="C228" i="15"/>
  <c r="E228" i="15"/>
  <c r="F228" i="15"/>
  <c r="A90" i="15"/>
  <c r="B90" i="15"/>
  <c r="C90" i="15"/>
  <c r="F90" i="15"/>
  <c r="A161" i="15"/>
  <c r="B161" i="15"/>
  <c r="C161" i="15"/>
  <c r="F161" i="15"/>
  <c r="E161" i="15"/>
  <c r="A162" i="15"/>
  <c r="B162" i="15"/>
  <c r="C162" i="15"/>
  <c r="F162" i="15"/>
  <c r="A163" i="15"/>
  <c r="B163" i="15"/>
  <c r="C163" i="15"/>
  <c r="E163" i="15"/>
  <c r="F163" i="15"/>
  <c r="A164" i="15"/>
  <c r="B164" i="15"/>
  <c r="C164" i="15"/>
  <c r="A231" i="15"/>
  <c r="B231" i="15"/>
  <c r="C231" i="15"/>
  <c r="E231" i="15"/>
  <c r="F231" i="15"/>
  <c r="A241" i="15"/>
  <c r="B241" i="15"/>
  <c r="C241" i="15"/>
  <c r="F241" i="15"/>
  <c r="A245" i="15"/>
  <c r="B245" i="15"/>
  <c r="C245" i="15"/>
  <c r="E245" i="15"/>
  <c r="A168" i="15"/>
  <c r="B168" i="15"/>
  <c r="C168" i="15"/>
  <c r="E168" i="15"/>
  <c r="A169" i="15"/>
  <c r="B169" i="15"/>
  <c r="C169" i="15"/>
  <c r="F169" i="15"/>
  <c r="E169" i="15"/>
  <c r="A250" i="15"/>
  <c r="B250" i="15"/>
  <c r="C250" i="15"/>
  <c r="E250" i="15"/>
  <c r="A251" i="15"/>
  <c r="B251" i="15"/>
  <c r="C251" i="15"/>
  <c r="F251" i="15"/>
  <c r="E251" i="15"/>
  <c r="A83" i="15"/>
  <c r="B83" i="15"/>
  <c r="C83" i="15"/>
  <c r="F83" i="15"/>
  <c r="A176" i="15"/>
  <c r="B176" i="15"/>
  <c r="C176" i="15"/>
  <c r="A177" i="15"/>
  <c r="B177" i="15"/>
  <c r="C177" i="15"/>
  <c r="E177" i="15"/>
  <c r="A178" i="15"/>
  <c r="B178" i="15"/>
  <c r="C178" i="15"/>
  <c r="F178" i="15"/>
  <c r="E178" i="15"/>
  <c r="A252" i="15"/>
  <c r="B252" i="15"/>
  <c r="C252" i="15"/>
  <c r="F252" i="15"/>
  <c r="A254" i="15"/>
  <c r="B254" i="15"/>
  <c r="C254" i="15"/>
  <c r="A181" i="15"/>
  <c r="B181" i="15"/>
  <c r="C181" i="15"/>
  <c r="E181" i="15"/>
  <c r="A182" i="15"/>
  <c r="B182" i="15"/>
  <c r="C182" i="15"/>
  <c r="F182" i="15"/>
  <c r="E182" i="15"/>
  <c r="A183" i="15"/>
  <c r="B183" i="15"/>
  <c r="C183" i="15"/>
  <c r="F183" i="15"/>
  <c r="A185" i="15"/>
  <c r="B185" i="15"/>
  <c r="C185" i="15"/>
  <c r="E185" i="15"/>
  <c r="A259" i="15"/>
  <c r="B259" i="15"/>
  <c r="C259" i="15"/>
  <c r="F259" i="15"/>
  <c r="A32" i="15"/>
  <c r="B32" i="15"/>
  <c r="C32" i="15"/>
  <c r="F32" i="15"/>
  <c r="A97" i="15"/>
  <c r="B97" i="15"/>
  <c r="C97" i="15"/>
  <c r="E97" i="15"/>
  <c r="F97" i="15"/>
  <c r="A44" i="15"/>
  <c r="B44" i="15"/>
  <c r="C44" i="15"/>
  <c r="A260" i="15"/>
  <c r="B260" i="15"/>
  <c r="C260" i="15"/>
  <c r="F260" i="15"/>
  <c r="E260" i="15"/>
  <c r="A261" i="15"/>
  <c r="B261" i="15"/>
  <c r="C261" i="15"/>
  <c r="F261" i="15"/>
  <c r="A192" i="15"/>
  <c r="B192" i="15"/>
  <c r="C192" i="15"/>
  <c r="E192" i="15"/>
  <c r="F192" i="15"/>
  <c r="A194" i="15"/>
  <c r="B194" i="15"/>
  <c r="C194" i="15"/>
  <c r="F194" i="15"/>
  <c r="E194" i="15"/>
  <c r="A196" i="15"/>
  <c r="B196" i="15"/>
  <c r="C196" i="15"/>
  <c r="A99" i="15"/>
  <c r="B99" i="15"/>
  <c r="C99" i="15"/>
  <c r="E99" i="15"/>
  <c r="A199" i="15"/>
  <c r="B199" i="15"/>
  <c r="C199" i="15"/>
  <c r="A200" i="15"/>
  <c r="B200" i="15"/>
  <c r="C200" i="15"/>
  <c r="F200" i="15"/>
  <c r="A201" i="15"/>
  <c r="B201" i="15"/>
  <c r="C201" i="15"/>
  <c r="E201" i="15"/>
  <c r="A104" i="15"/>
  <c r="B104" i="15"/>
  <c r="C104" i="15"/>
  <c r="F104" i="15"/>
  <c r="A62" i="15"/>
  <c r="B62" i="15"/>
  <c r="C62" i="15"/>
  <c r="F62" i="15"/>
  <c r="A204" i="15"/>
  <c r="B204" i="15"/>
  <c r="C204" i="15"/>
  <c r="F204" i="15"/>
  <c r="A79" i="15"/>
  <c r="B79" i="15"/>
  <c r="C79" i="15"/>
  <c r="A207" i="15"/>
  <c r="B207" i="15"/>
  <c r="C207" i="15"/>
  <c r="A208" i="15"/>
  <c r="B208" i="15"/>
  <c r="C208" i="15"/>
  <c r="E208" i="15"/>
  <c r="A209" i="15"/>
  <c r="B209" i="15"/>
  <c r="C209" i="15"/>
  <c r="E209" i="15"/>
  <c r="A267" i="15"/>
  <c r="B267" i="15"/>
  <c r="C267" i="15"/>
  <c r="F267" i="15"/>
  <c r="E267" i="15"/>
  <c r="A33" i="15"/>
  <c r="B33" i="15"/>
  <c r="C33" i="15"/>
  <c r="E33" i="15"/>
  <c r="A217" i="15"/>
  <c r="B217" i="15"/>
  <c r="C217" i="15"/>
  <c r="E217" i="15"/>
  <c r="A220" i="15"/>
  <c r="B220" i="15"/>
  <c r="C220" i="15"/>
  <c r="E220" i="15"/>
  <c r="A221" i="15"/>
  <c r="B221" i="15"/>
  <c r="C221" i="15"/>
  <c r="E221" i="15"/>
  <c r="F221" i="15"/>
  <c r="A222" i="15"/>
  <c r="B222" i="15"/>
  <c r="C222" i="15"/>
  <c r="F222" i="15"/>
  <c r="E222" i="15"/>
  <c r="A223" i="15"/>
  <c r="B223" i="15"/>
  <c r="C223" i="15"/>
  <c r="F223" i="15"/>
  <c r="A224" i="15"/>
  <c r="B224" i="15"/>
  <c r="C224" i="15"/>
  <c r="E224" i="15"/>
  <c r="F224" i="15"/>
  <c r="A277" i="15"/>
  <c r="B277" i="15"/>
  <c r="C277" i="15"/>
  <c r="F277" i="15"/>
  <c r="A227" i="15"/>
  <c r="B227" i="15"/>
  <c r="C227" i="15"/>
  <c r="E227" i="15"/>
  <c r="A55" i="15"/>
  <c r="B55" i="15"/>
  <c r="C55" i="15"/>
  <c r="E55" i="15"/>
  <c r="F55" i="15"/>
  <c r="A229" i="15"/>
  <c r="B229" i="15"/>
  <c r="C229" i="15"/>
  <c r="E229" i="15"/>
  <c r="A230" i="15"/>
  <c r="B230" i="15"/>
  <c r="C230" i="15"/>
  <c r="F230" i="15"/>
  <c r="E230" i="15"/>
  <c r="A232" i="15"/>
  <c r="B232" i="15"/>
  <c r="C232" i="15"/>
  <c r="F232" i="15"/>
  <c r="A233" i="15"/>
  <c r="B233" i="15"/>
  <c r="C233" i="15"/>
  <c r="A234" i="15"/>
  <c r="B234" i="15"/>
  <c r="C234" i="15"/>
  <c r="E234" i="15"/>
  <c r="F234" i="15"/>
  <c r="A235" i="15"/>
  <c r="B235" i="15"/>
  <c r="C235" i="15"/>
  <c r="E235" i="15"/>
  <c r="F235" i="15"/>
  <c r="A236" i="15"/>
  <c r="B236" i="15"/>
  <c r="C236" i="15"/>
  <c r="E236" i="15"/>
  <c r="A237" i="15"/>
  <c r="B237" i="15"/>
  <c r="C237" i="15"/>
  <c r="E237" i="15"/>
  <c r="F237" i="15"/>
  <c r="A238" i="15"/>
  <c r="B238" i="15"/>
  <c r="C238" i="15"/>
  <c r="E238" i="15"/>
  <c r="F238" i="15"/>
  <c r="A239" i="15"/>
  <c r="B239" i="15"/>
  <c r="C239" i="15"/>
  <c r="F239" i="15"/>
  <c r="A240" i="15"/>
  <c r="B240" i="15"/>
  <c r="C240" i="15"/>
  <c r="E240" i="15"/>
  <c r="F240" i="15"/>
  <c r="A242" i="15"/>
  <c r="B242" i="15"/>
  <c r="C242" i="15"/>
  <c r="F242" i="15"/>
  <c r="E242" i="15"/>
  <c r="A243" i="15"/>
  <c r="B243" i="15"/>
  <c r="C243" i="15"/>
  <c r="E243" i="15"/>
  <c r="F243" i="15"/>
  <c r="A244" i="15"/>
  <c r="B244" i="15"/>
  <c r="C244" i="15"/>
  <c r="E244" i="15"/>
  <c r="F244" i="15"/>
  <c r="A69" i="15"/>
  <c r="B69" i="15"/>
  <c r="C69" i="15"/>
  <c r="A280" i="15"/>
  <c r="B280" i="15"/>
  <c r="C280" i="15"/>
  <c r="F280" i="15"/>
  <c r="E280" i="15"/>
  <c r="A247" i="15"/>
  <c r="B247" i="15"/>
  <c r="C247" i="15"/>
  <c r="F247" i="15"/>
  <c r="A248" i="15"/>
  <c r="B248" i="15"/>
  <c r="C248" i="15"/>
  <c r="A249" i="15"/>
  <c r="B249" i="15"/>
  <c r="C249" i="15"/>
  <c r="E249" i="15"/>
  <c r="A282" i="15"/>
  <c r="B282" i="15"/>
  <c r="C282" i="15"/>
  <c r="F282" i="15"/>
  <c r="A70" i="15"/>
  <c r="B70" i="15"/>
  <c r="C70" i="15"/>
  <c r="E70" i="15"/>
  <c r="F70" i="15"/>
  <c r="A253" i="15"/>
  <c r="B253" i="15"/>
  <c r="C253" i="15"/>
  <c r="E253" i="15"/>
  <c r="A284" i="15"/>
  <c r="B284" i="15"/>
  <c r="C284" i="15"/>
  <c r="E284" i="15"/>
  <c r="A255" i="15"/>
  <c r="B255" i="15"/>
  <c r="C255" i="15"/>
  <c r="F255" i="15"/>
  <c r="A256" i="15"/>
  <c r="B256" i="15"/>
  <c r="C256" i="15"/>
  <c r="F256" i="15"/>
  <c r="A285" i="15"/>
  <c r="B285" i="15"/>
  <c r="C285" i="15"/>
  <c r="E285" i="15"/>
  <c r="A258" i="15"/>
  <c r="B258" i="15"/>
  <c r="C258" i="15"/>
  <c r="F258" i="15"/>
  <c r="E258" i="15"/>
  <c r="A289" i="15"/>
  <c r="B289" i="15"/>
  <c r="C289" i="15"/>
  <c r="E289" i="15"/>
  <c r="F289" i="15"/>
  <c r="A290" i="15"/>
  <c r="B290" i="15"/>
  <c r="C290" i="15"/>
  <c r="E290" i="15"/>
  <c r="A262" i="15"/>
  <c r="B262" i="15"/>
  <c r="C262" i="15"/>
  <c r="E262" i="15"/>
  <c r="A291" i="15"/>
  <c r="B291" i="15"/>
  <c r="C291" i="15"/>
  <c r="F291" i="15"/>
  <c r="A264" i="15"/>
  <c r="B264" i="15"/>
  <c r="C264" i="15"/>
  <c r="E264" i="15"/>
  <c r="F264" i="15"/>
  <c r="A294" i="15"/>
  <c r="B294" i="15"/>
  <c r="C294" i="15"/>
  <c r="F294" i="15"/>
  <c r="E294" i="15"/>
  <c r="A268" i="15"/>
  <c r="B268" i="15"/>
  <c r="C268" i="15"/>
  <c r="E268" i="15"/>
  <c r="F268" i="15"/>
  <c r="A301" i="15"/>
  <c r="B301" i="15"/>
  <c r="C301" i="15"/>
  <c r="F301" i="15"/>
  <c r="A270" i="15"/>
  <c r="B270" i="15"/>
  <c r="C270" i="15"/>
  <c r="F270" i="15"/>
  <c r="A303" i="15"/>
  <c r="B303" i="15"/>
  <c r="C303" i="15"/>
  <c r="F303" i="15"/>
  <c r="A272" i="15"/>
  <c r="B272" i="15"/>
  <c r="C272" i="15"/>
  <c r="E272" i="15"/>
  <c r="F272" i="15"/>
  <c r="A306" i="15"/>
  <c r="B306" i="15"/>
  <c r="C306" i="15"/>
  <c r="A310" i="15"/>
  <c r="B310" i="15"/>
  <c r="C310" i="15"/>
  <c r="E310" i="15"/>
  <c r="F310" i="15"/>
  <c r="A276" i="15"/>
  <c r="B276" i="15"/>
  <c r="C276" i="15"/>
  <c r="E276" i="15"/>
  <c r="F276" i="15"/>
  <c r="A80" i="15"/>
  <c r="B80" i="15"/>
  <c r="C80" i="15"/>
  <c r="F80" i="15"/>
  <c r="A37" i="15"/>
  <c r="B37" i="15"/>
  <c r="C37" i="15"/>
  <c r="F37" i="15"/>
  <c r="E37" i="15"/>
  <c r="A91" i="15"/>
  <c r="B91" i="15"/>
  <c r="C91" i="15"/>
  <c r="A312" i="15"/>
  <c r="B312" i="15"/>
  <c r="C312" i="15"/>
  <c r="E312" i="15"/>
  <c r="A317" i="15"/>
  <c r="B317" i="15"/>
  <c r="C317" i="15"/>
  <c r="E317" i="15"/>
  <c r="A283" i="15"/>
  <c r="B283" i="15"/>
  <c r="C283" i="15"/>
  <c r="E283" i="15"/>
  <c r="F283" i="15"/>
  <c r="A25" i="15"/>
  <c r="B25" i="15"/>
  <c r="C25" i="15"/>
  <c r="E25" i="15"/>
  <c r="A286" i="15"/>
  <c r="B286" i="15"/>
  <c r="C286" i="15"/>
  <c r="E286" i="15"/>
  <c r="A287" i="15"/>
  <c r="B287" i="15"/>
  <c r="C287" i="15"/>
  <c r="F287" i="15"/>
  <c r="A323" i="15"/>
  <c r="B323" i="15"/>
  <c r="C323" i="15"/>
  <c r="E323" i="15"/>
  <c r="F323" i="15"/>
  <c r="A325" i="15"/>
  <c r="B325" i="15"/>
  <c r="C325" i="15"/>
  <c r="F325" i="15"/>
  <c r="E325" i="15"/>
  <c r="A293" i="15"/>
  <c r="B293" i="15"/>
  <c r="C293" i="15"/>
  <c r="F293" i="15"/>
  <c r="A295" i="15"/>
  <c r="B295" i="15"/>
  <c r="C295" i="15"/>
  <c r="F295" i="15"/>
  <c r="E295" i="15"/>
  <c r="A296" i="15"/>
  <c r="B296" i="15"/>
  <c r="C296" i="15"/>
  <c r="F296" i="15"/>
  <c r="E296" i="15"/>
  <c r="A297" i="15"/>
  <c r="B297" i="15"/>
  <c r="C297" i="15"/>
  <c r="E297" i="15"/>
  <c r="A299" i="15"/>
  <c r="B299" i="15"/>
  <c r="C299" i="15"/>
  <c r="F299" i="15"/>
  <c r="A300" i="15"/>
  <c r="B300" i="15"/>
  <c r="C300" i="15"/>
  <c r="E300" i="15"/>
  <c r="F300" i="15"/>
  <c r="A302" i="15"/>
  <c r="B302" i="15"/>
  <c r="C302" i="15"/>
  <c r="E302" i="15"/>
  <c r="F302" i="15"/>
  <c r="A329" i="15"/>
  <c r="B329" i="15"/>
  <c r="C329" i="15"/>
  <c r="F329" i="15"/>
  <c r="A304" i="15"/>
  <c r="B304" i="15"/>
  <c r="C304" i="15"/>
  <c r="F304" i="15"/>
  <c r="A305" i="15"/>
  <c r="B305" i="15"/>
  <c r="C305" i="15"/>
  <c r="E305" i="15"/>
  <c r="F305" i="15"/>
  <c r="A333" i="15"/>
  <c r="B333" i="15"/>
  <c r="C333" i="15"/>
  <c r="E333" i="15"/>
  <c r="A308" i="15"/>
  <c r="B308" i="15"/>
  <c r="C308" i="15"/>
  <c r="E308" i="15"/>
  <c r="F308" i="15"/>
  <c r="A309" i="15"/>
  <c r="B309" i="15"/>
  <c r="C309" i="15"/>
  <c r="F309" i="15"/>
  <c r="A46" i="15"/>
  <c r="B46" i="15"/>
  <c r="C46" i="15"/>
  <c r="E46" i="15"/>
  <c r="F46" i="15"/>
  <c r="A47" i="15"/>
  <c r="B47" i="15"/>
  <c r="C47" i="15"/>
  <c r="F47" i="15"/>
  <c r="E47" i="15"/>
  <c r="A335" i="15"/>
  <c r="B335" i="15"/>
  <c r="C335" i="15"/>
  <c r="A313" i="15"/>
  <c r="B313" i="15"/>
  <c r="C313" i="15"/>
  <c r="F313" i="15"/>
  <c r="A314" i="15"/>
  <c r="B314" i="15"/>
  <c r="C314" i="15"/>
  <c r="E314" i="15"/>
  <c r="A315" i="15"/>
  <c r="B315" i="15"/>
  <c r="C315" i="15"/>
  <c r="E315" i="15"/>
  <c r="F315" i="15"/>
  <c r="A316" i="15"/>
  <c r="B316" i="15"/>
  <c r="C316" i="15"/>
  <c r="F316" i="15"/>
  <c r="A336" i="15"/>
  <c r="B336" i="15"/>
  <c r="C336" i="15"/>
  <c r="E336" i="15"/>
  <c r="F336" i="15"/>
  <c r="A337" i="15"/>
  <c r="B337" i="15"/>
  <c r="C337" i="15"/>
  <c r="E337" i="15"/>
  <c r="A319" i="15"/>
  <c r="B319" i="15"/>
  <c r="C319" i="15"/>
  <c r="F319" i="15"/>
  <c r="E319" i="15"/>
  <c r="A320" i="15"/>
  <c r="B320" i="15"/>
  <c r="C320" i="15"/>
  <c r="F320" i="15"/>
  <c r="A321" i="15"/>
  <c r="B321" i="15"/>
  <c r="C321" i="15"/>
  <c r="E321" i="15"/>
  <c r="A49" i="15"/>
  <c r="B49" i="15"/>
  <c r="C49" i="15"/>
  <c r="E49" i="15"/>
  <c r="A338" i="15"/>
  <c r="B338" i="15"/>
  <c r="C338" i="15"/>
  <c r="F338" i="15"/>
  <c r="A341" i="15"/>
  <c r="B341" i="15"/>
  <c r="C341" i="15"/>
  <c r="F341" i="15"/>
  <c r="A343" i="15"/>
  <c r="B343" i="15"/>
  <c r="C343" i="15"/>
  <c r="A344" i="15"/>
  <c r="B344" i="15"/>
  <c r="C344" i="15"/>
  <c r="E344" i="15"/>
  <c r="A345" i="15"/>
  <c r="B345" i="15"/>
  <c r="C345" i="15"/>
  <c r="E345" i="15"/>
  <c r="A330" i="15"/>
  <c r="B330" i="15"/>
  <c r="C330" i="15"/>
  <c r="A331" i="15"/>
  <c r="B331" i="15"/>
  <c r="C331" i="15"/>
  <c r="E331" i="15"/>
  <c r="A332" i="15"/>
  <c r="B332" i="15"/>
  <c r="C332" i="15"/>
  <c r="F332" i="15"/>
  <c r="A50" i="15"/>
  <c r="B50" i="15"/>
  <c r="C50" i="15"/>
  <c r="E50" i="15"/>
  <c r="A349" i="15"/>
  <c r="B349" i="15"/>
  <c r="C349" i="15"/>
  <c r="F349" i="15"/>
  <c r="A92" i="15"/>
  <c r="B92" i="15"/>
  <c r="C92" i="15"/>
  <c r="F92" i="15"/>
  <c r="A339" i="15"/>
  <c r="B339" i="15"/>
  <c r="C339" i="15"/>
  <c r="E339" i="15"/>
  <c r="A340" i="15"/>
  <c r="B340" i="15"/>
  <c r="C340" i="15"/>
  <c r="E340" i="15"/>
  <c r="A350" i="15"/>
  <c r="B350" i="15"/>
  <c r="C350" i="15"/>
  <c r="E350" i="15"/>
  <c r="F350" i="15"/>
  <c r="A342" i="15"/>
  <c r="B342" i="15"/>
  <c r="C342" i="15"/>
  <c r="A351" i="15"/>
  <c r="B351" i="15"/>
  <c r="C351" i="15"/>
  <c r="F351" i="15"/>
  <c r="A106" i="15"/>
  <c r="B106" i="15"/>
  <c r="C106" i="15"/>
  <c r="E106" i="15"/>
  <c r="A352" i="15"/>
  <c r="B352" i="15"/>
  <c r="C352" i="15"/>
  <c r="A354" i="15"/>
  <c r="B354" i="15"/>
  <c r="C354" i="15"/>
  <c r="E354" i="15"/>
  <c r="A348" i="15"/>
  <c r="B348" i="15"/>
  <c r="C348" i="15"/>
  <c r="E348" i="15"/>
  <c r="A358" i="15"/>
  <c r="B358" i="15"/>
  <c r="C358" i="15"/>
  <c r="F358" i="15"/>
  <c r="A361" i="15"/>
  <c r="B361" i="15"/>
  <c r="C361" i="15"/>
  <c r="F361" i="15"/>
  <c r="A363" i="15"/>
  <c r="B363" i="15"/>
  <c r="C363" i="15"/>
  <c r="F363" i="15"/>
  <c r="A353" i="15"/>
  <c r="B353" i="15"/>
  <c r="C353" i="15"/>
  <c r="E353" i="15"/>
  <c r="A111" i="15"/>
  <c r="B111" i="15"/>
  <c r="C111" i="15"/>
  <c r="A355" i="15"/>
  <c r="B355" i="15"/>
  <c r="C355" i="15"/>
  <c r="E355" i="15"/>
  <c r="A356" i="15"/>
  <c r="B356" i="15"/>
  <c r="C356" i="15"/>
  <c r="E356" i="15"/>
  <c r="A357" i="15"/>
  <c r="B357" i="15"/>
  <c r="C357" i="15"/>
  <c r="F357" i="15"/>
  <c r="A359" i="15"/>
  <c r="B359" i="15"/>
  <c r="C359" i="15"/>
  <c r="E359" i="15"/>
  <c r="F359" i="15"/>
  <c r="A360" i="15"/>
  <c r="B360" i="15"/>
  <c r="C360" i="15"/>
  <c r="F360" i="15"/>
  <c r="A365" i="15"/>
  <c r="B365" i="15"/>
  <c r="C365" i="15"/>
  <c r="E365" i="15"/>
  <c r="F365" i="15"/>
  <c r="A362" i="15"/>
  <c r="B362" i="15"/>
  <c r="C362" i="15"/>
  <c r="E362" i="15"/>
  <c r="A367" i="15"/>
  <c r="B367" i="15"/>
  <c r="C367" i="15"/>
  <c r="E367" i="15"/>
  <c r="A364" i="15"/>
  <c r="B364" i="15"/>
  <c r="C364" i="15"/>
  <c r="F364" i="15"/>
  <c r="A366" i="15"/>
  <c r="B366" i="15"/>
  <c r="C366" i="15"/>
  <c r="A370" i="15"/>
  <c r="B370" i="15"/>
  <c r="C370" i="15"/>
  <c r="E370" i="15"/>
  <c r="A369" i="15"/>
  <c r="B369" i="15"/>
  <c r="C369" i="15"/>
  <c r="F369" i="15"/>
  <c r="A54" i="15"/>
  <c r="B54" i="15"/>
  <c r="C54" i="15"/>
  <c r="E54" i="15"/>
  <c r="A373" i="15"/>
  <c r="B373" i="15"/>
  <c r="C373" i="15"/>
  <c r="F373" i="15"/>
  <c r="A374" i="15"/>
  <c r="B374" i="15"/>
  <c r="C374" i="15"/>
  <c r="E374" i="15"/>
  <c r="A376" i="15"/>
  <c r="B376" i="15"/>
  <c r="C376" i="15"/>
  <c r="E376" i="15"/>
  <c r="A377" i="15"/>
  <c r="B377" i="15"/>
  <c r="C377" i="15"/>
  <c r="E377" i="15"/>
  <c r="A380" i="15"/>
  <c r="B380" i="15"/>
  <c r="C380" i="15"/>
  <c r="F380" i="15"/>
  <c r="A378" i="15"/>
  <c r="B378" i="15"/>
  <c r="C378" i="15"/>
  <c r="E378" i="15"/>
  <c r="A379" i="15"/>
  <c r="B379" i="15"/>
  <c r="C379" i="15"/>
  <c r="E379" i="15"/>
  <c r="A382" i="15"/>
  <c r="B382" i="15"/>
  <c r="C382" i="15"/>
  <c r="E382" i="15"/>
  <c r="A381" i="15"/>
  <c r="B381" i="15"/>
  <c r="C381" i="15"/>
  <c r="F381" i="15"/>
  <c r="A94" i="15"/>
  <c r="B94" i="15"/>
  <c r="C94" i="15"/>
  <c r="E94" i="15"/>
  <c r="A383" i="15"/>
  <c r="B383" i="15"/>
  <c r="C383" i="15"/>
  <c r="E383" i="15"/>
  <c r="A384" i="15"/>
  <c r="B384" i="15"/>
  <c r="C384" i="15"/>
  <c r="E384" i="15"/>
  <c r="A385" i="15"/>
  <c r="B385" i="15"/>
  <c r="C385" i="15"/>
  <c r="F385" i="15"/>
  <c r="A386" i="15"/>
  <c r="B386" i="15"/>
  <c r="C386" i="15"/>
  <c r="E386" i="15"/>
  <c r="A388" i="15"/>
  <c r="B388" i="15"/>
  <c r="C388" i="15"/>
  <c r="E388" i="15"/>
  <c r="A389" i="15"/>
  <c r="B389" i="15"/>
  <c r="C389" i="15"/>
  <c r="F389" i="15"/>
  <c r="A390" i="15"/>
  <c r="B390" i="15"/>
  <c r="C390" i="15"/>
  <c r="E390" i="15"/>
  <c r="A391" i="15"/>
  <c r="B391" i="15"/>
  <c r="C391" i="15"/>
  <c r="E391" i="15"/>
  <c r="A392" i="15"/>
  <c r="B392" i="15"/>
  <c r="C392" i="15"/>
  <c r="E392" i="15"/>
  <c r="A393" i="15"/>
  <c r="B393" i="15"/>
  <c r="C393" i="15"/>
  <c r="F393" i="15"/>
  <c r="E21" i="15"/>
  <c r="A3" i="2"/>
  <c r="B3" i="2" a="1"/>
  <c r="B3" i="2" s="1"/>
  <c r="C3" i="2" a="1"/>
  <c r="C3" i="2" s="1"/>
  <c r="A4" i="2"/>
  <c r="B4" i="2" a="1"/>
  <c r="B4" i="2" s="1"/>
  <c r="C4" i="2" a="1"/>
  <c r="C4" i="2" s="1"/>
  <c r="A5" i="2"/>
  <c r="B5" i="2" a="1"/>
  <c r="B5" i="2" s="1"/>
  <c r="C5" i="2" a="1"/>
  <c r="C5" i="2" s="1"/>
  <c r="A6" i="2"/>
  <c r="B6" i="2" a="1"/>
  <c r="B6" i="2" s="1"/>
  <c r="C6" i="2" a="1"/>
  <c r="C6" i="2" s="1"/>
  <c r="A7" i="2"/>
  <c r="B7" i="2" a="1"/>
  <c r="B7" i="2" s="1"/>
  <c r="C7" i="2" a="1"/>
  <c r="C7" i="2" s="1"/>
  <c r="A8" i="2"/>
  <c r="B8" i="2" a="1"/>
  <c r="B8" i="2" s="1"/>
  <c r="C8" i="2" a="1"/>
  <c r="C8" i="2" s="1"/>
  <c r="A9" i="2"/>
  <c r="B9" i="2" a="1"/>
  <c r="B9" i="2" s="1"/>
  <c r="C9" i="2" a="1"/>
  <c r="C9" i="2" s="1"/>
  <c r="A10" i="2"/>
  <c r="B10" i="2" a="1"/>
  <c r="B10" i="2" s="1"/>
  <c r="C10" i="2" a="1"/>
  <c r="C10" i="2" s="1"/>
  <c r="A11" i="2"/>
  <c r="B11" i="2" a="1"/>
  <c r="B11" i="2" s="1"/>
  <c r="C11" i="2" a="1"/>
  <c r="C11" i="2" s="1"/>
  <c r="A12" i="2"/>
  <c r="B12" i="2" a="1"/>
  <c r="B12" i="2" s="1"/>
  <c r="C12" i="2" a="1"/>
  <c r="C12" i="2" s="1"/>
  <c r="A13" i="2"/>
  <c r="B13" i="2" a="1"/>
  <c r="B13" i="2" s="1"/>
  <c r="C13" i="2" a="1"/>
  <c r="C13" i="2" s="1"/>
  <c r="A14" i="2"/>
  <c r="B14" i="2" a="1"/>
  <c r="B14" i="2" s="1"/>
  <c r="C14" i="2" a="1"/>
  <c r="C14" i="2" s="1"/>
  <c r="A15" i="2"/>
  <c r="B15" i="2" a="1"/>
  <c r="B15" i="2" s="1"/>
  <c r="C15" i="2" a="1"/>
  <c r="C15" i="2" s="1"/>
  <c r="A16" i="2"/>
  <c r="B16" i="2" a="1"/>
  <c r="B16" i="2" s="1"/>
  <c r="C16" i="2" a="1"/>
  <c r="C16" i="2" s="1"/>
  <c r="A17" i="2"/>
  <c r="B17" i="2" a="1"/>
  <c r="B17" i="2" s="1"/>
  <c r="C17" i="2" a="1"/>
  <c r="C17" i="2" s="1"/>
  <c r="A18" i="2"/>
  <c r="B18" i="2" a="1"/>
  <c r="B18" i="2" s="1"/>
  <c r="C18" i="2" a="1"/>
  <c r="C18" i="2" s="1"/>
  <c r="A19" i="2"/>
  <c r="B19" i="2" a="1"/>
  <c r="B19" i="2" s="1"/>
  <c r="C19" i="2" a="1"/>
  <c r="C19" i="2" s="1"/>
  <c r="A20" i="2"/>
  <c r="B20" i="2" a="1"/>
  <c r="B20" i="2" s="1"/>
  <c r="C20" i="2" a="1"/>
  <c r="C20" i="2" s="1"/>
  <c r="A21" i="2"/>
  <c r="B21" i="2" a="1"/>
  <c r="B21" i="2" s="1"/>
  <c r="C21" i="2" a="1"/>
  <c r="C21" i="2" s="1"/>
  <c r="A22" i="2"/>
  <c r="B22" i="2" a="1"/>
  <c r="B22" i="2" s="1"/>
  <c r="C22" i="2" a="1"/>
  <c r="C22" i="2" s="1"/>
  <c r="A23" i="2"/>
  <c r="B23" i="2" a="1"/>
  <c r="B23" i="2" s="1"/>
  <c r="C23" i="2" a="1"/>
  <c r="C23" i="2" s="1"/>
  <c r="A24" i="2"/>
  <c r="B24" i="2" a="1"/>
  <c r="B24" i="2" s="1"/>
  <c r="C24" i="2" a="1"/>
  <c r="C24" i="2" s="1"/>
  <c r="A25" i="2"/>
  <c r="B25" i="2" a="1"/>
  <c r="B25" i="2" s="1"/>
  <c r="C25" i="2" a="1"/>
  <c r="C25" i="2" s="1"/>
  <c r="A26" i="2"/>
  <c r="B26" i="2" a="1"/>
  <c r="B26" i="2" s="1"/>
  <c r="C26" i="2" a="1"/>
  <c r="C26" i="2" s="1"/>
  <c r="A27" i="2"/>
  <c r="B27" i="2" a="1"/>
  <c r="B27" i="2" s="1"/>
  <c r="C27" i="2" a="1"/>
  <c r="C27" i="2" s="1"/>
  <c r="A28" i="2"/>
  <c r="B28" i="2" a="1"/>
  <c r="B28" i="2" s="1"/>
  <c r="C28" i="2" a="1"/>
  <c r="C28" i="2" s="1"/>
  <c r="A29" i="2"/>
  <c r="B29" i="2" a="1"/>
  <c r="B29" i="2" s="1"/>
  <c r="C29" i="2" a="1"/>
  <c r="C29" i="2" s="1"/>
  <c r="A30" i="2"/>
  <c r="B30" i="2" a="1"/>
  <c r="B30" i="2" s="1"/>
  <c r="C30" i="2" a="1"/>
  <c r="C30" i="2" s="1"/>
  <c r="A31" i="2"/>
  <c r="B31" i="2" a="1"/>
  <c r="B31" i="2" s="1"/>
  <c r="C31" i="2" a="1"/>
  <c r="C31" i="2" s="1"/>
  <c r="A32" i="2"/>
  <c r="B32" i="2" a="1"/>
  <c r="B32" i="2" s="1"/>
  <c r="C32" i="2" a="1"/>
  <c r="C32" i="2" s="1"/>
  <c r="A33" i="2"/>
  <c r="B33" i="2" a="1"/>
  <c r="B33" i="2" s="1"/>
  <c r="C33" i="2" a="1"/>
  <c r="C33" i="2" s="1"/>
  <c r="A34" i="2"/>
  <c r="B34" i="2" a="1"/>
  <c r="B34" i="2" s="1"/>
  <c r="C34" i="2" a="1"/>
  <c r="C34" i="2" s="1"/>
  <c r="A35" i="2"/>
  <c r="B35" i="2" a="1"/>
  <c r="B35" i="2" s="1"/>
  <c r="C35" i="2" a="1"/>
  <c r="C35" i="2" s="1"/>
  <c r="A36" i="2"/>
  <c r="B36" i="2" a="1"/>
  <c r="B36" i="2" s="1"/>
  <c r="C36" i="2" a="1"/>
  <c r="C36" i="2" s="1"/>
  <c r="A37" i="2"/>
  <c r="B37" i="2" a="1"/>
  <c r="B37" i="2" s="1"/>
  <c r="C37" i="2" a="1"/>
  <c r="C37" i="2" s="1"/>
  <c r="A38" i="2"/>
  <c r="B38" i="2" a="1"/>
  <c r="B38" i="2" s="1"/>
  <c r="C38" i="2" a="1"/>
  <c r="C38" i="2" s="1"/>
  <c r="A39" i="2"/>
  <c r="B39" i="2" a="1"/>
  <c r="B39" i="2" s="1"/>
  <c r="C39" i="2" a="1"/>
  <c r="C39" i="2" s="1"/>
  <c r="A40" i="2"/>
  <c r="B40" i="2" a="1"/>
  <c r="B40" i="2" s="1"/>
  <c r="C40" i="2" a="1"/>
  <c r="C40" i="2" s="1"/>
  <c r="A41" i="2"/>
  <c r="B41" i="2" a="1"/>
  <c r="B41" i="2" s="1"/>
  <c r="C41" i="2" a="1"/>
  <c r="C41" i="2" s="1"/>
  <c r="A42" i="2"/>
  <c r="B42" i="2" a="1"/>
  <c r="B42" i="2" s="1"/>
  <c r="C42" i="2" a="1"/>
  <c r="C42" i="2" s="1"/>
  <c r="A43" i="2"/>
  <c r="B43" i="2" a="1"/>
  <c r="B43" i="2" s="1"/>
  <c r="C43" i="2" a="1"/>
  <c r="C43" i="2" s="1"/>
  <c r="A44" i="2"/>
  <c r="B44" i="2" a="1"/>
  <c r="B44" i="2" s="1"/>
  <c r="C44" i="2" a="1"/>
  <c r="C44" i="2" s="1"/>
  <c r="A45" i="2"/>
  <c r="B45" i="2" a="1"/>
  <c r="B45" i="2" s="1"/>
  <c r="C45" i="2" a="1"/>
  <c r="C45" i="2" s="1"/>
  <c r="A46" i="2"/>
  <c r="B46" i="2" a="1"/>
  <c r="B46" i="2" s="1"/>
  <c r="C46" i="2" a="1"/>
  <c r="C46" i="2" s="1"/>
  <c r="A47" i="2"/>
  <c r="B47" i="2" a="1"/>
  <c r="B47" i="2" s="1"/>
  <c r="C47" i="2" a="1"/>
  <c r="C47" i="2" s="1"/>
  <c r="A48" i="2"/>
  <c r="B48" i="2" a="1"/>
  <c r="B48" i="2" s="1"/>
  <c r="C48" i="2" a="1"/>
  <c r="C48" i="2" s="1"/>
  <c r="A49" i="2"/>
  <c r="B49" i="2" a="1"/>
  <c r="B49" i="2" s="1"/>
  <c r="C49" i="2" a="1"/>
  <c r="C49" i="2" s="1"/>
  <c r="A50" i="2"/>
  <c r="B50" i="2" a="1"/>
  <c r="B50" i="2" s="1"/>
  <c r="C50" i="2" a="1"/>
  <c r="C50" i="2" s="1"/>
  <c r="A51" i="2"/>
  <c r="B51" i="2" a="1"/>
  <c r="B51" i="2" s="1"/>
  <c r="C51" i="2" a="1"/>
  <c r="C51" i="2" s="1"/>
  <c r="A52" i="2"/>
  <c r="B52" i="2" a="1"/>
  <c r="B52" i="2" s="1"/>
  <c r="C52" i="2" a="1"/>
  <c r="C52" i="2" s="1"/>
  <c r="A53" i="2"/>
  <c r="B53" i="2" a="1"/>
  <c r="B53" i="2" s="1"/>
  <c r="C53" i="2" a="1"/>
  <c r="C53" i="2" s="1"/>
  <c r="A54" i="2"/>
  <c r="B54" i="2" a="1"/>
  <c r="B54" i="2" s="1"/>
  <c r="C54" i="2" a="1"/>
  <c r="C54" i="2" s="1"/>
  <c r="A55" i="2"/>
  <c r="B55" i="2" a="1"/>
  <c r="B55" i="2" s="1"/>
  <c r="C55" i="2" a="1"/>
  <c r="C55" i="2" s="1"/>
  <c r="A56" i="2"/>
  <c r="B56" i="2" a="1"/>
  <c r="B56" i="2" s="1"/>
  <c r="C56" i="2" a="1"/>
  <c r="C56" i="2" s="1"/>
  <c r="A57" i="2"/>
  <c r="B57" i="2" a="1"/>
  <c r="B57" i="2" s="1"/>
  <c r="C57" i="2" a="1"/>
  <c r="C57" i="2" s="1"/>
  <c r="A58" i="2"/>
  <c r="B58" i="2" a="1"/>
  <c r="B58" i="2" s="1"/>
  <c r="C58" i="2" a="1"/>
  <c r="C58" i="2" s="1"/>
  <c r="A59" i="2"/>
  <c r="B59" i="2" a="1"/>
  <c r="B59" i="2" s="1"/>
  <c r="C59" i="2" a="1"/>
  <c r="C59" i="2" s="1"/>
  <c r="A60" i="2"/>
  <c r="B60" i="2" a="1"/>
  <c r="B60" i="2" s="1"/>
  <c r="C60" i="2" a="1"/>
  <c r="C60" i="2" s="1"/>
  <c r="A61" i="2"/>
  <c r="B61" i="2" a="1"/>
  <c r="B61" i="2" s="1"/>
  <c r="C61" i="2" a="1"/>
  <c r="C61" i="2" s="1"/>
  <c r="A62" i="2"/>
  <c r="B62" i="2" a="1"/>
  <c r="B62" i="2" s="1"/>
  <c r="C62" i="2" a="1"/>
  <c r="C62" i="2" s="1"/>
  <c r="A63" i="2"/>
  <c r="B63" i="2" a="1"/>
  <c r="B63" i="2" s="1"/>
  <c r="C63" i="2" a="1"/>
  <c r="C63" i="2" s="1"/>
  <c r="A64" i="2"/>
  <c r="B64" i="2" a="1"/>
  <c r="B64" i="2" s="1"/>
  <c r="C64" i="2" a="1"/>
  <c r="C64" i="2" s="1"/>
  <c r="A65" i="2"/>
  <c r="B65" i="2" a="1"/>
  <c r="B65" i="2" s="1"/>
  <c r="C65" i="2" a="1"/>
  <c r="C65" i="2" s="1"/>
  <c r="A66" i="2"/>
  <c r="B66" i="2" a="1"/>
  <c r="B66" i="2" s="1"/>
  <c r="C66" i="2" a="1"/>
  <c r="C66" i="2" s="1"/>
  <c r="A67" i="2"/>
  <c r="B67" i="2" a="1"/>
  <c r="B67" i="2" s="1"/>
  <c r="C67" i="2" a="1"/>
  <c r="C67" i="2" s="1"/>
  <c r="A68" i="2"/>
  <c r="B68" i="2" a="1"/>
  <c r="B68" i="2" s="1"/>
  <c r="C68" i="2" a="1"/>
  <c r="C68" i="2" s="1"/>
  <c r="A69" i="2"/>
  <c r="B69" i="2" a="1"/>
  <c r="B69" i="2" s="1"/>
  <c r="C69" i="2" a="1"/>
  <c r="C69" i="2" s="1"/>
  <c r="A70" i="2"/>
  <c r="B70" i="2" a="1"/>
  <c r="B70" i="2" s="1"/>
  <c r="C70" i="2" a="1"/>
  <c r="C70" i="2" s="1"/>
  <c r="A71" i="2"/>
  <c r="B71" i="2" a="1"/>
  <c r="B71" i="2" s="1"/>
  <c r="C71" i="2" a="1"/>
  <c r="C71" i="2" s="1"/>
  <c r="A72" i="2"/>
  <c r="B72" i="2" a="1"/>
  <c r="B72" i="2" s="1"/>
  <c r="C72" i="2" a="1"/>
  <c r="C72" i="2" s="1"/>
  <c r="A73" i="2"/>
  <c r="B73" i="2" a="1"/>
  <c r="B73" i="2" s="1"/>
  <c r="C73" i="2" a="1"/>
  <c r="C73" i="2" s="1"/>
  <c r="A74" i="2"/>
  <c r="B74" i="2" a="1"/>
  <c r="B74" i="2" s="1"/>
  <c r="C74" i="2" a="1"/>
  <c r="C74" i="2" s="1"/>
  <c r="A75" i="2"/>
  <c r="B75" i="2" a="1"/>
  <c r="B75" i="2" s="1"/>
  <c r="C75" i="2" a="1"/>
  <c r="C75" i="2" s="1"/>
  <c r="A76" i="2"/>
  <c r="B76" i="2" a="1"/>
  <c r="B76" i="2" s="1"/>
  <c r="C76" i="2" a="1"/>
  <c r="C76" i="2" s="1"/>
  <c r="A77" i="2"/>
  <c r="B77" i="2" a="1"/>
  <c r="B77" i="2" s="1"/>
  <c r="C77" i="2" a="1"/>
  <c r="C77" i="2" s="1"/>
  <c r="A78" i="2"/>
  <c r="B78" i="2" a="1"/>
  <c r="B78" i="2" s="1"/>
  <c r="C78" i="2" a="1"/>
  <c r="C78" i="2" s="1"/>
  <c r="A79" i="2"/>
  <c r="B79" i="2" a="1"/>
  <c r="B79" i="2" s="1"/>
  <c r="C79" i="2" a="1"/>
  <c r="C79" i="2" s="1"/>
  <c r="A80" i="2"/>
  <c r="B80" i="2" a="1"/>
  <c r="B80" i="2" s="1"/>
  <c r="C80" i="2" a="1"/>
  <c r="C80" i="2" s="1"/>
  <c r="A81" i="2"/>
  <c r="B81" i="2" a="1"/>
  <c r="B81" i="2" s="1"/>
  <c r="C81" i="2" a="1"/>
  <c r="C81" i="2" s="1"/>
  <c r="A82" i="2"/>
  <c r="B82" i="2" a="1"/>
  <c r="B82" i="2" s="1"/>
  <c r="C82" i="2" a="1"/>
  <c r="C82" i="2" s="1"/>
  <c r="A83" i="2"/>
  <c r="B83" i="2" a="1"/>
  <c r="B83" i="2" s="1"/>
  <c r="C83" i="2" a="1"/>
  <c r="C83" i="2" s="1"/>
  <c r="A84" i="2"/>
  <c r="B84" i="2" a="1"/>
  <c r="B84" i="2" s="1"/>
  <c r="C84" i="2" a="1"/>
  <c r="C84" i="2" s="1"/>
  <c r="A85" i="2"/>
  <c r="B85" i="2" a="1"/>
  <c r="B85" i="2" s="1"/>
  <c r="C85" i="2" a="1"/>
  <c r="C85" i="2" s="1"/>
  <c r="A86" i="2"/>
  <c r="B86" i="2" a="1"/>
  <c r="B86" i="2" s="1"/>
  <c r="C86" i="2" a="1"/>
  <c r="C86" i="2" s="1"/>
  <c r="A87" i="2"/>
  <c r="B87" i="2" a="1"/>
  <c r="B87" i="2" s="1"/>
  <c r="C87" i="2" a="1"/>
  <c r="C87" i="2" s="1"/>
  <c r="A88" i="2"/>
  <c r="B88" i="2" a="1"/>
  <c r="B88" i="2" s="1"/>
  <c r="C88" i="2" a="1"/>
  <c r="C88" i="2" s="1"/>
  <c r="A89" i="2"/>
  <c r="B89" i="2" a="1"/>
  <c r="B89" i="2" s="1"/>
  <c r="C89" i="2" a="1"/>
  <c r="C89" i="2" s="1"/>
  <c r="A90" i="2"/>
  <c r="B90" i="2" a="1"/>
  <c r="B90" i="2" s="1"/>
  <c r="C90" i="2" a="1"/>
  <c r="C90" i="2" s="1"/>
  <c r="A91" i="2"/>
  <c r="B91" i="2" a="1"/>
  <c r="B91" i="2" s="1"/>
  <c r="C91" i="2" a="1"/>
  <c r="C91" i="2" s="1"/>
  <c r="A92" i="2"/>
  <c r="B92" i="2" a="1"/>
  <c r="B92" i="2" s="1"/>
  <c r="C92" i="2" a="1"/>
  <c r="C92" i="2" s="1"/>
  <c r="A93" i="2"/>
  <c r="B93" i="2" a="1"/>
  <c r="B93" i="2" s="1"/>
  <c r="C93" i="2" a="1"/>
  <c r="C93" i="2" s="1"/>
  <c r="A94" i="2"/>
  <c r="B94" i="2" a="1"/>
  <c r="B94" i="2" s="1"/>
  <c r="C94" i="2" a="1"/>
  <c r="C94" i="2" s="1"/>
  <c r="A95" i="2"/>
  <c r="B95" i="2" a="1"/>
  <c r="B95" i="2" s="1"/>
  <c r="C95" i="2" a="1"/>
  <c r="C95" i="2" s="1"/>
  <c r="A96" i="2"/>
  <c r="B96" i="2" a="1"/>
  <c r="B96" i="2" s="1"/>
  <c r="C96" i="2" a="1"/>
  <c r="C96" i="2" s="1"/>
  <c r="A97" i="2"/>
  <c r="B97" i="2" a="1"/>
  <c r="B97" i="2" s="1"/>
  <c r="C97" i="2" a="1"/>
  <c r="C97" i="2" s="1"/>
  <c r="A98" i="2"/>
  <c r="B98" i="2" a="1"/>
  <c r="B98" i="2" s="1"/>
  <c r="C98" i="2" a="1"/>
  <c r="C98" i="2" s="1"/>
  <c r="A99" i="2"/>
  <c r="B99" i="2" a="1"/>
  <c r="B99" i="2" s="1"/>
  <c r="C99" i="2" a="1"/>
  <c r="C99" i="2" s="1"/>
  <c r="A100" i="2"/>
  <c r="B100" i="2" a="1"/>
  <c r="B100" i="2" s="1"/>
  <c r="C100" i="2" a="1"/>
  <c r="C100" i="2" s="1"/>
  <c r="A101" i="2"/>
  <c r="B101" i="2" a="1"/>
  <c r="B101" i="2" s="1"/>
  <c r="C101" i="2" a="1"/>
  <c r="C101" i="2" s="1"/>
  <c r="A102" i="2"/>
  <c r="B102" i="2" a="1"/>
  <c r="B102" i="2" s="1"/>
  <c r="C102" i="2" a="1"/>
  <c r="C102" i="2" s="1"/>
  <c r="A103" i="2"/>
  <c r="B103" i="2" a="1"/>
  <c r="B103" i="2" s="1"/>
  <c r="C103" i="2" a="1"/>
  <c r="C103" i="2" s="1"/>
  <c r="A104" i="2"/>
  <c r="B104" i="2" a="1"/>
  <c r="B104" i="2" s="1"/>
  <c r="C104" i="2" a="1"/>
  <c r="C104" i="2" s="1"/>
  <c r="A105" i="2"/>
  <c r="B105" i="2" a="1"/>
  <c r="B105" i="2" s="1"/>
  <c r="C105" i="2" a="1"/>
  <c r="C105" i="2" s="1"/>
  <c r="A106" i="2"/>
  <c r="B106" i="2" a="1"/>
  <c r="B106" i="2" s="1"/>
  <c r="C106" i="2" a="1"/>
  <c r="C106" i="2" s="1"/>
  <c r="A107" i="2"/>
  <c r="B107" i="2" a="1"/>
  <c r="B107" i="2" s="1"/>
  <c r="C107" i="2" a="1"/>
  <c r="C107" i="2" s="1"/>
  <c r="A108" i="2"/>
  <c r="B108" i="2" a="1"/>
  <c r="B108" i="2" s="1"/>
  <c r="C108" i="2" a="1"/>
  <c r="C108" i="2" s="1"/>
  <c r="A109" i="2"/>
  <c r="B109" i="2" a="1"/>
  <c r="B109" i="2" s="1"/>
  <c r="C109" i="2" a="1"/>
  <c r="C109" i="2" s="1"/>
  <c r="A110" i="2"/>
  <c r="B110" i="2" a="1"/>
  <c r="B110" i="2" s="1"/>
  <c r="C110" i="2" a="1"/>
  <c r="C110" i="2" s="1"/>
  <c r="A111" i="2"/>
  <c r="B111" i="2" a="1"/>
  <c r="B111" i="2" s="1"/>
  <c r="C111" i="2" a="1"/>
  <c r="C111" i="2" s="1"/>
  <c r="A112" i="2"/>
  <c r="B112" i="2" a="1"/>
  <c r="B112" i="2" s="1"/>
  <c r="C112" i="2" a="1"/>
  <c r="C112" i="2" s="1"/>
  <c r="A113" i="2"/>
  <c r="B113" i="2" a="1"/>
  <c r="B113" i="2" s="1"/>
  <c r="C113" i="2" a="1"/>
  <c r="C113" i="2" s="1"/>
  <c r="A114" i="2"/>
  <c r="B114" i="2" a="1"/>
  <c r="B114" i="2" s="1"/>
  <c r="C114" i="2" a="1"/>
  <c r="C114" i="2" s="1"/>
  <c r="A115" i="2"/>
  <c r="B115" i="2" a="1"/>
  <c r="B115" i="2" s="1"/>
  <c r="C115" i="2" a="1"/>
  <c r="C115" i="2" s="1"/>
  <c r="A116" i="2"/>
  <c r="B116" i="2" a="1"/>
  <c r="B116" i="2" s="1"/>
  <c r="C116" i="2" a="1"/>
  <c r="C116" i="2" s="1"/>
  <c r="A117" i="2"/>
  <c r="B117" i="2" a="1"/>
  <c r="B117" i="2" s="1"/>
  <c r="C117" i="2" a="1"/>
  <c r="C117" i="2" s="1"/>
  <c r="A118" i="2"/>
  <c r="B118" i="2" a="1"/>
  <c r="B118" i="2" s="1"/>
  <c r="C118" i="2" a="1"/>
  <c r="C118" i="2" s="1"/>
  <c r="A119" i="2"/>
  <c r="B119" i="2" a="1"/>
  <c r="B119" i="2" s="1"/>
  <c r="C119" i="2" a="1"/>
  <c r="C119" i="2" s="1"/>
  <c r="A120" i="2"/>
  <c r="B120" i="2" a="1"/>
  <c r="B120" i="2" s="1"/>
  <c r="C120" i="2" a="1"/>
  <c r="C120" i="2" s="1"/>
  <c r="A121" i="2"/>
  <c r="B121" i="2" a="1"/>
  <c r="B121" i="2" s="1"/>
  <c r="C121" i="2" a="1"/>
  <c r="C121" i="2" s="1"/>
  <c r="A122" i="2"/>
  <c r="B122" i="2" a="1"/>
  <c r="B122" i="2" s="1"/>
  <c r="C122" i="2" a="1"/>
  <c r="C122" i="2" s="1"/>
  <c r="A123" i="2"/>
  <c r="B123" i="2" a="1"/>
  <c r="B123" i="2" s="1"/>
  <c r="C123" i="2" a="1"/>
  <c r="C123" i="2" s="1"/>
  <c r="A124" i="2"/>
  <c r="B124" i="2" a="1"/>
  <c r="B124" i="2" s="1"/>
  <c r="C124" i="2" a="1"/>
  <c r="C124" i="2" s="1"/>
  <c r="A125" i="2"/>
  <c r="B125" i="2" a="1"/>
  <c r="B125" i="2" s="1"/>
  <c r="C125" i="2" a="1"/>
  <c r="C125" i="2" s="1"/>
  <c r="A126" i="2"/>
  <c r="B126" i="2" a="1"/>
  <c r="B126" i="2" s="1"/>
  <c r="C126" i="2" a="1"/>
  <c r="C126" i="2" s="1"/>
  <c r="A127" i="2"/>
  <c r="B127" i="2" a="1"/>
  <c r="B127" i="2" s="1"/>
  <c r="C127" i="2" a="1"/>
  <c r="C127" i="2" s="1"/>
  <c r="A128" i="2"/>
  <c r="B128" i="2" a="1"/>
  <c r="B128" i="2"/>
  <c r="C128" i="2" a="1"/>
  <c r="C128" i="2" s="1"/>
  <c r="A129" i="2"/>
  <c r="B129" i="2" a="1"/>
  <c r="B129" i="2" s="1"/>
  <c r="C129" i="2" a="1"/>
  <c r="C129" i="2" s="1"/>
  <c r="A130" i="2"/>
  <c r="B130" i="2" a="1"/>
  <c r="B130" i="2" s="1"/>
  <c r="C130" i="2" a="1"/>
  <c r="C130" i="2" s="1"/>
  <c r="A131" i="2"/>
  <c r="B131" i="2" a="1"/>
  <c r="B131" i="2" s="1"/>
  <c r="C131" i="2" a="1"/>
  <c r="C131" i="2" s="1"/>
  <c r="A132" i="2"/>
  <c r="B132" i="2" a="1"/>
  <c r="B132" i="2" s="1"/>
  <c r="C132" i="2" a="1"/>
  <c r="C132" i="2" s="1"/>
  <c r="A133" i="2"/>
  <c r="B133" i="2" a="1"/>
  <c r="B133" i="2" s="1"/>
  <c r="C133" i="2" a="1"/>
  <c r="C133" i="2" s="1"/>
  <c r="A134" i="2"/>
  <c r="B134" i="2" a="1"/>
  <c r="B134" i="2" s="1"/>
  <c r="C134" i="2" a="1"/>
  <c r="C134" i="2" s="1"/>
  <c r="A135" i="2"/>
  <c r="B135" i="2" a="1"/>
  <c r="B135" i="2" s="1"/>
  <c r="C135" i="2" a="1"/>
  <c r="C135" i="2" s="1"/>
  <c r="A136" i="2"/>
  <c r="B136" i="2" a="1"/>
  <c r="B136" i="2" s="1"/>
  <c r="C136" i="2" a="1"/>
  <c r="C136" i="2" s="1"/>
  <c r="A137" i="2"/>
  <c r="B137" i="2" a="1"/>
  <c r="B137" i="2" s="1"/>
  <c r="C137" i="2" a="1"/>
  <c r="C137" i="2" s="1"/>
  <c r="A138" i="2"/>
  <c r="B138" i="2" a="1"/>
  <c r="B138" i="2" s="1"/>
  <c r="C138" i="2" a="1"/>
  <c r="C138" i="2" s="1"/>
  <c r="A139" i="2"/>
  <c r="B139" i="2" a="1"/>
  <c r="B139" i="2" s="1"/>
  <c r="C139" i="2" a="1"/>
  <c r="C139" i="2" s="1"/>
  <c r="A140" i="2"/>
  <c r="B140" i="2" a="1"/>
  <c r="B140" i="2" s="1"/>
  <c r="C140" i="2" a="1"/>
  <c r="C140" i="2" s="1"/>
  <c r="A141" i="2"/>
  <c r="B141" i="2" a="1"/>
  <c r="B141" i="2" s="1"/>
  <c r="C141" i="2" a="1"/>
  <c r="C141" i="2" s="1"/>
  <c r="A142" i="2"/>
  <c r="B142" i="2" a="1"/>
  <c r="B142" i="2" s="1"/>
  <c r="C142" i="2" a="1"/>
  <c r="C142" i="2" s="1"/>
  <c r="A143" i="2"/>
  <c r="B143" i="2" a="1"/>
  <c r="B143" i="2" s="1"/>
  <c r="C143" i="2" a="1"/>
  <c r="C143" i="2" s="1"/>
  <c r="A144" i="2"/>
  <c r="B144" i="2" a="1"/>
  <c r="B144" i="2"/>
  <c r="C144" i="2" a="1"/>
  <c r="C144" i="2" s="1"/>
  <c r="A145" i="2"/>
  <c r="B145" i="2" a="1"/>
  <c r="B145" i="2" s="1"/>
  <c r="C145" i="2" a="1"/>
  <c r="C145" i="2" s="1"/>
  <c r="A146" i="2"/>
  <c r="B146" i="2" a="1"/>
  <c r="B146" i="2" s="1"/>
  <c r="C146" i="2" a="1"/>
  <c r="C146" i="2" s="1"/>
  <c r="A147" i="2"/>
  <c r="B147" i="2" a="1"/>
  <c r="B147" i="2" s="1"/>
  <c r="C147" i="2" a="1"/>
  <c r="C147" i="2" s="1"/>
  <c r="A148" i="2"/>
  <c r="B148" i="2" a="1"/>
  <c r="B148" i="2" s="1"/>
  <c r="C148" i="2" a="1"/>
  <c r="C148" i="2" s="1"/>
  <c r="A149" i="2"/>
  <c r="B149" i="2" a="1"/>
  <c r="B149" i="2" s="1"/>
  <c r="C149" i="2" a="1"/>
  <c r="C149" i="2" s="1"/>
  <c r="A150" i="2"/>
  <c r="B150" i="2" a="1"/>
  <c r="B150" i="2" s="1"/>
  <c r="C150" i="2" a="1"/>
  <c r="C150" i="2" s="1"/>
  <c r="A151" i="2"/>
  <c r="B151" i="2" a="1"/>
  <c r="B151" i="2" s="1"/>
  <c r="C151" i="2" a="1"/>
  <c r="C151" i="2" s="1"/>
  <c r="A152" i="2"/>
  <c r="B152" i="2" a="1"/>
  <c r="B152" i="2" s="1"/>
  <c r="C152" i="2" a="1"/>
  <c r="C152" i="2" s="1"/>
  <c r="A153" i="2"/>
  <c r="B153" i="2" a="1"/>
  <c r="B153" i="2" s="1"/>
  <c r="C153" i="2" a="1"/>
  <c r="C153" i="2" s="1"/>
  <c r="A154" i="2"/>
  <c r="B154" i="2" a="1"/>
  <c r="B154" i="2" s="1"/>
  <c r="C154" i="2" a="1"/>
  <c r="C154" i="2" s="1"/>
  <c r="A155" i="2"/>
  <c r="B155" i="2" a="1"/>
  <c r="B155" i="2" s="1"/>
  <c r="C155" i="2" a="1"/>
  <c r="C155" i="2" s="1"/>
  <c r="A156" i="2"/>
  <c r="B156" i="2" a="1"/>
  <c r="B156" i="2" s="1"/>
  <c r="C156" i="2" a="1"/>
  <c r="C156" i="2" s="1"/>
  <c r="A157" i="2"/>
  <c r="B157" i="2" a="1"/>
  <c r="B157" i="2" s="1"/>
  <c r="C157" i="2" a="1"/>
  <c r="C157" i="2" s="1"/>
  <c r="A158" i="2"/>
  <c r="B158" i="2" a="1"/>
  <c r="B158" i="2" s="1"/>
  <c r="C158" i="2" a="1"/>
  <c r="C158" i="2" s="1"/>
  <c r="A159" i="2"/>
  <c r="B159" i="2" a="1"/>
  <c r="B159" i="2" s="1"/>
  <c r="C159" i="2" a="1"/>
  <c r="C159" i="2" s="1"/>
  <c r="A160" i="2"/>
  <c r="B160" i="2" a="1"/>
  <c r="B160" i="2" s="1"/>
  <c r="C160" i="2" a="1"/>
  <c r="C160" i="2" s="1"/>
  <c r="A161" i="2"/>
  <c r="B161" i="2" a="1"/>
  <c r="B161" i="2" s="1"/>
  <c r="C161" i="2" a="1"/>
  <c r="C161" i="2" s="1"/>
  <c r="A162" i="2"/>
  <c r="B162" i="2" a="1"/>
  <c r="B162" i="2" s="1"/>
  <c r="C162" i="2" a="1"/>
  <c r="C162" i="2" s="1"/>
  <c r="A163" i="2"/>
  <c r="B163" i="2" a="1"/>
  <c r="B163" i="2" s="1"/>
  <c r="C163" i="2" a="1"/>
  <c r="C163" i="2" s="1"/>
  <c r="A164" i="2"/>
  <c r="B164" i="2" a="1"/>
  <c r="B164" i="2" s="1"/>
  <c r="C164" i="2" a="1"/>
  <c r="C164" i="2" s="1"/>
  <c r="A165" i="2"/>
  <c r="B165" i="2" a="1"/>
  <c r="B165" i="2" s="1"/>
  <c r="C165" i="2" a="1"/>
  <c r="C165" i="2" s="1"/>
  <c r="A166" i="2"/>
  <c r="B166" i="2" a="1"/>
  <c r="B166" i="2" s="1"/>
  <c r="C166" i="2" a="1"/>
  <c r="C166" i="2" s="1"/>
  <c r="A167" i="2"/>
  <c r="B167" i="2" a="1"/>
  <c r="B167" i="2" s="1"/>
  <c r="C167" i="2" a="1"/>
  <c r="C167" i="2" s="1"/>
  <c r="A168" i="2"/>
  <c r="B168" i="2" a="1"/>
  <c r="B168" i="2" s="1"/>
  <c r="C168" i="2" a="1"/>
  <c r="C168" i="2" s="1"/>
  <c r="A169" i="2"/>
  <c r="B169" i="2" a="1"/>
  <c r="B169" i="2" s="1"/>
  <c r="C169" i="2" a="1"/>
  <c r="C169" i="2" s="1"/>
  <c r="A170" i="2"/>
  <c r="B170" i="2" a="1"/>
  <c r="B170" i="2" s="1"/>
  <c r="C170" i="2" a="1"/>
  <c r="C170" i="2" s="1"/>
  <c r="A171" i="2"/>
  <c r="B171" i="2" a="1"/>
  <c r="B171" i="2" s="1"/>
  <c r="C171" i="2" a="1"/>
  <c r="C171" i="2" s="1"/>
  <c r="A172" i="2"/>
  <c r="B172" i="2" a="1"/>
  <c r="B172" i="2" s="1"/>
  <c r="C172" i="2" a="1"/>
  <c r="C172" i="2" s="1"/>
  <c r="A173" i="2"/>
  <c r="B173" i="2" a="1"/>
  <c r="B173" i="2" s="1"/>
  <c r="C173" i="2" a="1"/>
  <c r="C173" i="2" s="1"/>
  <c r="A174" i="2"/>
  <c r="B174" i="2" a="1"/>
  <c r="B174" i="2" s="1"/>
  <c r="C174" i="2" a="1"/>
  <c r="C174" i="2" s="1"/>
  <c r="A175" i="2"/>
  <c r="B175" i="2" a="1"/>
  <c r="B175" i="2" s="1"/>
  <c r="C175" i="2" a="1"/>
  <c r="C175" i="2" s="1"/>
  <c r="A176" i="2"/>
  <c r="B176" i="2" a="1"/>
  <c r="B176" i="2" s="1"/>
  <c r="C176" i="2" a="1"/>
  <c r="C176" i="2" s="1"/>
  <c r="A177" i="2"/>
  <c r="B177" i="2" a="1"/>
  <c r="B177" i="2" s="1"/>
  <c r="C177" i="2" a="1"/>
  <c r="C177" i="2" s="1"/>
  <c r="A178" i="2"/>
  <c r="B178" i="2" a="1"/>
  <c r="B178" i="2" s="1"/>
  <c r="C178" i="2" a="1"/>
  <c r="C178" i="2" s="1"/>
  <c r="A179" i="2"/>
  <c r="B179" i="2" a="1"/>
  <c r="B179" i="2" s="1"/>
  <c r="C179" i="2" a="1"/>
  <c r="C179" i="2" s="1"/>
  <c r="A180" i="2"/>
  <c r="B180" i="2" a="1"/>
  <c r="B180" i="2" s="1"/>
  <c r="C180" i="2" a="1"/>
  <c r="C180" i="2" s="1"/>
  <c r="A181" i="2"/>
  <c r="B181" i="2" a="1"/>
  <c r="B181" i="2" s="1"/>
  <c r="C181" i="2" a="1"/>
  <c r="C181" i="2" s="1"/>
  <c r="A182" i="2"/>
  <c r="B182" i="2" a="1"/>
  <c r="B182" i="2" s="1"/>
  <c r="C182" i="2" a="1"/>
  <c r="C182" i="2" s="1"/>
  <c r="A183" i="2"/>
  <c r="B183" i="2" a="1"/>
  <c r="B183" i="2" s="1"/>
  <c r="C183" i="2" a="1"/>
  <c r="C183" i="2" s="1"/>
  <c r="A184" i="2"/>
  <c r="B184" i="2" a="1"/>
  <c r="B184" i="2" s="1"/>
  <c r="C184" i="2" a="1"/>
  <c r="C184" i="2" s="1"/>
  <c r="A185" i="2"/>
  <c r="B185" i="2" a="1"/>
  <c r="B185" i="2" s="1"/>
  <c r="C185" i="2" a="1"/>
  <c r="C185" i="2" s="1"/>
  <c r="A186" i="2"/>
  <c r="B186" i="2" a="1"/>
  <c r="B186" i="2" s="1"/>
  <c r="C186" i="2" a="1"/>
  <c r="C186" i="2" s="1"/>
  <c r="A187" i="2"/>
  <c r="B187" i="2" a="1"/>
  <c r="B187" i="2" s="1"/>
  <c r="C187" i="2" a="1"/>
  <c r="C187" i="2" s="1"/>
  <c r="A188" i="2"/>
  <c r="B188" i="2" a="1"/>
  <c r="B188" i="2" s="1"/>
  <c r="C188" i="2" a="1"/>
  <c r="C188" i="2" s="1"/>
  <c r="A189" i="2"/>
  <c r="B189" i="2" a="1"/>
  <c r="B189" i="2" s="1"/>
  <c r="C189" i="2" a="1"/>
  <c r="C189" i="2" s="1"/>
  <c r="A190" i="2"/>
  <c r="B190" i="2" a="1"/>
  <c r="B190" i="2" s="1"/>
  <c r="C190" i="2" a="1"/>
  <c r="C190" i="2" s="1"/>
  <c r="A191" i="2"/>
  <c r="B191" i="2" a="1"/>
  <c r="B191" i="2" s="1"/>
  <c r="C191" i="2" a="1"/>
  <c r="C191" i="2" s="1"/>
  <c r="A192" i="2"/>
  <c r="B192" i="2" a="1"/>
  <c r="B192" i="2" s="1"/>
  <c r="C192" i="2" a="1"/>
  <c r="C192" i="2" s="1"/>
  <c r="A193" i="2"/>
  <c r="B193" i="2" a="1"/>
  <c r="B193" i="2" s="1"/>
  <c r="C193" i="2" a="1"/>
  <c r="C193" i="2" s="1"/>
  <c r="A194" i="2"/>
  <c r="B194" i="2" a="1"/>
  <c r="B194" i="2" s="1"/>
  <c r="C194" i="2" a="1"/>
  <c r="C194" i="2" s="1"/>
  <c r="A195" i="2"/>
  <c r="B195" i="2" a="1"/>
  <c r="B195" i="2" s="1"/>
  <c r="C195" i="2" a="1"/>
  <c r="C195" i="2" s="1"/>
  <c r="A196" i="2"/>
  <c r="B196" i="2" a="1"/>
  <c r="B196" i="2" s="1"/>
  <c r="C196" i="2" a="1"/>
  <c r="C196" i="2" s="1"/>
  <c r="A197" i="2"/>
  <c r="B197" i="2" a="1"/>
  <c r="B197" i="2" s="1"/>
  <c r="C197" i="2" a="1"/>
  <c r="C197" i="2" s="1"/>
  <c r="A198" i="2"/>
  <c r="B198" i="2" a="1"/>
  <c r="B198" i="2" s="1"/>
  <c r="C198" i="2" a="1"/>
  <c r="C198" i="2" s="1"/>
  <c r="A199" i="2"/>
  <c r="B199" i="2" a="1"/>
  <c r="B199" i="2" s="1"/>
  <c r="C199" i="2" a="1"/>
  <c r="C199" i="2" s="1"/>
  <c r="A200" i="2"/>
  <c r="B200" i="2" a="1"/>
  <c r="B200" i="2" s="1"/>
  <c r="C200" i="2" a="1"/>
  <c r="C200" i="2" s="1"/>
  <c r="A201" i="2"/>
  <c r="B201" i="2" a="1"/>
  <c r="B201" i="2" s="1"/>
  <c r="C201" i="2" a="1"/>
  <c r="C201" i="2" s="1"/>
  <c r="A202" i="2"/>
  <c r="B202" i="2" a="1"/>
  <c r="B202" i="2" s="1"/>
  <c r="C202" i="2" a="1"/>
  <c r="C202" i="2" s="1"/>
  <c r="A203" i="2"/>
  <c r="B203" i="2" a="1"/>
  <c r="B203" i="2" s="1"/>
  <c r="C203" i="2" a="1"/>
  <c r="C203" i="2" s="1"/>
  <c r="A204" i="2"/>
  <c r="B204" i="2" a="1"/>
  <c r="B204" i="2" s="1"/>
  <c r="C204" i="2" a="1"/>
  <c r="C204" i="2" s="1"/>
  <c r="A205" i="2"/>
  <c r="B205" i="2" a="1"/>
  <c r="B205" i="2" s="1"/>
  <c r="C205" i="2" a="1"/>
  <c r="C205" i="2" s="1"/>
  <c r="A206" i="2"/>
  <c r="B206" i="2" a="1"/>
  <c r="B206" i="2" s="1"/>
  <c r="C206" i="2" a="1"/>
  <c r="C206" i="2" s="1"/>
  <c r="A207" i="2"/>
  <c r="B207" i="2" a="1"/>
  <c r="B207" i="2" s="1"/>
  <c r="C207" i="2" a="1"/>
  <c r="C207" i="2" s="1"/>
  <c r="A208" i="2"/>
  <c r="B208" i="2" a="1"/>
  <c r="B208" i="2" s="1"/>
  <c r="C208" i="2" a="1"/>
  <c r="C208" i="2" s="1"/>
  <c r="A209" i="2"/>
  <c r="B209" i="2" a="1"/>
  <c r="B209" i="2" s="1"/>
  <c r="C209" i="2" a="1"/>
  <c r="C209" i="2" s="1"/>
  <c r="A210" i="2"/>
  <c r="B210" i="2" a="1"/>
  <c r="B210" i="2" s="1"/>
  <c r="C210" i="2" a="1"/>
  <c r="C210" i="2" s="1"/>
  <c r="A211" i="2"/>
  <c r="B211" i="2" a="1"/>
  <c r="B211" i="2" s="1"/>
  <c r="C211" i="2" a="1"/>
  <c r="C211" i="2" s="1"/>
  <c r="A212" i="2"/>
  <c r="B212" i="2" a="1"/>
  <c r="B212" i="2" s="1"/>
  <c r="C212" i="2" a="1"/>
  <c r="C212" i="2" s="1"/>
  <c r="A213" i="2"/>
  <c r="B213" i="2" a="1"/>
  <c r="B213" i="2" s="1"/>
  <c r="C213" i="2" a="1"/>
  <c r="C213" i="2" s="1"/>
  <c r="A214" i="2"/>
  <c r="B214" i="2" a="1"/>
  <c r="B214" i="2" s="1"/>
  <c r="C214" i="2" a="1"/>
  <c r="C214" i="2" s="1"/>
  <c r="A215" i="2"/>
  <c r="B215" i="2" a="1"/>
  <c r="B215" i="2" s="1"/>
  <c r="C215" i="2" a="1"/>
  <c r="C215" i="2" s="1"/>
  <c r="A216" i="2"/>
  <c r="B216" i="2" a="1"/>
  <c r="B216" i="2" s="1"/>
  <c r="C216" i="2" a="1"/>
  <c r="C216" i="2" s="1"/>
  <c r="A217" i="2"/>
  <c r="B217" i="2" a="1"/>
  <c r="B217" i="2" s="1"/>
  <c r="C217" i="2" a="1"/>
  <c r="C217" i="2" s="1"/>
  <c r="A218" i="2"/>
  <c r="B218" i="2" a="1"/>
  <c r="B218" i="2" s="1"/>
  <c r="C218" i="2" a="1"/>
  <c r="C218" i="2" s="1"/>
  <c r="A219" i="2"/>
  <c r="B219" i="2" a="1"/>
  <c r="B219" i="2" s="1"/>
  <c r="C219" i="2" a="1"/>
  <c r="C219" i="2" s="1"/>
  <c r="A220" i="2"/>
  <c r="B220" i="2" a="1"/>
  <c r="B220" i="2" s="1"/>
  <c r="C220" i="2" a="1"/>
  <c r="C220" i="2" s="1"/>
  <c r="A221" i="2"/>
  <c r="B221" i="2" a="1"/>
  <c r="B221" i="2" s="1"/>
  <c r="C221" i="2" a="1"/>
  <c r="C221" i="2" s="1"/>
  <c r="A222" i="2"/>
  <c r="B222" i="2" a="1"/>
  <c r="B222" i="2" s="1"/>
  <c r="C222" i="2" a="1"/>
  <c r="C222" i="2" s="1"/>
  <c r="A223" i="2"/>
  <c r="B223" i="2" a="1"/>
  <c r="B223" i="2" s="1"/>
  <c r="C223" i="2" a="1"/>
  <c r="C223" i="2" s="1"/>
  <c r="A224" i="2"/>
  <c r="B224" i="2" a="1"/>
  <c r="B224" i="2" s="1"/>
  <c r="C224" i="2" a="1"/>
  <c r="C224" i="2" s="1"/>
  <c r="A225" i="2"/>
  <c r="B225" i="2" a="1"/>
  <c r="B225" i="2" s="1"/>
  <c r="C225" i="2" a="1"/>
  <c r="C225" i="2" s="1"/>
  <c r="A226" i="2"/>
  <c r="B226" i="2" a="1"/>
  <c r="B226" i="2" s="1"/>
  <c r="C226" i="2" a="1"/>
  <c r="C226" i="2" s="1"/>
  <c r="A227" i="2"/>
  <c r="B227" i="2" a="1"/>
  <c r="B227" i="2" s="1"/>
  <c r="C227" i="2" a="1"/>
  <c r="C227" i="2" s="1"/>
  <c r="A228" i="2"/>
  <c r="B228" i="2" a="1"/>
  <c r="B228" i="2" s="1"/>
  <c r="C228" i="2" a="1"/>
  <c r="C228" i="2" s="1"/>
  <c r="A229" i="2"/>
  <c r="B229" i="2" a="1"/>
  <c r="B229" i="2" s="1"/>
  <c r="C229" i="2" a="1"/>
  <c r="C229" i="2" s="1"/>
  <c r="A230" i="2"/>
  <c r="B230" i="2" a="1"/>
  <c r="B230" i="2" s="1"/>
  <c r="C230" i="2" a="1"/>
  <c r="C230" i="2" s="1"/>
  <c r="A231" i="2"/>
  <c r="B231" i="2" a="1"/>
  <c r="B231" i="2" s="1"/>
  <c r="C231" i="2" a="1"/>
  <c r="C231" i="2"/>
  <c r="A232" i="2"/>
  <c r="B232" i="2" a="1"/>
  <c r="B232" i="2" s="1"/>
  <c r="C232" i="2" a="1"/>
  <c r="C232" i="2" s="1"/>
  <c r="A233" i="2"/>
  <c r="B233" i="2" a="1"/>
  <c r="B233" i="2" s="1"/>
  <c r="C233" i="2" a="1"/>
  <c r="C233" i="2" s="1"/>
  <c r="A234" i="2"/>
  <c r="B234" i="2" a="1"/>
  <c r="B234" i="2" s="1"/>
  <c r="C234" i="2" a="1"/>
  <c r="C234" i="2" s="1"/>
  <c r="A235" i="2"/>
  <c r="B235" i="2" a="1"/>
  <c r="B235" i="2" s="1"/>
  <c r="C235" i="2" a="1"/>
  <c r="C235" i="2" s="1"/>
  <c r="A236" i="2"/>
  <c r="B236" i="2" a="1"/>
  <c r="B236" i="2" s="1"/>
  <c r="C236" i="2" a="1"/>
  <c r="C236" i="2" s="1"/>
  <c r="A237" i="2"/>
  <c r="B237" i="2" a="1"/>
  <c r="B237" i="2" s="1"/>
  <c r="C237" i="2" a="1"/>
  <c r="C237" i="2" s="1"/>
  <c r="A238" i="2"/>
  <c r="B238" i="2" a="1"/>
  <c r="B238" i="2" s="1"/>
  <c r="C238" i="2" a="1"/>
  <c r="C238" i="2" s="1"/>
  <c r="A239" i="2"/>
  <c r="B239" i="2" a="1"/>
  <c r="B239" i="2" s="1"/>
  <c r="C239" i="2" a="1"/>
  <c r="C239" i="2" s="1"/>
  <c r="A240" i="2"/>
  <c r="B240" i="2" a="1"/>
  <c r="B240" i="2" s="1"/>
  <c r="C240" i="2" a="1"/>
  <c r="C240" i="2" s="1"/>
  <c r="A241" i="2"/>
  <c r="B241" i="2" a="1"/>
  <c r="B241" i="2" s="1"/>
  <c r="C241" i="2" a="1"/>
  <c r="C241" i="2" s="1"/>
  <c r="A242" i="2"/>
  <c r="B242" i="2" a="1"/>
  <c r="B242" i="2" s="1"/>
  <c r="C242" i="2" a="1"/>
  <c r="C242" i="2" s="1"/>
  <c r="A243" i="2"/>
  <c r="B243" i="2" a="1"/>
  <c r="B243" i="2" s="1"/>
  <c r="C243" i="2" a="1"/>
  <c r="C243" i="2" s="1"/>
  <c r="A244" i="2"/>
  <c r="B244" i="2" a="1"/>
  <c r="B244" i="2" s="1"/>
  <c r="C244" i="2" a="1"/>
  <c r="C244" i="2" s="1"/>
  <c r="A245" i="2"/>
  <c r="B245" i="2" a="1"/>
  <c r="B245" i="2" s="1"/>
  <c r="C245" i="2" a="1"/>
  <c r="C245" i="2" s="1"/>
  <c r="A246" i="2"/>
  <c r="B246" i="2" a="1"/>
  <c r="B246" i="2" s="1"/>
  <c r="C246" i="2" a="1"/>
  <c r="C246" i="2" s="1"/>
  <c r="A247" i="2"/>
  <c r="B247" i="2" a="1"/>
  <c r="B247" i="2" s="1"/>
  <c r="C247" i="2" a="1"/>
  <c r="C247" i="2"/>
  <c r="A248" i="2"/>
  <c r="B248" i="2" a="1"/>
  <c r="B248" i="2" s="1"/>
  <c r="C248" i="2" a="1"/>
  <c r="C248" i="2" s="1"/>
  <c r="A249" i="2"/>
  <c r="B249" i="2" a="1"/>
  <c r="B249" i="2" s="1"/>
  <c r="C249" i="2" a="1"/>
  <c r="C249" i="2" s="1"/>
  <c r="A250" i="2"/>
  <c r="B250" i="2" a="1"/>
  <c r="B250" i="2" s="1"/>
  <c r="C250" i="2" a="1"/>
  <c r="C250" i="2" s="1"/>
  <c r="A251" i="2"/>
  <c r="B251" i="2" a="1"/>
  <c r="B251" i="2" s="1"/>
  <c r="C251" i="2" a="1"/>
  <c r="C251" i="2" s="1"/>
  <c r="A252" i="2"/>
  <c r="B252" i="2" a="1"/>
  <c r="B252" i="2" s="1"/>
  <c r="C252" i="2" a="1"/>
  <c r="C252" i="2" s="1"/>
  <c r="A253" i="2"/>
  <c r="B253" i="2" a="1"/>
  <c r="B253" i="2" s="1"/>
  <c r="C253" i="2" a="1"/>
  <c r="C253" i="2" s="1"/>
  <c r="A254" i="2"/>
  <c r="B254" i="2" a="1"/>
  <c r="B254" i="2" s="1"/>
  <c r="C254" i="2" a="1"/>
  <c r="C254" i="2" s="1"/>
  <c r="A255" i="2"/>
  <c r="B255" i="2" a="1"/>
  <c r="B255" i="2" s="1"/>
  <c r="C255" i="2" a="1"/>
  <c r="C255" i="2" s="1"/>
  <c r="A256" i="2"/>
  <c r="B256" i="2" a="1"/>
  <c r="B256" i="2" s="1"/>
  <c r="C256" i="2" a="1"/>
  <c r="C256" i="2" s="1"/>
  <c r="A257" i="2"/>
  <c r="B257" i="2" a="1"/>
  <c r="B257" i="2" s="1"/>
  <c r="C257" i="2" a="1"/>
  <c r="C257" i="2" s="1"/>
  <c r="A258" i="2"/>
  <c r="B258" i="2" a="1"/>
  <c r="B258" i="2" s="1"/>
  <c r="C258" i="2" a="1"/>
  <c r="C258" i="2" s="1"/>
  <c r="A259" i="2"/>
  <c r="B259" i="2" a="1"/>
  <c r="B259" i="2" s="1"/>
  <c r="C259" i="2" a="1"/>
  <c r="C259" i="2" s="1"/>
  <c r="A260" i="2"/>
  <c r="B260" i="2" a="1"/>
  <c r="B260" i="2" s="1"/>
  <c r="C260" i="2" a="1"/>
  <c r="C260" i="2" s="1"/>
  <c r="A261" i="2"/>
  <c r="B261" i="2" a="1"/>
  <c r="B261" i="2" s="1"/>
  <c r="C261" i="2" a="1"/>
  <c r="C261" i="2" s="1"/>
  <c r="A262" i="2"/>
  <c r="B262" i="2" a="1"/>
  <c r="B262" i="2" s="1"/>
  <c r="C262" i="2" a="1"/>
  <c r="C262" i="2" s="1"/>
  <c r="A263" i="2"/>
  <c r="B263" i="2" a="1"/>
  <c r="B263" i="2" s="1"/>
  <c r="C263" i="2" a="1"/>
  <c r="C263" i="2"/>
  <c r="A264" i="2"/>
  <c r="B264" i="2" a="1"/>
  <c r="B264" i="2" s="1"/>
  <c r="C264" i="2" a="1"/>
  <c r="C264" i="2" s="1"/>
  <c r="A265" i="2"/>
  <c r="B265" i="2" a="1"/>
  <c r="B265" i="2" s="1"/>
  <c r="C265" i="2" a="1"/>
  <c r="C265" i="2" s="1"/>
  <c r="A266" i="2"/>
  <c r="B266" i="2" a="1"/>
  <c r="B266" i="2" s="1"/>
  <c r="C266" i="2" a="1"/>
  <c r="C266" i="2" s="1"/>
  <c r="A267" i="2"/>
  <c r="B267" i="2" a="1"/>
  <c r="B267" i="2" s="1"/>
  <c r="C267" i="2" a="1"/>
  <c r="C267" i="2" s="1"/>
  <c r="A268" i="2"/>
  <c r="B268" i="2" a="1"/>
  <c r="B268" i="2" s="1"/>
  <c r="C268" i="2" a="1"/>
  <c r="C268" i="2" s="1"/>
  <c r="A269" i="2"/>
  <c r="B269" i="2" a="1"/>
  <c r="B269" i="2" s="1"/>
  <c r="C269" i="2" a="1"/>
  <c r="C269" i="2" s="1"/>
  <c r="A270" i="2"/>
  <c r="B270" i="2" a="1"/>
  <c r="B270" i="2" s="1"/>
  <c r="C270" i="2" a="1"/>
  <c r="C270" i="2" s="1"/>
  <c r="A271" i="2"/>
  <c r="B271" i="2" a="1"/>
  <c r="B271" i="2" s="1"/>
  <c r="C271" i="2" a="1"/>
  <c r="C271" i="2" s="1"/>
  <c r="A272" i="2"/>
  <c r="B272" i="2" a="1"/>
  <c r="B272" i="2" s="1"/>
  <c r="C272" i="2" a="1"/>
  <c r="C272" i="2" s="1"/>
  <c r="A273" i="2"/>
  <c r="B273" i="2" a="1"/>
  <c r="B273" i="2" s="1"/>
  <c r="C273" i="2" a="1"/>
  <c r="C273" i="2" s="1"/>
  <c r="A274" i="2"/>
  <c r="B274" i="2" a="1"/>
  <c r="B274" i="2" s="1"/>
  <c r="C274" i="2" a="1"/>
  <c r="C274" i="2" s="1"/>
  <c r="A275" i="2"/>
  <c r="B275" i="2" a="1"/>
  <c r="B275" i="2" s="1"/>
  <c r="C275" i="2" a="1"/>
  <c r="C275" i="2" s="1"/>
  <c r="A276" i="2"/>
  <c r="B276" i="2" a="1"/>
  <c r="B276" i="2" s="1"/>
  <c r="C276" i="2" a="1"/>
  <c r="C276" i="2" s="1"/>
  <c r="A277" i="2"/>
  <c r="B277" i="2" a="1"/>
  <c r="B277" i="2" s="1"/>
  <c r="C277" i="2" a="1"/>
  <c r="C277" i="2" s="1"/>
  <c r="A278" i="2"/>
  <c r="B278" i="2" a="1"/>
  <c r="B278" i="2" s="1"/>
  <c r="C278" i="2" a="1"/>
  <c r="C278" i="2" s="1"/>
  <c r="A279" i="2"/>
  <c r="B279" i="2" a="1"/>
  <c r="B279" i="2" s="1"/>
  <c r="C279" i="2" a="1"/>
  <c r="C279" i="2" s="1"/>
  <c r="A280" i="2"/>
  <c r="B280" i="2" a="1"/>
  <c r="B280" i="2" s="1"/>
  <c r="C280" i="2" a="1"/>
  <c r="C280" i="2" s="1"/>
  <c r="A281" i="2"/>
  <c r="B281" i="2" a="1"/>
  <c r="B281" i="2" s="1"/>
  <c r="C281" i="2" a="1"/>
  <c r="C281" i="2" s="1"/>
  <c r="A282" i="2"/>
  <c r="B282" i="2" a="1"/>
  <c r="B282" i="2" s="1"/>
  <c r="C282" i="2" a="1"/>
  <c r="C282" i="2" s="1"/>
  <c r="A283" i="2"/>
  <c r="B283" i="2" a="1"/>
  <c r="B283" i="2" s="1"/>
  <c r="C283" i="2" a="1"/>
  <c r="C283" i="2" s="1"/>
  <c r="A284" i="2"/>
  <c r="B284" i="2" a="1"/>
  <c r="B284" i="2" s="1"/>
  <c r="C284" i="2" a="1"/>
  <c r="C284" i="2" s="1"/>
  <c r="A285" i="2"/>
  <c r="B285" i="2" a="1"/>
  <c r="B285" i="2" s="1"/>
  <c r="C285" i="2" a="1"/>
  <c r="C285" i="2" s="1"/>
  <c r="A286" i="2"/>
  <c r="B286" i="2" a="1"/>
  <c r="B286" i="2" s="1"/>
  <c r="C286" i="2" a="1"/>
  <c r="C286" i="2" s="1"/>
  <c r="A287" i="2"/>
  <c r="B287" i="2" a="1"/>
  <c r="B287" i="2" s="1"/>
  <c r="C287" i="2" a="1"/>
  <c r="C287" i="2" s="1"/>
  <c r="A288" i="2"/>
  <c r="B288" i="2" a="1"/>
  <c r="B288" i="2" s="1"/>
  <c r="C288" i="2" a="1"/>
  <c r="C288" i="2" s="1"/>
  <c r="A289" i="2"/>
  <c r="B289" i="2" a="1"/>
  <c r="B289" i="2" s="1"/>
  <c r="C289" i="2" a="1"/>
  <c r="C289" i="2" s="1"/>
  <c r="A290" i="2"/>
  <c r="B290" i="2" a="1"/>
  <c r="B290" i="2" s="1"/>
  <c r="C290" i="2" a="1"/>
  <c r="C290" i="2"/>
  <c r="A291" i="2"/>
  <c r="B291" i="2" a="1"/>
  <c r="B291" i="2" s="1"/>
  <c r="C291" i="2" a="1"/>
  <c r="C291" i="2" s="1"/>
  <c r="A292" i="2"/>
  <c r="B292" i="2" a="1"/>
  <c r="B292" i="2" s="1"/>
  <c r="C292" i="2" a="1"/>
  <c r="C292" i="2" s="1"/>
  <c r="A293" i="2"/>
  <c r="B293" i="2" a="1"/>
  <c r="B293" i="2" s="1"/>
  <c r="C293" i="2" a="1"/>
  <c r="C293" i="2" s="1"/>
  <c r="A294" i="2"/>
  <c r="B294" i="2" a="1"/>
  <c r="B294" i="2" s="1"/>
  <c r="C294" i="2" a="1"/>
  <c r="C294" i="2" s="1"/>
  <c r="A295" i="2"/>
  <c r="B295" i="2" a="1"/>
  <c r="B295" i="2" s="1"/>
  <c r="C295" i="2" a="1"/>
  <c r="C295" i="2" s="1"/>
  <c r="A296" i="2"/>
  <c r="B296" i="2" a="1"/>
  <c r="B296" i="2" s="1"/>
  <c r="C296" i="2" a="1"/>
  <c r="C296" i="2" s="1"/>
  <c r="A297" i="2"/>
  <c r="B297" i="2" a="1"/>
  <c r="B297" i="2" s="1"/>
  <c r="C297" i="2" a="1"/>
  <c r="C297" i="2" s="1"/>
  <c r="A298" i="2"/>
  <c r="B298" i="2" a="1"/>
  <c r="B298" i="2" s="1"/>
  <c r="C298" i="2" a="1"/>
  <c r="C298" i="2" s="1"/>
  <c r="A299" i="2"/>
  <c r="B299" i="2" a="1"/>
  <c r="B299" i="2" s="1"/>
  <c r="C299" i="2" a="1"/>
  <c r="C299" i="2" s="1"/>
  <c r="A300" i="2"/>
  <c r="B300" i="2" a="1"/>
  <c r="B300" i="2"/>
  <c r="C300" i="2" a="1"/>
  <c r="C300" i="2" s="1"/>
  <c r="A301" i="2"/>
  <c r="B301" i="2" a="1"/>
  <c r="B301" i="2" s="1"/>
  <c r="C301" i="2" a="1"/>
  <c r="C301" i="2" s="1"/>
  <c r="A302" i="2"/>
  <c r="B302" i="2" a="1"/>
  <c r="B302" i="2" s="1"/>
  <c r="C302" i="2" a="1"/>
  <c r="C302" i="2" s="1"/>
  <c r="A303" i="2"/>
  <c r="B303" i="2" a="1"/>
  <c r="B303" i="2" s="1"/>
  <c r="C303" i="2" a="1"/>
  <c r="C303" i="2" s="1"/>
  <c r="A304" i="2"/>
  <c r="B304" i="2" a="1"/>
  <c r="B304" i="2" s="1"/>
  <c r="C304" i="2" a="1"/>
  <c r="C304" i="2" s="1"/>
  <c r="A305" i="2"/>
  <c r="B305" i="2" a="1"/>
  <c r="B305" i="2" s="1"/>
  <c r="C305" i="2" a="1"/>
  <c r="C305" i="2" s="1"/>
  <c r="A306" i="2"/>
  <c r="B306" i="2" a="1"/>
  <c r="B306" i="2" s="1"/>
  <c r="C306" i="2" a="1"/>
  <c r="C306" i="2" s="1"/>
  <c r="A307" i="2"/>
  <c r="B307" i="2" a="1"/>
  <c r="B307" i="2" s="1"/>
  <c r="C307" i="2" a="1"/>
  <c r="C307" i="2" s="1"/>
  <c r="A308" i="2"/>
  <c r="B308" i="2" a="1"/>
  <c r="B308" i="2" s="1"/>
  <c r="C308" i="2" a="1"/>
  <c r="C308" i="2" s="1"/>
  <c r="A309" i="2"/>
  <c r="B309" i="2" a="1"/>
  <c r="B309" i="2"/>
  <c r="C309" i="2" a="1"/>
  <c r="C309" i="2" s="1"/>
  <c r="A310" i="2"/>
  <c r="B310" i="2" a="1"/>
  <c r="B310" i="2" s="1"/>
  <c r="C310" i="2" a="1"/>
  <c r="C310" i="2" s="1"/>
  <c r="A311" i="2"/>
  <c r="B311" i="2" a="1"/>
  <c r="B311" i="2" s="1"/>
  <c r="C311" i="2" a="1"/>
  <c r="C311" i="2" s="1"/>
  <c r="A312" i="2"/>
  <c r="B312" i="2" a="1"/>
  <c r="B312" i="2" s="1"/>
  <c r="C312" i="2" a="1"/>
  <c r="C312" i="2" s="1"/>
  <c r="A313" i="2"/>
  <c r="B313" i="2" a="1"/>
  <c r="B313" i="2" s="1"/>
  <c r="C313" i="2" a="1"/>
  <c r="C313" i="2" s="1"/>
  <c r="A314" i="2"/>
  <c r="B314" i="2" a="1"/>
  <c r="B314" i="2" s="1"/>
  <c r="C314" i="2" a="1"/>
  <c r="C314" i="2" s="1"/>
  <c r="A315" i="2"/>
  <c r="B315" i="2" a="1"/>
  <c r="B315" i="2" s="1"/>
  <c r="C315" i="2" a="1"/>
  <c r="C315" i="2" s="1"/>
  <c r="A316" i="2"/>
  <c r="B316" i="2" a="1"/>
  <c r="B316" i="2" s="1"/>
  <c r="C316" i="2" a="1"/>
  <c r="C316" i="2" s="1"/>
  <c r="A317" i="2"/>
  <c r="B317" i="2" a="1"/>
  <c r="B317" i="2" s="1"/>
  <c r="C317" i="2" a="1"/>
  <c r="C317" i="2" s="1"/>
  <c r="A318" i="2"/>
  <c r="B318" i="2" a="1"/>
  <c r="B318" i="2" s="1"/>
  <c r="C318" i="2" a="1"/>
  <c r="C318" i="2" s="1"/>
  <c r="A319" i="2"/>
  <c r="B319" i="2" a="1"/>
  <c r="B319" i="2" s="1"/>
  <c r="C319" i="2" a="1"/>
  <c r="C319" i="2" s="1"/>
  <c r="A320" i="2"/>
  <c r="B320" i="2" a="1"/>
  <c r="B320" i="2" s="1"/>
  <c r="C320" i="2" a="1"/>
  <c r="C320" i="2" s="1"/>
  <c r="A321" i="2"/>
  <c r="B321" i="2" a="1"/>
  <c r="B321" i="2" s="1"/>
  <c r="C321" i="2" a="1"/>
  <c r="C321" i="2" s="1"/>
  <c r="A322" i="2"/>
  <c r="B322" i="2" a="1"/>
  <c r="B322" i="2" s="1"/>
  <c r="C322" i="2" a="1"/>
  <c r="C322" i="2" s="1"/>
  <c r="A323" i="2"/>
  <c r="B323" i="2" a="1"/>
  <c r="B323" i="2" s="1"/>
  <c r="C323" i="2" a="1"/>
  <c r="C323" i="2" s="1"/>
  <c r="A324" i="2"/>
  <c r="B324" i="2" a="1"/>
  <c r="B324" i="2" s="1"/>
  <c r="C324" i="2" a="1"/>
  <c r="C324" i="2" s="1"/>
  <c r="A325" i="2"/>
  <c r="B325" i="2" a="1"/>
  <c r="B325" i="2" s="1"/>
  <c r="C325" i="2" a="1"/>
  <c r="C325" i="2" s="1"/>
  <c r="A326" i="2"/>
  <c r="B326" i="2" a="1"/>
  <c r="B326" i="2" s="1"/>
  <c r="C326" i="2" a="1"/>
  <c r="C326" i="2" s="1"/>
  <c r="A327" i="2"/>
  <c r="B327" i="2" a="1"/>
  <c r="B327" i="2" s="1"/>
  <c r="C327" i="2" a="1"/>
  <c r="C327" i="2" s="1"/>
  <c r="A328" i="2"/>
  <c r="B328" i="2" a="1"/>
  <c r="B328" i="2"/>
  <c r="C328" i="2" a="1"/>
  <c r="C328" i="2" s="1"/>
  <c r="A329" i="2"/>
  <c r="B329" i="2" a="1"/>
  <c r="B329" i="2" s="1"/>
  <c r="C329" i="2" a="1"/>
  <c r="C329" i="2" s="1"/>
  <c r="A330" i="2"/>
  <c r="B330" i="2" a="1"/>
  <c r="B330" i="2" s="1"/>
  <c r="C330" i="2" a="1"/>
  <c r="C330" i="2"/>
  <c r="A331" i="2"/>
  <c r="B331" i="2" a="1"/>
  <c r="B331" i="2" s="1"/>
  <c r="C331" i="2" a="1"/>
  <c r="C331" i="2" s="1"/>
  <c r="A332" i="2"/>
  <c r="B332" i="2" a="1"/>
  <c r="B332" i="2" s="1"/>
  <c r="C332" i="2" a="1"/>
  <c r="C332" i="2" s="1"/>
  <c r="A333" i="2"/>
  <c r="B333" i="2" a="1"/>
  <c r="B333" i="2" s="1"/>
  <c r="C333" i="2" a="1"/>
  <c r="C333" i="2" s="1"/>
  <c r="A334" i="2"/>
  <c r="B334" i="2" a="1"/>
  <c r="B334" i="2"/>
  <c r="C334" i="2" a="1"/>
  <c r="C334" i="2" s="1"/>
  <c r="A335" i="2"/>
  <c r="B335" i="2" a="1"/>
  <c r="B335" i="2" s="1"/>
  <c r="C335" i="2" a="1"/>
  <c r="C335" i="2" s="1"/>
  <c r="A336" i="2"/>
  <c r="B336" i="2" a="1"/>
  <c r="B336" i="2" s="1"/>
  <c r="C336" i="2" a="1"/>
  <c r="C336" i="2" s="1"/>
  <c r="A337" i="2"/>
  <c r="B337" i="2" a="1"/>
  <c r="B337" i="2" s="1"/>
  <c r="C337" i="2" a="1"/>
  <c r="C337" i="2" s="1"/>
  <c r="A338" i="2"/>
  <c r="B338" i="2" a="1"/>
  <c r="B338" i="2" s="1"/>
  <c r="C338" i="2" a="1"/>
  <c r="C338" i="2" s="1"/>
  <c r="A339" i="2"/>
  <c r="B339" i="2" a="1"/>
  <c r="B339" i="2" s="1"/>
  <c r="C339" i="2" a="1"/>
  <c r="C339" i="2" s="1"/>
  <c r="A340" i="2"/>
  <c r="B340" i="2" a="1"/>
  <c r="B340" i="2" s="1"/>
  <c r="C340" i="2" a="1"/>
  <c r="C340" i="2" s="1"/>
  <c r="A341" i="2"/>
  <c r="B341" i="2" a="1"/>
  <c r="B341" i="2" s="1"/>
  <c r="C341" i="2" a="1"/>
  <c r="C341" i="2" s="1"/>
  <c r="A342" i="2"/>
  <c r="B342" i="2" a="1"/>
  <c r="B342" i="2" s="1"/>
  <c r="C342" i="2" a="1"/>
  <c r="C342" i="2" s="1"/>
  <c r="A343" i="2"/>
  <c r="B343" i="2" a="1"/>
  <c r="B343" i="2" s="1"/>
  <c r="C343" i="2" a="1"/>
  <c r="C343" i="2" s="1"/>
  <c r="A344" i="2"/>
  <c r="B344" i="2" a="1"/>
  <c r="B344" i="2" s="1"/>
  <c r="C344" i="2" a="1"/>
  <c r="C344" i="2" s="1"/>
  <c r="A345" i="2"/>
  <c r="B345" i="2" a="1"/>
  <c r="B345" i="2" s="1"/>
  <c r="C345" i="2" a="1"/>
  <c r="C345" i="2" s="1"/>
  <c r="A346" i="2"/>
  <c r="B346" i="2" a="1"/>
  <c r="B346" i="2" s="1"/>
  <c r="C346" i="2" a="1"/>
  <c r="C346" i="2" s="1"/>
  <c r="A347" i="2"/>
  <c r="B347" i="2" a="1"/>
  <c r="B347" i="2" s="1"/>
  <c r="C347" i="2" a="1"/>
  <c r="C347" i="2" s="1"/>
  <c r="A348" i="2"/>
  <c r="B348" i="2" a="1"/>
  <c r="B348" i="2" s="1"/>
  <c r="C348" i="2" a="1"/>
  <c r="C348" i="2" s="1"/>
  <c r="A349" i="2"/>
  <c r="B349" i="2" a="1"/>
  <c r="B349" i="2" s="1"/>
  <c r="C349" i="2" a="1"/>
  <c r="C349" i="2" s="1"/>
  <c r="A350" i="2"/>
  <c r="B350" i="2" a="1"/>
  <c r="B350" i="2" s="1"/>
  <c r="C350" i="2" a="1"/>
  <c r="C350" i="2"/>
  <c r="A351" i="2"/>
  <c r="B351" i="2" a="1"/>
  <c r="B351" i="2" s="1"/>
  <c r="C351" i="2" a="1"/>
  <c r="C351" i="2" s="1"/>
  <c r="A352" i="2"/>
  <c r="B352" i="2" a="1"/>
  <c r="B352" i="2" s="1"/>
  <c r="C352" i="2" a="1"/>
  <c r="C352" i="2" s="1"/>
  <c r="A353" i="2"/>
  <c r="B353" i="2" a="1"/>
  <c r="B353" i="2" s="1"/>
  <c r="C353" i="2" a="1"/>
  <c r="C353" i="2" s="1"/>
  <c r="A354" i="2"/>
  <c r="B354" i="2" a="1"/>
  <c r="B354" i="2" s="1"/>
  <c r="C354" i="2" a="1"/>
  <c r="C354" i="2" s="1"/>
  <c r="A355" i="2"/>
  <c r="B355" i="2" a="1"/>
  <c r="B355" i="2" s="1"/>
  <c r="C355" i="2" a="1"/>
  <c r="C355" i="2" s="1"/>
  <c r="A356" i="2"/>
  <c r="B356" i="2" a="1"/>
  <c r="B356" i="2" s="1"/>
  <c r="C356" i="2" a="1"/>
  <c r="C356" i="2" s="1"/>
  <c r="A357" i="2"/>
  <c r="B357" i="2" a="1"/>
  <c r="B357" i="2" s="1"/>
  <c r="C357" i="2" a="1"/>
  <c r="C357" i="2" s="1"/>
  <c r="A358" i="2"/>
  <c r="B358" i="2" a="1"/>
  <c r="B358" i="2" s="1"/>
  <c r="C358" i="2" a="1"/>
  <c r="C358" i="2" s="1"/>
  <c r="A359" i="2"/>
  <c r="B359" i="2" a="1"/>
  <c r="B359" i="2" s="1"/>
  <c r="C359" i="2" a="1"/>
  <c r="C359" i="2" s="1"/>
  <c r="A360" i="2"/>
  <c r="B360" i="2" a="1"/>
  <c r="B360" i="2" s="1"/>
  <c r="C360" i="2" a="1"/>
  <c r="C360" i="2" s="1"/>
  <c r="A361" i="2"/>
  <c r="B361" i="2" a="1"/>
  <c r="B361" i="2" s="1"/>
  <c r="C361" i="2" a="1"/>
  <c r="C361" i="2"/>
  <c r="A362" i="2"/>
  <c r="B362" i="2" a="1"/>
  <c r="B362" i="2" s="1"/>
  <c r="C362" i="2" a="1"/>
  <c r="C362" i="2" s="1"/>
  <c r="A363" i="2"/>
  <c r="B363" i="2" a="1"/>
  <c r="B363" i="2" s="1"/>
  <c r="C363" i="2" a="1"/>
  <c r="C363" i="2" s="1"/>
  <c r="A364" i="2"/>
  <c r="B364" i="2" a="1"/>
  <c r="B364" i="2" s="1"/>
  <c r="C364" i="2" a="1"/>
  <c r="C364" i="2"/>
  <c r="A365" i="2"/>
  <c r="B365" i="2" a="1"/>
  <c r="B365" i="2" s="1"/>
  <c r="C365" i="2" a="1"/>
  <c r="C365" i="2" s="1"/>
  <c r="A366" i="2"/>
  <c r="B366" i="2" a="1"/>
  <c r="B366" i="2" s="1"/>
  <c r="C366" i="2" a="1"/>
  <c r="C366" i="2" s="1"/>
  <c r="A367" i="2"/>
  <c r="B367" i="2" a="1"/>
  <c r="B367" i="2" s="1"/>
  <c r="C367" i="2" a="1"/>
  <c r="C367" i="2" s="1"/>
  <c r="A368" i="2"/>
  <c r="B368" i="2" a="1"/>
  <c r="B368" i="2" s="1"/>
  <c r="C368" i="2" a="1"/>
  <c r="C368" i="2" s="1"/>
  <c r="A369" i="2"/>
  <c r="B369" i="2" a="1"/>
  <c r="B369" i="2" s="1"/>
  <c r="C369" i="2" a="1"/>
  <c r="C369" i="2" s="1"/>
  <c r="A370" i="2"/>
  <c r="B370" i="2" a="1"/>
  <c r="B370" i="2" s="1"/>
  <c r="C370" i="2" a="1"/>
  <c r="C370" i="2" s="1"/>
  <c r="A371" i="2"/>
  <c r="B371" i="2" a="1"/>
  <c r="B371" i="2" s="1"/>
  <c r="C371" i="2" a="1"/>
  <c r="C371" i="2" s="1"/>
  <c r="A372" i="2"/>
  <c r="B372" i="2" a="1"/>
  <c r="B372" i="2" s="1"/>
  <c r="C372" i="2" a="1"/>
  <c r="C372" i="2" s="1"/>
  <c r="A373" i="2"/>
  <c r="B373" i="2" a="1"/>
  <c r="B373" i="2" s="1"/>
  <c r="C373" i="2" a="1"/>
  <c r="C373" i="2" s="1"/>
  <c r="A374" i="2"/>
  <c r="B374" i="2" a="1"/>
  <c r="B374" i="2"/>
  <c r="C374" i="2" a="1"/>
  <c r="C374" i="2" s="1"/>
  <c r="A375" i="2"/>
  <c r="B375" i="2" a="1"/>
  <c r="B375" i="2" s="1"/>
  <c r="C375" i="2" a="1"/>
  <c r="C375" i="2" s="1"/>
  <c r="A376" i="2"/>
  <c r="B376" i="2" a="1"/>
  <c r="B376" i="2" s="1"/>
  <c r="C376" i="2" a="1"/>
  <c r="C376" i="2" s="1"/>
  <c r="A377" i="2"/>
  <c r="B377" i="2" a="1"/>
  <c r="B377" i="2" s="1"/>
  <c r="C377" i="2" a="1"/>
  <c r="C377" i="2" s="1"/>
  <c r="A378" i="2"/>
  <c r="B378" i="2" a="1"/>
  <c r="B378" i="2" s="1"/>
  <c r="C378" i="2" a="1"/>
  <c r="C378" i="2" s="1"/>
  <c r="A379" i="2"/>
  <c r="B379" i="2" a="1"/>
  <c r="B379" i="2"/>
  <c r="C379" i="2" a="1"/>
  <c r="C379" i="2" s="1"/>
  <c r="A380" i="2"/>
  <c r="B380" i="2" a="1"/>
  <c r="B380" i="2" s="1"/>
  <c r="C380" i="2" a="1"/>
  <c r="C380" i="2" s="1"/>
  <c r="A381" i="2"/>
  <c r="B381" i="2" a="1"/>
  <c r="B381" i="2" s="1"/>
  <c r="C381" i="2" a="1"/>
  <c r="C381" i="2" s="1"/>
  <c r="A382" i="2"/>
  <c r="B382" i="2" a="1"/>
  <c r="B382" i="2" s="1"/>
  <c r="C382" i="2" a="1"/>
  <c r="C382" i="2" s="1"/>
  <c r="A383" i="2"/>
  <c r="B383" i="2" a="1"/>
  <c r="B383" i="2" s="1"/>
  <c r="C383" i="2" a="1"/>
  <c r="C383" i="2" s="1"/>
  <c r="A384" i="2"/>
  <c r="B384" i="2" a="1"/>
  <c r="B384" i="2" s="1"/>
  <c r="C384" i="2" a="1"/>
  <c r="C384" i="2" s="1"/>
  <c r="A385" i="2"/>
  <c r="B385" i="2" a="1"/>
  <c r="B385" i="2" s="1"/>
  <c r="C385" i="2" a="1"/>
  <c r="C385" i="2" s="1"/>
  <c r="A386" i="2"/>
  <c r="B386" i="2" a="1"/>
  <c r="B386" i="2" s="1"/>
  <c r="C386" i="2" a="1"/>
  <c r="C386" i="2" s="1"/>
  <c r="A387" i="2"/>
  <c r="B387" i="2" a="1"/>
  <c r="B387" i="2" s="1"/>
  <c r="C387" i="2" a="1"/>
  <c r="C387" i="2" s="1"/>
  <c r="A388" i="2"/>
  <c r="B388" i="2" a="1"/>
  <c r="B388" i="2" s="1"/>
  <c r="C388" i="2" a="1"/>
  <c r="C388" i="2" s="1"/>
  <c r="A389" i="2"/>
  <c r="B389" i="2" a="1"/>
  <c r="B389" i="2" s="1"/>
  <c r="C389" i="2" a="1"/>
  <c r="C389" i="2" s="1"/>
  <c r="A390" i="2"/>
  <c r="B390" i="2" a="1"/>
  <c r="B390" i="2" s="1"/>
  <c r="C390" i="2" a="1"/>
  <c r="C390" i="2" s="1"/>
  <c r="A391" i="2"/>
  <c r="B391" i="2" a="1"/>
  <c r="B391" i="2" s="1"/>
  <c r="C391" i="2" a="1"/>
  <c r="C391" i="2" s="1"/>
  <c r="A392" i="2"/>
  <c r="B392" i="2" a="1"/>
  <c r="B392" i="2" s="1"/>
  <c r="C392" i="2" a="1"/>
  <c r="C392" i="2" s="1"/>
  <c r="A393" i="2"/>
  <c r="B393" i="2" a="1"/>
  <c r="B393" i="2" s="1"/>
  <c r="C393" i="2" a="1"/>
  <c r="C393" i="2" s="1"/>
  <c r="A394" i="2"/>
  <c r="B394" i="2" a="1"/>
  <c r="B394" i="2" s="1"/>
  <c r="C394" i="2" a="1"/>
  <c r="C394" i="2" s="1"/>
  <c r="A395" i="2"/>
  <c r="B395" i="2" a="1"/>
  <c r="B395" i="2" s="1"/>
  <c r="C395" i="2" a="1"/>
  <c r="C395" i="2" s="1"/>
  <c r="A396" i="2"/>
  <c r="B396" i="2" a="1"/>
  <c r="B396" i="2" s="1"/>
  <c r="C396" i="2" a="1"/>
  <c r="C396" i="2" s="1"/>
  <c r="A397" i="2"/>
  <c r="B397" i="2" a="1"/>
  <c r="B397" i="2" s="1"/>
  <c r="C397" i="2" a="1"/>
  <c r="C397" i="2" s="1"/>
  <c r="A398" i="2"/>
  <c r="B398" i="2" a="1"/>
  <c r="B398" i="2" s="1"/>
  <c r="C398" i="2" a="1"/>
  <c r="C398" i="2" s="1"/>
  <c r="C2" i="2" a="1"/>
  <c r="C2" i="2" s="1"/>
  <c r="B2" i="2" a="1"/>
  <c r="B2" i="2" s="1"/>
  <c r="A2" i="2"/>
  <c r="C21" i="15"/>
  <c r="B21" i="15"/>
  <c r="B4" i="6" a="1"/>
  <c r="B4" i="6" s="1"/>
  <c r="F13" i="6"/>
  <c r="K13" i="6" s="1"/>
  <c r="B3" i="6"/>
  <c r="B2" i="6"/>
  <c r="B5" i="6"/>
  <c r="D42" i="15" l="1"/>
  <c r="D170" i="15"/>
  <c r="F335" i="15"/>
  <c r="E109" i="15"/>
  <c r="F122" i="15"/>
  <c r="F25" i="15"/>
  <c r="F312" i="15"/>
  <c r="F352" i="15"/>
  <c r="E351" i="15"/>
  <c r="F321" i="15"/>
  <c r="E313" i="15"/>
  <c r="D209" i="15"/>
  <c r="E104" i="15"/>
  <c r="D225" i="15"/>
  <c r="F143" i="15"/>
  <c r="F21" i="15"/>
  <c r="D366" i="15"/>
  <c r="E366" i="15"/>
  <c r="E357" i="15"/>
  <c r="F356" i="15"/>
  <c r="F355" i="15"/>
  <c r="E358" i="15"/>
  <c r="F348" i="15"/>
  <c r="F345" i="15"/>
  <c r="F343" i="15"/>
  <c r="E338" i="15"/>
  <c r="E320" i="15"/>
  <c r="F337" i="15"/>
  <c r="E293" i="15"/>
  <c r="D285" i="15"/>
  <c r="F253" i="15"/>
  <c r="F248" i="15"/>
  <c r="E233" i="15"/>
  <c r="E200" i="15"/>
  <c r="F199" i="15"/>
  <c r="E44" i="15"/>
  <c r="F147" i="15"/>
  <c r="F145" i="15"/>
  <c r="F144" i="15"/>
  <c r="F121" i="15"/>
  <c r="E165" i="15"/>
  <c r="E36" i="15"/>
  <c r="F367" i="15"/>
  <c r="F362" i="15"/>
  <c r="F353" i="15"/>
  <c r="F342" i="15"/>
  <c r="E349" i="15"/>
  <c r="F330" i="15"/>
  <c r="F91" i="15"/>
  <c r="E301" i="15"/>
  <c r="E291" i="15"/>
  <c r="G255" i="15"/>
  <c r="F284" i="15"/>
  <c r="E282" i="15"/>
  <c r="F220" i="15"/>
  <c r="E79" i="15"/>
  <c r="E176" i="15"/>
  <c r="F245" i="15"/>
  <c r="F73" i="15"/>
  <c r="F67" i="15"/>
  <c r="E38" i="15"/>
  <c r="F392" i="15"/>
  <c r="F388" i="15"/>
  <c r="F384" i="15"/>
  <c r="F382" i="15"/>
  <c r="F377" i="15"/>
  <c r="F54" i="15"/>
  <c r="F111" i="15"/>
  <c r="E363" i="15"/>
  <c r="F106" i="15"/>
  <c r="F340" i="15"/>
  <c r="E332" i="15"/>
  <c r="E341" i="15"/>
  <c r="E316" i="15"/>
  <c r="E309" i="15"/>
  <c r="E329" i="15"/>
  <c r="E299" i="15"/>
  <c r="E287" i="15"/>
  <c r="E80" i="15"/>
  <c r="E270" i="15"/>
  <c r="E256" i="15"/>
  <c r="E232" i="15"/>
  <c r="F227" i="15"/>
  <c r="E277" i="15"/>
  <c r="F217" i="15"/>
  <c r="F207" i="15"/>
  <c r="F99" i="15"/>
  <c r="F196" i="15"/>
  <c r="F215" i="15"/>
  <c r="E52" i="15"/>
  <c r="E31" i="15"/>
  <c r="D354" i="15"/>
  <c r="G337" i="15"/>
  <c r="F164" i="15"/>
  <c r="D148" i="15"/>
  <c r="N148" i="15" s="1"/>
  <c r="E142" i="15"/>
  <c r="E120" i="15"/>
  <c r="F118" i="15"/>
  <c r="F40" i="15"/>
  <c r="F108" i="15"/>
  <c r="D85" i="15"/>
  <c r="E90" i="15"/>
  <c r="F129" i="15"/>
  <c r="F128" i="15"/>
  <c r="E127" i="15"/>
  <c r="F191" i="15"/>
  <c r="E59" i="15"/>
  <c r="E51" i="15"/>
  <c r="F43" i="15"/>
  <c r="E117" i="15"/>
  <c r="G115" i="15"/>
  <c r="F297" i="15"/>
  <c r="G258" i="15"/>
  <c r="E247" i="15"/>
  <c r="E259" i="15"/>
  <c r="E254" i="15"/>
  <c r="E155" i="15"/>
  <c r="F226" i="15"/>
  <c r="F138" i="15"/>
  <c r="F137" i="15"/>
  <c r="E124" i="15"/>
  <c r="F110" i="15"/>
  <c r="F203" i="15"/>
  <c r="F175" i="15"/>
  <c r="F174" i="15"/>
  <c r="E170" i="15"/>
  <c r="E122" i="15"/>
  <c r="E34" i="15"/>
  <c r="F156" i="15"/>
  <c r="F212" i="15"/>
  <c r="F85" i="15"/>
  <c r="F180" i="15"/>
  <c r="F159" i="15"/>
  <c r="D126" i="15"/>
  <c r="F22" i="15"/>
  <c r="D254" i="15"/>
  <c r="H241" i="15"/>
  <c r="D314" i="15"/>
  <c r="D325" i="15"/>
  <c r="D159" i="15"/>
  <c r="G122" i="15"/>
  <c r="H79" i="15"/>
  <c r="H116" i="15"/>
  <c r="I15" i="15"/>
  <c r="H160" i="15"/>
  <c r="I160" i="15"/>
  <c r="H67" i="15"/>
  <c r="I67" i="15"/>
  <c r="H203" i="15"/>
  <c r="I203" i="15"/>
  <c r="I228" i="15"/>
  <c r="H228" i="15"/>
  <c r="I254" i="15"/>
  <c r="H254" i="15"/>
  <c r="H200" i="15"/>
  <c r="I200" i="15"/>
  <c r="H232" i="15"/>
  <c r="I232" i="15"/>
  <c r="H69" i="15"/>
  <c r="I69" i="15"/>
  <c r="H256" i="15"/>
  <c r="I256" i="15"/>
  <c r="H294" i="15"/>
  <c r="I294" i="15"/>
  <c r="H310" i="15"/>
  <c r="I310" i="15"/>
  <c r="H329" i="15"/>
  <c r="I329" i="15"/>
  <c r="I314" i="15"/>
  <c r="H314" i="15"/>
  <c r="I358" i="15"/>
  <c r="H358" i="15"/>
  <c r="H15" i="15"/>
  <c r="I367" i="15"/>
  <c r="H367" i="15"/>
  <c r="I355" i="15"/>
  <c r="H351" i="15"/>
  <c r="I241" i="15"/>
  <c r="G386" i="15"/>
  <c r="D306" i="15"/>
  <c r="G26" i="15"/>
  <c r="I17" i="15"/>
  <c r="H85" i="15"/>
  <c r="I85" i="15"/>
  <c r="H205" i="15"/>
  <c r="I205" i="15"/>
  <c r="I148" i="15"/>
  <c r="I231" i="15"/>
  <c r="H231" i="15"/>
  <c r="H261" i="15"/>
  <c r="I261" i="15"/>
  <c r="H33" i="15"/>
  <c r="I33" i="15"/>
  <c r="H285" i="15"/>
  <c r="I285" i="15"/>
  <c r="H305" i="15"/>
  <c r="I305" i="15"/>
  <c r="I316" i="15"/>
  <c r="H316" i="15"/>
  <c r="I366" i="15"/>
  <c r="H366" i="15"/>
  <c r="I116" i="15"/>
  <c r="D390" i="15"/>
  <c r="D378" i="15"/>
  <c r="G312" i="15"/>
  <c r="D185" i="15"/>
  <c r="N185" i="15" s="1"/>
  <c r="D52" i="15"/>
  <c r="I126" i="15"/>
  <c r="H141" i="15"/>
  <c r="I141" i="15"/>
  <c r="H159" i="15"/>
  <c r="I159" i="15"/>
  <c r="H170" i="15"/>
  <c r="I170" i="15"/>
  <c r="H42" i="15"/>
  <c r="I42" i="15"/>
  <c r="I183" i="15"/>
  <c r="H183" i="15"/>
  <c r="H208" i="15"/>
  <c r="I208" i="15"/>
  <c r="H282" i="15"/>
  <c r="I282" i="15"/>
  <c r="H306" i="15"/>
  <c r="I306" i="15"/>
  <c r="H325" i="15"/>
  <c r="I325" i="15"/>
  <c r="I336" i="15"/>
  <c r="H336" i="15"/>
  <c r="I50" i="15"/>
  <c r="H50" i="15"/>
  <c r="I106" i="15"/>
  <c r="H106" i="15"/>
  <c r="I362" i="15"/>
  <c r="H362" i="15"/>
  <c r="I370" i="15"/>
  <c r="H370" i="15"/>
  <c r="H126" i="15"/>
  <c r="H131" i="15"/>
  <c r="I131" i="15"/>
  <c r="H60" i="15"/>
  <c r="I60" i="15"/>
  <c r="H213" i="15"/>
  <c r="I213" i="15"/>
  <c r="H144" i="15"/>
  <c r="I144" i="15"/>
  <c r="I252" i="15"/>
  <c r="H252" i="15"/>
  <c r="H99" i="15"/>
  <c r="I99" i="15"/>
  <c r="H267" i="15"/>
  <c r="I267" i="15"/>
  <c r="H55" i="15"/>
  <c r="I55" i="15"/>
  <c r="H284" i="15"/>
  <c r="I284" i="15"/>
  <c r="H302" i="15"/>
  <c r="I302" i="15"/>
  <c r="H309" i="15"/>
  <c r="I309" i="15"/>
  <c r="I92" i="15"/>
  <c r="H92" i="15"/>
  <c r="I348" i="15"/>
  <c r="H348" i="15"/>
  <c r="I364" i="15"/>
  <c r="H364" i="15"/>
  <c r="I380" i="15"/>
  <c r="H380" i="15"/>
  <c r="H21" i="15"/>
  <c r="I390" i="15"/>
  <c r="H390" i="15"/>
  <c r="D69" i="15"/>
  <c r="G229" i="15"/>
  <c r="D201" i="15"/>
  <c r="O201" i="15" s="1"/>
  <c r="G30" i="15"/>
  <c r="G36" i="15"/>
  <c r="G94" i="15"/>
  <c r="G201" i="15"/>
  <c r="G148" i="15"/>
  <c r="G286" i="15"/>
  <c r="D79" i="15"/>
  <c r="D303" i="15"/>
  <c r="G35" i="15"/>
  <c r="G22" i="15"/>
  <c r="G180" i="15"/>
  <c r="G174" i="15"/>
  <c r="G168" i="15"/>
  <c r="G164" i="15"/>
  <c r="G264" i="15"/>
  <c r="G132" i="15"/>
  <c r="E342" i="15"/>
  <c r="E343" i="15"/>
  <c r="F390" i="15"/>
  <c r="F386" i="15"/>
  <c r="F94" i="15"/>
  <c r="F378" i="15"/>
  <c r="F374" i="15"/>
  <c r="F366" i="15"/>
  <c r="E360" i="15"/>
  <c r="F50" i="15"/>
  <c r="F344" i="15"/>
  <c r="E393" i="15"/>
  <c r="F391" i="15"/>
  <c r="E389" i="15"/>
  <c r="E385" i="15"/>
  <c r="F383" i="15"/>
  <c r="E381" i="15"/>
  <c r="F379" i="15"/>
  <c r="E380" i="15"/>
  <c r="F376" i="15"/>
  <c r="E373" i="15"/>
  <c r="E369" i="15"/>
  <c r="F370" i="15"/>
  <c r="E364" i="15"/>
  <c r="D367" i="15"/>
  <c r="E111" i="15"/>
  <c r="E361" i="15"/>
  <c r="E352" i="15"/>
  <c r="I351" i="15"/>
  <c r="E92" i="15"/>
  <c r="E330" i="15"/>
  <c r="F49" i="15"/>
  <c r="F354" i="15"/>
  <c r="F339" i="15"/>
  <c r="F331" i="15"/>
  <c r="E335" i="15"/>
  <c r="F286" i="15"/>
  <c r="G242" i="15"/>
  <c r="F33" i="15"/>
  <c r="F208" i="15"/>
  <c r="G250" i="15"/>
  <c r="F333" i="15"/>
  <c r="E304" i="15"/>
  <c r="E306" i="15"/>
  <c r="E248" i="15"/>
  <c r="E204" i="15"/>
  <c r="G44" i="15"/>
  <c r="G177" i="15"/>
  <c r="F317" i="15"/>
  <c r="E69" i="15"/>
  <c r="F236" i="15"/>
  <c r="E196" i="15"/>
  <c r="F314" i="15"/>
  <c r="F262" i="15"/>
  <c r="G233" i="15"/>
  <c r="F233" i="15"/>
  <c r="E164" i="15"/>
  <c r="F42" i="15"/>
  <c r="E40" i="15"/>
  <c r="E91" i="15"/>
  <c r="F290" i="15"/>
  <c r="E239" i="15"/>
  <c r="F201" i="15"/>
  <c r="F185" i="15"/>
  <c r="F181" i="15"/>
  <c r="F176" i="15"/>
  <c r="F250" i="15"/>
  <c r="E162" i="15"/>
  <c r="F133" i="15"/>
  <c r="E255" i="15"/>
  <c r="F249" i="15"/>
  <c r="F229" i="15"/>
  <c r="F79" i="15"/>
  <c r="F44" i="15"/>
  <c r="H225" i="15"/>
  <c r="F202" i="15"/>
  <c r="F171" i="15"/>
  <c r="E303" i="15"/>
  <c r="F69" i="15"/>
  <c r="D55" i="15"/>
  <c r="J55" i="15" s="1"/>
  <c r="E223" i="15"/>
  <c r="F209" i="15"/>
  <c r="F254" i="15"/>
  <c r="F177" i="15"/>
  <c r="H148" i="15"/>
  <c r="E148" i="15"/>
  <c r="H18" i="15"/>
  <c r="E108" i="15"/>
  <c r="G89" i="15"/>
  <c r="E88" i="15"/>
  <c r="F125" i="15"/>
  <c r="F306" i="15"/>
  <c r="F285" i="15"/>
  <c r="D284" i="15"/>
  <c r="F168" i="15"/>
  <c r="F225" i="15"/>
  <c r="E42" i="15"/>
  <c r="E215" i="15"/>
  <c r="F127" i="15"/>
  <c r="F210" i="15"/>
  <c r="G110" i="15"/>
  <c r="E110" i="15"/>
  <c r="E87" i="15"/>
  <c r="E207" i="15"/>
  <c r="E62" i="15"/>
  <c r="E199" i="15"/>
  <c r="E261" i="15"/>
  <c r="E32" i="15"/>
  <c r="E183" i="15"/>
  <c r="E252" i="15"/>
  <c r="E83" i="15"/>
  <c r="E96" i="15"/>
  <c r="F219" i="15"/>
  <c r="E186" i="15"/>
  <c r="E167" i="15"/>
  <c r="D228" i="15"/>
  <c r="D205" i="15"/>
  <c r="F64" i="15"/>
  <c r="G167" i="15"/>
  <c r="F56" i="15"/>
  <c r="E241" i="15"/>
  <c r="D231" i="15"/>
  <c r="E150" i="15"/>
  <c r="E134" i="15"/>
  <c r="D203" i="15"/>
  <c r="G102" i="15"/>
  <c r="E60" i="15"/>
  <c r="E179" i="15"/>
  <c r="F195" i="15"/>
  <c r="F98" i="15"/>
  <c r="F190" i="15"/>
  <c r="F188" i="15"/>
  <c r="F86" i="15"/>
  <c r="F72" i="15"/>
  <c r="E66" i="15"/>
  <c r="F165" i="15"/>
  <c r="F34" i="15"/>
  <c r="D60" i="15"/>
  <c r="E77" i="15"/>
  <c r="E58" i="15"/>
  <c r="F52" i="15"/>
  <c r="E154" i="15"/>
  <c r="E146" i="15"/>
  <c r="F30" i="15"/>
  <c r="F107" i="15"/>
  <c r="F126" i="15"/>
  <c r="E115" i="15"/>
  <c r="D131" i="15"/>
  <c r="F76" i="15"/>
  <c r="F116" i="15"/>
  <c r="D146" i="15"/>
  <c r="F35" i="15"/>
  <c r="F26" i="15"/>
  <c r="H17" i="15"/>
  <c r="E17" i="15"/>
  <c r="F115" i="15"/>
  <c r="G126" i="15"/>
  <c r="E131" i="15"/>
  <c r="E130" i="15"/>
  <c r="E24" i="15"/>
  <c r="F14" i="15"/>
  <c r="E13" i="15"/>
  <c r="F15" i="15"/>
  <c r="F114" i="15"/>
  <c r="K2" i="2"/>
  <c r="L2" i="2" s="1"/>
  <c r="H13" i="6"/>
  <c r="I13" i="6"/>
  <c r="J13" i="6"/>
  <c r="G13" i="6"/>
  <c r="D50" i="15" l="1"/>
  <c r="J50" i="15" s="1"/>
  <c r="D380" i="15"/>
  <c r="L170" i="15"/>
  <c r="K170" i="15"/>
  <c r="J170" i="15"/>
  <c r="K354" i="15"/>
  <c r="L354" i="15"/>
  <c r="J354" i="15"/>
  <c r="K285" i="15"/>
  <c r="L285" i="15"/>
  <c r="J285" i="15"/>
  <c r="L225" i="15"/>
  <c r="J225" i="15"/>
  <c r="K225" i="15"/>
  <c r="L203" i="15"/>
  <c r="J203" i="15"/>
  <c r="K203" i="15"/>
  <c r="J303" i="15"/>
  <c r="L303" i="15"/>
  <c r="K303" i="15"/>
  <c r="K380" i="15"/>
  <c r="L380" i="15"/>
  <c r="J380" i="15"/>
  <c r="L159" i="15"/>
  <c r="J159" i="15"/>
  <c r="K159" i="15"/>
  <c r="L146" i="15"/>
  <c r="K146" i="15"/>
  <c r="J146" i="15"/>
  <c r="L205" i="15"/>
  <c r="J205" i="15"/>
  <c r="K205" i="15"/>
  <c r="L284" i="15"/>
  <c r="K284" i="15"/>
  <c r="J284" i="15"/>
  <c r="J60" i="15"/>
  <c r="J254" i="15"/>
  <c r="L254" i="15"/>
  <c r="K254" i="15"/>
  <c r="J231" i="15"/>
  <c r="K231" i="15"/>
  <c r="L231" i="15"/>
  <c r="J228" i="15"/>
  <c r="L228" i="15"/>
  <c r="K228" i="15"/>
  <c r="L126" i="15"/>
  <c r="J126" i="15"/>
  <c r="K126" i="15"/>
  <c r="K306" i="15"/>
  <c r="L306" i="15"/>
  <c r="J306" i="15"/>
  <c r="L325" i="15"/>
  <c r="K325" i="15"/>
  <c r="J325" i="15"/>
  <c r="L131" i="15"/>
  <c r="J131" i="15"/>
  <c r="K131" i="15"/>
  <c r="D219" i="15"/>
  <c r="D282" i="15"/>
  <c r="L367" i="15"/>
  <c r="J367" i="15"/>
  <c r="K367" i="15"/>
  <c r="D54" i="15"/>
  <c r="J54" i="15" s="1"/>
  <c r="D33" i="15"/>
  <c r="J33" i="15" s="1"/>
  <c r="D92" i="15"/>
  <c r="J92" i="15" s="1"/>
  <c r="J69" i="15"/>
  <c r="J79" i="15"/>
  <c r="J42" i="15"/>
  <c r="G197" i="15"/>
  <c r="D370" i="15"/>
  <c r="G370" i="15"/>
  <c r="G354" i="15"/>
  <c r="G317" i="15"/>
  <c r="D310" i="15"/>
  <c r="I219" i="15"/>
  <c r="I212" i="15"/>
  <c r="I225" i="15"/>
  <c r="H219" i="15"/>
  <c r="H212" i="15"/>
  <c r="H378" i="15"/>
  <c r="D355" i="15"/>
  <c r="D212" i="15"/>
  <c r="D277" i="15"/>
  <c r="I378" i="15"/>
  <c r="H181" i="15"/>
  <c r="H34" i="15"/>
  <c r="D96" i="15"/>
  <c r="J96" i="15" s="1"/>
  <c r="I181" i="15"/>
  <c r="G239" i="15"/>
  <c r="I96" i="15"/>
  <c r="H96" i="15"/>
  <c r="D240" i="15"/>
  <c r="G314" i="15"/>
  <c r="D340" i="15"/>
  <c r="G343" i="15"/>
  <c r="D377" i="15"/>
  <c r="G390" i="15"/>
  <c r="G306" i="15"/>
  <c r="D290" i="15"/>
  <c r="H374" i="15"/>
  <c r="D295" i="15"/>
  <c r="D376" i="15"/>
  <c r="D129" i="15"/>
  <c r="G223" i="15"/>
  <c r="G378" i="15"/>
  <c r="G285" i="15"/>
  <c r="I18" i="15"/>
  <c r="G79" i="15"/>
  <c r="G209" i="15"/>
  <c r="D272" i="15"/>
  <c r="D344" i="15"/>
  <c r="I79" i="15"/>
  <c r="D215" i="15"/>
  <c r="H276" i="15"/>
  <c r="G374" i="15"/>
  <c r="D111" i="15"/>
  <c r="J111" i="15" s="1"/>
  <c r="D86" i="15"/>
  <c r="D162" i="15"/>
  <c r="H119" i="15"/>
  <c r="D259" i="15"/>
  <c r="D224" i="15"/>
  <c r="G253" i="15"/>
  <c r="G303" i="15"/>
  <c r="H186" i="15"/>
  <c r="I186" i="15"/>
  <c r="H91" i="15"/>
  <c r="I91" i="15"/>
  <c r="I49" i="15"/>
  <c r="H49" i="15"/>
  <c r="H171" i="15"/>
  <c r="I171" i="15"/>
  <c r="H168" i="15"/>
  <c r="I43" i="15"/>
  <c r="H299" i="15"/>
  <c r="I299" i="15"/>
  <c r="I122" i="15"/>
  <c r="H122" i="15"/>
  <c r="I86" i="15"/>
  <c r="H177" i="15"/>
  <c r="H23" i="15"/>
  <c r="H71" i="15"/>
  <c r="I71" i="15"/>
  <c r="H191" i="15"/>
  <c r="I191" i="15"/>
  <c r="I135" i="15"/>
  <c r="I363" i="15"/>
  <c r="H363" i="15"/>
  <c r="I350" i="15"/>
  <c r="H350" i="15"/>
  <c r="I14" i="15"/>
  <c r="H14" i="15"/>
  <c r="H46" i="15"/>
  <c r="I46" i="15"/>
  <c r="I239" i="15"/>
  <c r="I359" i="15"/>
  <c r="H290" i="15"/>
  <c r="I290" i="15"/>
  <c r="I149" i="15"/>
  <c r="I320" i="15"/>
  <c r="H157" i="15"/>
  <c r="H277" i="15"/>
  <c r="I277" i="15"/>
  <c r="H255" i="15"/>
  <c r="I255" i="15"/>
  <c r="H73" i="15"/>
  <c r="H87" i="15"/>
  <c r="I87" i="15"/>
  <c r="H40" i="15"/>
  <c r="I40" i="15"/>
  <c r="I164" i="15"/>
  <c r="H220" i="15"/>
  <c r="I220" i="15"/>
  <c r="H70" i="15"/>
  <c r="I70" i="15"/>
  <c r="I349" i="15"/>
  <c r="H349" i="15"/>
  <c r="I341" i="15"/>
  <c r="H341" i="15"/>
  <c r="I26" i="15"/>
  <c r="H26" i="15"/>
  <c r="D233" i="15"/>
  <c r="H233" i="15"/>
  <c r="I233" i="15"/>
  <c r="I134" i="15"/>
  <c r="H280" i="15"/>
  <c r="I280" i="15"/>
  <c r="I392" i="15"/>
  <c r="H392" i="15"/>
  <c r="I242" i="15"/>
  <c r="I74" i="15"/>
  <c r="H180" i="15"/>
  <c r="I180" i="15"/>
  <c r="H53" i="15"/>
  <c r="I53" i="15"/>
  <c r="H210" i="15"/>
  <c r="I210" i="15"/>
  <c r="D222" i="15"/>
  <c r="H188" i="15"/>
  <c r="I188" i="15"/>
  <c r="H221" i="15"/>
  <c r="I221" i="15"/>
  <c r="I251" i="15"/>
  <c r="H251" i="15"/>
  <c r="H304" i="15"/>
  <c r="I304" i="15"/>
  <c r="G277" i="15"/>
  <c r="I342" i="15"/>
  <c r="H342" i="15"/>
  <c r="H38" i="15"/>
  <c r="H190" i="15"/>
  <c r="I190" i="15"/>
  <c r="I361" i="15"/>
  <c r="H361" i="15"/>
  <c r="I300" i="15"/>
  <c r="H308" i="15"/>
  <c r="I308" i="15"/>
  <c r="G31" i="15"/>
  <c r="H82" i="15"/>
  <c r="I82" i="15"/>
  <c r="H59" i="15"/>
  <c r="I59" i="15"/>
  <c r="I31" i="15"/>
  <c r="H198" i="15"/>
  <c r="I198" i="15"/>
  <c r="H187" i="15"/>
  <c r="I187" i="15"/>
  <c r="H65" i="15"/>
  <c r="I65" i="15"/>
  <c r="I163" i="15"/>
  <c r="G85" i="15"/>
  <c r="H138" i="15"/>
  <c r="D18" i="15"/>
  <c r="J18" i="15" s="1"/>
  <c r="G213" i="15"/>
  <c r="H97" i="15"/>
  <c r="I97" i="15"/>
  <c r="H235" i="15"/>
  <c r="I235" i="15"/>
  <c r="D105" i="15"/>
  <c r="H244" i="15"/>
  <c r="I244" i="15"/>
  <c r="D178" i="15"/>
  <c r="I259" i="15"/>
  <c r="H259" i="15"/>
  <c r="D47" i="15"/>
  <c r="J47" i="15" s="1"/>
  <c r="D249" i="15"/>
  <c r="D46" i="15"/>
  <c r="J46" i="15" s="1"/>
  <c r="D336" i="15"/>
  <c r="I345" i="15"/>
  <c r="H345" i="15"/>
  <c r="D392" i="15"/>
  <c r="D332" i="15"/>
  <c r="G333" i="15"/>
  <c r="G342" i="15"/>
  <c r="D361" i="15"/>
  <c r="H165" i="15"/>
  <c r="I165" i="15"/>
  <c r="I98" i="15"/>
  <c r="H44" i="15"/>
  <c r="I44" i="15"/>
  <c r="I30" i="15"/>
  <c r="D255" i="15"/>
  <c r="L255" i="15" s="1"/>
  <c r="H223" i="15"/>
  <c r="I223" i="15"/>
  <c r="H272" i="15"/>
  <c r="I272" i="15"/>
  <c r="I338" i="15"/>
  <c r="H338" i="15"/>
  <c r="I386" i="15"/>
  <c r="H386" i="15"/>
  <c r="I315" i="15"/>
  <c r="H315" i="15"/>
  <c r="H124" i="15"/>
  <c r="I124" i="15"/>
  <c r="H229" i="15"/>
  <c r="H249" i="15"/>
  <c r="H303" i="15"/>
  <c r="I303" i="15"/>
  <c r="I169" i="15"/>
  <c r="I353" i="15"/>
  <c r="H353" i="15"/>
  <c r="H240" i="15"/>
  <c r="I344" i="15"/>
  <c r="H344" i="15"/>
  <c r="I376" i="15"/>
  <c r="H376" i="15"/>
  <c r="I54" i="15"/>
  <c r="H54" i="15"/>
  <c r="H227" i="15"/>
  <c r="I227" i="15"/>
  <c r="H355" i="15"/>
  <c r="H51" i="15"/>
  <c r="I51" i="15"/>
  <c r="H175" i="15"/>
  <c r="I175" i="15"/>
  <c r="H95" i="15"/>
  <c r="I95" i="15"/>
  <c r="I204" i="15"/>
  <c r="I236" i="15"/>
  <c r="I268" i="15"/>
  <c r="D91" i="15"/>
  <c r="J91" i="15" s="1"/>
  <c r="H293" i="15"/>
  <c r="I293" i="15"/>
  <c r="H295" i="15"/>
  <c r="I117" i="15"/>
  <c r="H117" i="15"/>
  <c r="H146" i="15"/>
  <c r="I146" i="15"/>
  <c r="H118" i="15"/>
  <c r="I118" i="15"/>
  <c r="H262" i="15"/>
  <c r="I262" i="15"/>
  <c r="H335" i="15"/>
  <c r="I335" i="15"/>
  <c r="H286" i="15"/>
  <c r="I286" i="15"/>
  <c r="H289" i="15"/>
  <c r="I289" i="15"/>
  <c r="H123" i="15"/>
  <c r="I115" i="15"/>
  <c r="H115" i="15"/>
  <c r="H109" i="15"/>
  <c r="I109" i="15"/>
  <c r="D171" i="15"/>
  <c r="H110" i="15"/>
  <c r="I110" i="15"/>
  <c r="H196" i="15"/>
  <c r="I196" i="15"/>
  <c r="H301" i="15"/>
  <c r="I301" i="15"/>
  <c r="I245" i="15"/>
  <c r="H245" i="15"/>
  <c r="H194" i="15"/>
  <c r="H258" i="15"/>
  <c r="I258" i="15"/>
  <c r="H360" i="15"/>
  <c r="I27" i="15"/>
  <c r="H27" i="15"/>
  <c r="D177" i="15"/>
  <c r="I339" i="15"/>
  <c r="H339" i="15"/>
  <c r="I94" i="15"/>
  <c r="H94" i="15"/>
  <c r="H47" i="15"/>
  <c r="I47" i="15"/>
  <c r="I107" i="15"/>
  <c r="H107" i="15"/>
  <c r="H166" i="15"/>
  <c r="I166" i="15"/>
  <c r="H179" i="15"/>
  <c r="I179" i="15"/>
  <c r="D191" i="15"/>
  <c r="H102" i="15"/>
  <c r="I102" i="15"/>
  <c r="D112" i="15"/>
  <c r="J112" i="15" s="1"/>
  <c r="H197" i="15"/>
  <c r="I197" i="15"/>
  <c r="H192" i="15"/>
  <c r="I192" i="15"/>
  <c r="H129" i="15"/>
  <c r="H260" i="15"/>
  <c r="I260" i="15"/>
  <c r="H104" i="15"/>
  <c r="I104" i="15"/>
  <c r="H317" i="15"/>
  <c r="I317" i="15"/>
  <c r="I313" i="15"/>
  <c r="G244" i="15"/>
  <c r="H287" i="15"/>
  <c r="I287" i="15"/>
  <c r="I369" i="15"/>
  <c r="H369" i="15"/>
  <c r="I373" i="15"/>
  <c r="H373" i="15"/>
  <c r="I381" i="15"/>
  <c r="H381" i="15"/>
  <c r="I385" i="15"/>
  <c r="H385" i="15"/>
  <c r="I389" i="15"/>
  <c r="I393" i="15"/>
  <c r="H393" i="15"/>
  <c r="I337" i="15"/>
  <c r="H337" i="15"/>
  <c r="G366" i="15"/>
  <c r="D122" i="15"/>
  <c r="I22" i="15"/>
  <c r="H22" i="15"/>
  <c r="H35" i="15"/>
  <c r="H112" i="15"/>
  <c r="I112" i="15"/>
  <c r="I162" i="15"/>
  <c r="H162" i="15"/>
  <c r="H137" i="15"/>
  <c r="I250" i="15"/>
  <c r="H250" i="15"/>
  <c r="H80" i="15"/>
  <c r="I80" i="15"/>
  <c r="H333" i="15"/>
  <c r="I333" i="15"/>
  <c r="I332" i="15"/>
  <c r="I111" i="15"/>
  <c r="H111" i="15"/>
  <c r="I354" i="15"/>
  <c r="H354" i="15"/>
  <c r="G185" i="15"/>
  <c r="I382" i="15"/>
  <c r="H382" i="15"/>
  <c r="I125" i="15"/>
  <c r="H125" i="15"/>
  <c r="H215" i="15"/>
  <c r="I215" i="15"/>
  <c r="H224" i="15"/>
  <c r="I224" i="15"/>
  <c r="I21" i="15"/>
  <c r="I377" i="15"/>
  <c r="H377" i="15"/>
  <c r="I161" i="15"/>
  <c r="D186" i="15"/>
  <c r="D87" i="15"/>
  <c r="J87" i="15" s="1"/>
  <c r="D27" i="15"/>
  <c r="D53" i="15"/>
  <c r="D289" i="15"/>
  <c r="D89" i="15"/>
  <c r="D62" i="15"/>
  <c r="J62" i="15" s="1"/>
  <c r="G230" i="15"/>
  <c r="D168" i="15"/>
  <c r="D38" i="15"/>
  <c r="G69" i="15"/>
  <c r="K69" i="15" s="1"/>
  <c r="D175" i="15"/>
  <c r="D188" i="15"/>
  <c r="D119" i="15"/>
  <c r="D73" i="15"/>
  <c r="G120" i="15"/>
  <c r="G301" i="15"/>
  <c r="D356" i="15"/>
  <c r="G338" i="15"/>
  <c r="D286" i="15"/>
  <c r="D229" i="15"/>
  <c r="D43" i="15"/>
  <c r="D241" i="15"/>
  <c r="G245" i="15"/>
  <c r="D23" i="15"/>
  <c r="D140" i="15"/>
  <c r="D179" i="15"/>
  <c r="D88" i="15"/>
  <c r="D90" i="15"/>
  <c r="J90" i="15" s="1"/>
  <c r="D109" i="15"/>
  <c r="J109" i="15" s="1"/>
  <c r="D110" i="15"/>
  <c r="N110" i="15" s="1"/>
  <c r="D210" i="15"/>
  <c r="D174" i="15"/>
  <c r="G169" i="15"/>
  <c r="D70" i="15"/>
  <c r="J70" i="15" s="1"/>
  <c r="G165" i="15"/>
  <c r="D345" i="15"/>
  <c r="I13" i="15"/>
  <c r="D125" i="15"/>
  <c r="D41" i="15"/>
  <c r="D13" i="15"/>
  <c r="D51" i="15"/>
  <c r="D71" i="15"/>
  <c r="D117" i="15"/>
  <c r="H135" i="15"/>
  <c r="D135" i="15"/>
  <c r="H164" i="15"/>
  <c r="D164" i="15"/>
  <c r="K164" i="15" s="1"/>
  <c r="D82" i="15"/>
  <c r="J82" i="15" s="1"/>
  <c r="G226" i="15"/>
  <c r="D134" i="15"/>
  <c r="D262" i="15"/>
  <c r="D294" i="15"/>
  <c r="D194" i="15"/>
  <c r="D317" i="15"/>
  <c r="D258" i="15"/>
  <c r="D287" i="15"/>
  <c r="D58" i="15"/>
  <c r="D260" i="15"/>
  <c r="D25" i="15"/>
  <c r="J25" i="15" s="1"/>
  <c r="D313" i="15"/>
  <c r="D349" i="15"/>
  <c r="D198" i="15"/>
  <c r="D121" i="15"/>
  <c r="D197" i="15"/>
  <c r="H204" i="15"/>
  <c r="D204" i="15"/>
  <c r="D40" i="15"/>
  <c r="J40" i="15" s="1"/>
  <c r="D123" i="15"/>
  <c r="D160" i="15"/>
  <c r="D251" i="15"/>
  <c r="G182" i="15"/>
  <c r="D32" i="15"/>
  <c r="J32" i="15" s="1"/>
  <c r="D323" i="15"/>
  <c r="D283" i="15"/>
  <c r="D350" i="15"/>
  <c r="D180" i="15"/>
  <c r="D35" i="15"/>
  <c r="D14" i="15"/>
  <c r="D44" i="15"/>
  <c r="J44" i="15" s="1"/>
  <c r="D293" i="15"/>
  <c r="D358" i="15"/>
  <c r="D59" i="15"/>
  <c r="D337" i="15"/>
  <c r="D22" i="15"/>
  <c r="D26" i="15"/>
  <c r="L26" i="15" s="1"/>
  <c r="D381" i="15"/>
  <c r="D181" i="15"/>
  <c r="O181" i="15" s="1"/>
  <c r="G181" i="15"/>
  <c r="D268" i="15"/>
  <c r="D49" i="15"/>
  <c r="J49" i="15" s="1"/>
  <c r="D339" i="15"/>
  <c r="D373" i="15"/>
  <c r="D250" i="15"/>
  <c r="D335" i="15"/>
  <c r="D94" i="15"/>
  <c r="J94" i="15" s="1"/>
  <c r="D363" i="15"/>
  <c r="D107" i="15"/>
  <c r="J107" i="15" s="1"/>
  <c r="D102" i="15"/>
  <c r="J102" i="15" s="1"/>
  <c r="D97" i="15"/>
  <c r="J97" i="15" s="1"/>
  <c r="H300" i="15"/>
  <c r="D115" i="15"/>
  <c r="D342" i="15"/>
  <c r="L342" i="15" s="1"/>
  <c r="D385" i="15"/>
  <c r="D393" i="15"/>
  <c r="D196" i="15"/>
  <c r="D236" i="15"/>
  <c r="D369" i="15"/>
  <c r="D30" i="15"/>
  <c r="D220" i="15"/>
  <c r="D386" i="15"/>
  <c r="J386" i="15" s="1"/>
  <c r="D223" i="15"/>
  <c r="N201" i="15"/>
  <c r="L209" i="15"/>
  <c r="K209" i="15"/>
  <c r="K85" i="15"/>
  <c r="L85" i="15"/>
  <c r="J85" i="15"/>
  <c r="N85" i="15"/>
  <c r="O85" i="15"/>
  <c r="K52" i="15"/>
  <c r="O52" i="15"/>
  <c r="J52" i="15"/>
  <c r="L52" i="15" s="1"/>
  <c r="N52" i="15" s="1"/>
  <c r="K148" i="15"/>
  <c r="L148" i="15"/>
  <c r="J148" i="15"/>
  <c r="O148" i="15"/>
  <c r="L185" i="15"/>
  <c r="K185" i="15"/>
  <c r="J185" i="15"/>
  <c r="O185" i="15"/>
  <c r="K314" i="15"/>
  <c r="L314" i="15"/>
  <c r="J314" i="15"/>
  <c r="N314" i="15"/>
  <c r="O314" i="15"/>
  <c r="J209" i="15"/>
  <c r="K201" i="15"/>
  <c r="L201" i="15"/>
  <c r="L366" i="15"/>
  <c r="K366" i="15"/>
  <c r="J366" i="15"/>
  <c r="N366" i="15"/>
  <c r="O366" i="15"/>
  <c r="O378" i="15"/>
  <c r="J378" i="15"/>
  <c r="L390" i="15"/>
  <c r="K390" i="15"/>
  <c r="N390" i="15"/>
  <c r="O390" i="15"/>
  <c r="J390" i="15"/>
  <c r="J201" i="15"/>
  <c r="N209" i="15"/>
  <c r="O209" i="15"/>
  <c r="G17" i="15"/>
  <c r="D17" i="15"/>
  <c r="I23" i="15"/>
  <c r="G146" i="15"/>
  <c r="G43" i="15"/>
  <c r="G162" i="15"/>
  <c r="G205" i="15"/>
  <c r="G188" i="15"/>
  <c r="I137" i="15"/>
  <c r="H153" i="15"/>
  <c r="I153" i="15"/>
  <c r="G83" i="15"/>
  <c r="H234" i="15"/>
  <c r="I234" i="15"/>
  <c r="G300" i="15"/>
  <c r="H356" i="15"/>
  <c r="I356" i="15"/>
  <c r="G377" i="15"/>
  <c r="G388" i="15"/>
  <c r="D388" i="15"/>
  <c r="D391" i="15"/>
  <c r="G391" i="15"/>
  <c r="I58" i="15"/>
  <c r="H58" i="15"/>
  <c r="G65" i="15"/>
  <c r="G60" i="15"/>
  <c r="K60" i="15" s="1"/>
  <c r="L60" i="15" s="1"/>
  <c r="H163" i="15"/>
  <c r="G308" i="15"/>
  <c r="G304" i="15"/>
  <c r="H359" i="15"/>
  <c r="G355" i="15"/>
  <c r="D362" i="15"/>
  <c r="G362" i="15"/>
  <c r="G332" i="15"/>
  <c r="D379" i="15"/>
  <c r="G379" i="15"/>
  <c r="H45" i="15"/>
  <c r="I45" i="15"/>
  <c r="G108" i="15"/>
  <c r="G27" i="15"/>
  <c r="H64" i="15"/>
  <c r="I64" i="15"/>
  <c r="H169" i="15"/>
  <c r="G222" i="15"/>
  <c r="G235" i="15"/>
  <c r="D235" i="15"/>
  <c r="G183" i="15"/>
  <c r="D183" i="15"/>
  <c r="G62" i="15"/>
  <c r="G272" i="15"/>
  <c r="G289" i="15"/>
  <c r="H268" i="15"/>
  <c r="G336" i="15"/>
  <c r="D348" i="15"/>
  <c r="G348" i="15"/>
  <c r="G363" i="15"/>
  <c r="G382" i="15"/>
  <c r="G340" i="15"/>
  <c r="D320" i="15"/>
  <c r="G320" i="15"/>
  <c r="G350" i="15"/>
  <c r="H30" i="15"/>
  <c r="I73" i="15"/>
  <c r="G130" i="15"/>
  <c r="G219" i="15"/>
  <c r="G91" i="15"/>
  <c r="G243" i="15"/>
  <c r="G309" i="15"/>
  <c r="D309" i="15"/>
  <c r="H236" i="15"/>
  <c r="G321" i="15"/>
  <c r="D321" i="15"/>
  <c r="I360" i="15"/>
  <c r="G54" i="15"/>
  <c r="G384" i="15"/>
  <c r="D384" i="15"/>
  <c r="G392" i="15"/>
  <c r="D383" i="15"/>
  <c r="G383" i="15"/>
  <c r="G125" i="15"/>
  <c r="G107" i="15"/>
  <c r="G140" i="15"/>
  <c r="G131" i="15"/>
  <c r="G13" i="15"/>
  <c r="G38" i="15"/>
  <c r="G59" i="15"/>
  <c r="G67" i="15"/>
  <c r="D67" i="15"/>
  <c r="G74" i="15"/>
  <c r="D74" i="15"/>
  <c r="G117" i="15"/>
  <c r="D34" i="15"/>
  <c r="G34" i="15"/>
  <c r="H72" i="15"/>
  <c r="I72" i="15"/>
  <c r="H74" i="15"/>
  <c r="G124" i="15"/>
  <c r="D124" i="15"/>
  <c r="G187" i="15"/>
  <c r="G113" i="15"/>
  <c r="G129" i="15"/>
  <c r="H133" i="15"/>
  <c r="I133" i="15"/>
  <c r="G143" i="15"/>
  <c r="G149" i="15"/>
  <c r="D149" i="15"/>
  <c r="G228" i="15"/>
  <c r="D98" i="15"/>
  <c r="G98" i="15"/>
  <c r="I119" i="15"/>
  <c r="I123" i="15"/>
  <c r="I129" i="15"/>
  <c r="I138" i="15"/>
  <c r="D156" i="15"/>
  <c r="G156" i="15"/>
  <c r="I168" i="15"/>
  <c r="H242" i="15"/>
  <c r="G176" i="15"/>
  <c r="G97" i="15"/>
  <c r="G200" i="15"/>
  <c r="D200" i="15"/>
  <c r="G204" i="15"/>
  <c r="G42" i="15"/>
  <c r="K42" i="15" s="1"/>
  <c r="G259" i="15"/>
  <c r="G32" i="15"/>
  <c r="G55" i="15"/>
  <c r="K55" i="15" s="1"/>
  <c r="L55" i="15" s="1"/>
  <c r="G282" i="15"/>
  <c r="G276" i="15"/>
  <c r="H128" i="15"/>
  <c r="I128" i="15"/>
  <c r="D217" i="15"/>
  <c r="G217" i="15"/>
  <c r="D270" i="15"/>
  <c r="G270" i="15"/>
  <c r="I194" i="15"/>
  <c r="G284" i="15"/>
  <c r="G323" i="15"/>
  <c r="G305" i="15"/>
  <c r="D305" i="15"/>
  <c r="H283" i="15"/>
  <c r="I283" i="15"/>
  <c r="I240" i="15"/>
  <c r="G310" i="15"/>
  <c r="I295" i="15"/>
  <c r="G315" i="15"/>
  <c r="D315" i="15"/>
  <c r="G319" i="15"/>
  <c r="D319" i="15"/>
  <c r="I229" i="15"/>
  <c r="G47" i="15"/>
  <c r="H313" i="15"/>
  <c r="H320" i="15"/>
  <c r="G111" i="15"/>
  <c r="G367" i="15"/>
  <c r="G345" i="15"/>
  <c r="G330" i="15"/>
  <c r="G339" i="15"/>
  <c r="G373" i="15"/>
  <c r="G393" i="15"/>
  <c r="H384" i="15"/>
  <c r="I384" i="15"/>
  <c r="G385" i="15"/>
  <c r="G76" i="15"/>
  <c r="D15" i="15"/>
  <c r="G15" i="15"/>
  <c r="I34" i="15"/>
  <c r="I38" i="15"/>
  <c r="G66" i="15"/>
  <c r="H86" i="15"/>
  <c r="G88" i="15"/>
  <c r="G203" i="15"/>
  <c r="G214" i="15"/>
  <c r="G215" i="15"/>
  <c r="D145" i="15"/>
  <c r="G145" i="15"/>
  <c r="H149" i="15"/>
  <c r="G112" i="15"/>
  <c r="G210" i="15"/>
  <c r="G147" i="15"/>
  <c r="G220" i="15"/>
  <c r="G70" i="15"/>
  <c r="K70" i="15" s="1"/>
  <c r="L70" i="15" s="1"/>
  <c r="G135" i="15"/>
  <c r="I157" i="15"/>
  <c r="G33" i="15"/>
  <c r="H222" i="15"/>
  <c r="I222" i="15"/>
  <c r="G194" i="15"/>
  <c r="H209" i="15"/>
  <c r="I209" i="15"/>
  <c r="G247" i="15"/>
  <c r="I217" i="15"/>
  <c r="H217" i="15"/>
  <c r="H182" i="15"/>
  <c r="I182" i="15"/>
  <c r="H185" i="15"/>
  <c r="I185" i="15"/>
  <c r="G234" i="15"/>
  <c r="D234" i="15"/>
  <c r="G297" i="15"/>
  <c r="D297" i="15"/>
  <c r="G287" i="15"/>
  <c r="G299" i="15"/>
  <c r="G335" i="15"/>
  <c r="H319" i="15"/>
  <c r="I319" i="15"/>
  <c r="D242" i="15"/>
  <c r="G325" i="15"/>
  <c r="G46" i="15"/>
  <c r="G344" i="15"/>
  <c r="G360" i="15"/>
  <c r="D360" i="15"/>
  <c r="D302" i="15"/>
  <c r="G302" i="15"/>
  <c r="G357" i="15"/>
  <c r="H379" i="15"/>
  <c r="I379" i="15"/>
  <c r="H332" i="15"/>
  <c r="G376" i="15"/>
  <c r="H388" i="15"/>
  <c r="I388" i="15"/>
  <c r="G114" i="15"/>
  <c r="G14" i="15"/>
  <c r="G41" i="15"/>
  <c r="I35" i="15"/>
  <c r="H36" i="15"/>
  <c r="I36" i="15"/>
  <c r="G51" i="15"/>
  <c r="G105" i="15"/>
  <c r="G186" i="15"/>
  <c r="H98" i="15"/>
  <c r="G87" i="15"/>
  <c r="G198" i="15"/>
  <c r="G142" i="15"/>
  <c r="G96" i="15"/>
  <c r="G90" i="15"/>
  <c r="G231" i="15"/>
  <c r="H145" i="15"/>
  <c r="I145" i="15"/>
  <c r="H52" i="15"/>
  <c r="I52" i="15"/>
  <c r="H134" i="15"/>
  <c r="G225" i="15"/>
  <c r="G241" i="15"/>
  <c r="G216" i="15"/>
  <c r="G254" i="15"/>
  <c r="G192" i="15"/>
  <c r="D192" i="15"/>
  <c r="G196" i="15"/>
  <c r="G208" i="15"/>
  <c r="D208" i="15"/>
  <c r="G248" i="15"/>
  <c r="I156" i="15"/>
  <c r="H156" i="15"/>
  <c r="I177" i="15"/>
  <c r="H178" i="15"/>
  <c r="I178" i="15"/>
  <c r="G20" i="15"/>
  <c r="G153" i="15"/>
  <c r="D153" i="15"/>
  <c r="H201" i="15"/>
  <c r="I201" i="15"/>
  <c r="H239" i="15"/>
  <c r="I249" i="15"/>
  <c r="G25" i="15"/>
  <c r="G293" i="15"/>
  <c r="G316" i="15"/>
  <c r="D316" i="15"/>
  <c r="G49" i="15"/>
  <c r="K49" i="15" s="1"/>
  <c r="G296" i="15"/>
  <c r="H331" i="15"/>
  <c r="I331" i="15"/>
  <c r="G50" i="15"/>
  <c r="K50" i="15" s="1"/>
  <c r="L50" i="15" s="1"/>
  <c r="G364" i="15"/>
  <c r="D364" i="15"/>
  <c r="G352" i="15"/>
  <c r="H383" i="15"/>
  <c r="I383" i="15"/>
  <c r="H391" i="15"/>
  <c r="I391" i="15"/>
  <c r="G331" i="15"/>
  <c r="D331" i="15"/>
  <c r="H340" i="15"/>
  <c r="I340" i="15"/>
  <c r="G369" i="15"/>
  <c r="G380" i="15"/>
  <c r="G381" i="15"/>
  <c r="G389" i="15"/>
  <c r="D389" i="15"/>
  <c r="H16" i="15"/>
  <c r="I16" i="15"/>
  <c r="H43" i="15"/>
  <c r="G159" i="15"/>
  <c r="G170" i="15"/>
  <c r="G71" i="15"/>
  <c r="H31" i="15"/>
  <c r="G121" i="15"/>
  <c r="D36" i="15"/>
  <c r="H56" i="15"/>
  <c r="I56" i="15"/>
  <c r="G179" i="15"/>
  <c r="G212" i="15"/>
  <c r="G127" i="15"/>
  <c r="G133" i="15"/>
  <c r="D133" i="15"/>
  <c r="G161" i="15"/>
  <c r="D161" i="15"/>
  <c r="G155" i="15"/>
  <c r="H161" i="15"/>
  <c r="G236" i="15"/>
  <c r="G268" i="15"/>
  <c r="G232" i="15"/>
  <c r="D232" i="15"/>
  <c r="H238" i="15"/>
  <c r="I238" i="15"/>
  <c r="H270" i="15"/>
  <c r="I270" i="15"/>
  <c r="G23" i="15"/>
  <c r="G40" i="15"/>
  <c r="H243" i="15"/>
  <c r="I243" i="15"/>
  <c r="G290" i="15"/>
  <c r="G260" i="15"/>
  <c r="I297" i="15"/>
  <c r="H297" i="15"/>
  <c r="G313" i="15"/>
  <c r="D239" i="15"/>
  <c r="G361" i="15"/>
  <c r="G365" i="15"/>
  <c r="I321" i="15"/>
  <c r="H321" i="15"/>
  <c r="G349" i="15"/>
  <c r="G92" i="15"/>
  <c r="H6" i="6"/>
  <c r="H5" i="6"/>
  <c r="B6" i="6"/>
  <c r="K33" i="15" l="1"/>
  <c r="K96" i="15"/>
  <c r="N255" i="15"/>
  <c r="K386" i="15"/>
  <c r="D341" i="15"/>
  <c r="D308" i="15"/>
  <c r="D300" i="15"/>
  <c r="D382" i="15"/>
  <c r="D304" i="15"/>
  <c r="J304" i="15" s="1"/>
  <c r="D329" i="15"/>
  <c r="D299" i="15"/>
  <c r="J299" i="15" s="1"/>
  <c r="D333" i="15"/>
  <c r="L333" i="15" s="1"/>
  <c r="D351" i="15"/>
  <c r="J351" i="15" s="1"/>
  <c r="D374" i="15"/>
  <c r="K92" i="15"/>
  <c r="K46" i="15"/>
  <c r="L46" i="15" s="1"/>
  <c r="N205" i="15"/>
  <c r="O205" i="15"/>
  <c r="O146" i="15"/>
  <c r="N146" i="15"/>
  <c r="N225" i="15"/>
  <c r="O225" i="15"/>
  <c r="L33" i="15"/>
  <c r="N33" i="15" s="1"/>
  <c r="L175" i="15"/>
  <c r="K175" i="15"/>
  <c r="J175" i="15"/>
  <c r="L219" i="15"/>
  <c r="J219" i="15"/>
  <c r="K219" i="15"/>
  <c r="L115" i="15"/>
  <c r="J115" i="15"/>
  <c r="K115" i="15"/>
  <c r="L335" i="15"/>
  <c r="K335" i="15"/>
  <c r="J335" i="15"/>
  <c r="J251" i="15"/>
  <c r="L251" i="15"/>
  <c r="K251" i="15"/>
  <c r="K349" i="15"/>
  <c r="L349" i="15"/>
  <c r="J349" i="15"/>
  <c r="L117" i="15"/>
  <c r="K117" i="15"/>
  <c r="J117" i="15"/>
  <c r="L345" i="15"/>
  <c r="J345" i="15"/>
  <c r="K345" i="15"/>
  <c r="L341" i="15"/>
  <c r="K341" i="15"/>
  <c r="J341" i="15"/>
  <c r="K289" i="15"/>
  <c r="L289" i="15"/>
  <c r="J289" i="15"/>
  <c r="L186" i="15"/>
  <c r="J186" i="15"/>
  <c r="K186" i="15"/>
  <c r="J191" i="15"/>
  <c r="K191" i="15"/>
  <c r="L191" i="15"/>
  <c r="J171" i="15"/>
  <c r="L171" i="15"/>
  <c r="K171" i="15"/>
  <c r="K336" i="15"/>
  <c r="L336" i="15"/>
  <c r="J336" i="15"/>
  <c r="L382" i="15"/>
  <c r="J382" i="15"/>
  <c r="K382" i="15"/>
  <c r="L376" i="15"/>
  <c r="J376" i="15"/>
  <c r="K376" i="15"/>
  <c r="K377" i="15"/>
  <c r="L377" i="15"/>
  <c r="J377" i="15"/>
  <c r="N228" i="15"/>
  <c r="O228" i="15"/>
  <c r="N284" i="15"/>
  <c r="O284" i="15"/>
  <c r="N159" i="15"/>
  <c r="O159" i="15"/>
  <c r="O285" i="15"/>
  <c r="N285" i="15"/>
  <c r="O170" i="15"/>
  <c r="N170" i="15"/>
  <c r="L350" i="15"/>
  <c r="J350" i="15"/>
  <c r="K350" i="15"/>
  <c r="L174" i="15"/>
  <c r="K174" i="15"/>
  <c r="J174" i="15"/>
  <c r="N131" i="15"/>
  <c r="O131" i="15"/>
  <c r="N126" i="15"/>
  <c r="O126" i="15"/>
  <c r="K40" i="15"/>
  <c r="L40" i="15" s="1"/>
  <c r="O40" i="15" s="1"/>
  <c r="L49" i="15"/>
  <c r="N49" i="15" s="1"/>
  <c r="L96" i="15"/>
  <c r="J393" i="15"/>
  <c r="K393" i="15"/>
  <c r="L393" i="15"/>
  <c r="J250" i="15"/>
  <c r="L250" i="15"/>
  <c r="K250" i="15"/>
  <c r="L358" i="15"/>
  <c r="K358" i="15"/>
  <c r="J358" i="15"/>
  <c r="L323" i="15"/>
  <c r="K323" i="15"/>
  <c r="J323" i="15"/>
  <c r="L160" i="15"/>
  <c r="K160" i="15"/>
  <c r="J160" i="15"/>
  <c r="L198" i="15"/>
  <c r="K198" i="15"/>
  <c r="J198" i="15"/>
  <c r="L260" i="15"/>
  <c r="J260" i="15"/>
  <c r="K260" i="15"/>
  <c r="L317" i="15"/>
  <c r="K317" i="15"/>
  <c r="J317" i="15"/>
  <c r="L125" i="15"/>
  <c r="J125" i="15"/>
  <c r="K125" i="15"/>
  <c r="L210" i="15"/>
  <c r="J210" i="15"/>
  <c r="K210" i="15"/>
  <c r="L179" i="15"/>
  <c r="J179" i="15"/>
  <c r="K179" i="15"/>
  <c r="L140" i="15"/>
  <c r="J140" i="15"/>
  <c r="K140" i="15"/>
  <c r="L241" i="15"/>
  <c r="K241" i="15"/>
  <c r="J241" i="15"/>
  <c r="L361" i="15"/>
  <c r="J361" i="15"/>
  <c r="K361" i="15"/>
  <c r="L392" i="15"/>
  <c r="J392" i="15"/>
  <c r="K392" i="15"/>
  <c r="L351" i="15"/>
  <c r="J259" i="15"/>
  <c r="L259" i="15"/>
  <c r="K259" i="15"/>
  <c r="L215" i="15"/>
  <c r="J215" i="15"/>
  <c r="K215" i="15"/>
  <c r="K344" i="15"/>
  <c r="L344" i="15"/>
  <c r="J344" i="15"/>
  <c r="L290" i="15"/>
  <c r="K290" i="15"/>
  <c r="J290" i="15"/>
  <c r="L310" i="15"/>
  <c r="K310" i="15"/>
  <c r="J310" i="15"/>
  <c r="N367" i="15"/>
  <c r="O367" i="15"/>
  <c r="K282" i="15"/>
  <c r="L282" i="15"/>
  <c r="J282" i="15"/>
  <c r="O254" i="15"/>
  <c r="N254" i="15"/>
  <c r="O380" i="15"/>
  <c r="N380" i="15"/>
  <c r="N303" i="15"/>
  <c r="O303" i="15"/>
  <c r="N203" i="15"/>
  <c r="O203" i="15"/>
  <c r="O354" i="15"/>
  <c r="N354" i="15"/>
  <c r="J197" i="15"/>
  <c r="L197" i="15"/>
  <c r="K197" i="15"/>
  <c r="L212" i="15"/>
  <c r="K212" i="15"/>
  <c r="J212" i="15"/>
  <c r="L92" i="15"/>
  <c r="N92" i="15" s="1"/>
  <c r="L363" i="15"/>
  <c r="J363" i="15"/>
  <c r="K363" i="15"/>
  <c r="L337" i="15"/>
  <c r="K337" i="15"/>
  <c r="J337" i="15"/>
  <c r="L180" i="15"/>
  <c r="J180" i="15"/>
  <c r="K180" i="15"/>
  <c r="L329" i="15"/>
  <c r="J329" i="15"/>
  <c r="K329" i="15"/>
  <c r="K294" i="15"/>
  <c r="L294" i="15"/>
  <c r="J294" i="15"/>
  <c r="L188" i="15"/>
  <c r="K188" i="15"/>
  <c r="J188" i="15"/>
  <c r="L122" i="15"/>
  <c r="K122" i="15"/>
  <c r="J122" i="15"/>
  <c r="L277" i="15"/>
  <c r="J277" i="15"/>
  <c r="K277" i="15"/>
  <c r="L370" i="15"/>
  <c r="J370" i="15"/>
  <c r="K370" i="15"/>
  <c r="N325" i="15"/>
  <c r="O325" i="15"/>
  <c r="O306" i="15"/>
  <c r="N306" i="15"/>
  <c r="O231" i="15"/>
  <c r="N231" i="15"/>
  <c r="K54" i="15"/>
  <c r="L54" i="15" s="1"/>
  <c r="O54" i="15" s="1"/>
  <c r="K111" i="15"/>
  <c r="L111" i="15" s="1"/>
  <c r="N111" i="15" s="1"/>
  <c r="K47" i="15"/>
  <c r="L47" i="15" s="1"/>
  <c r="N47" i="15" s="1"/>
  <c r="K91" i="15"/>
  <c r="L91" i="15" s="1"/>
  <c r="O91" i="15" s="1"/>
  <c r="K107" i="15"/>
  <c r="L107" i="15" s="1"/>
  <c r="N107" i="15" s="1"/>
  <c r="K87" i="15"/>
  <c r="L87" i="15" s="1"/>
  <c r="N87" i="15" s="1"/>
  <c r="K97" i="15"/>
  <c r="L97" i="15" s="1"/>
  <c r="O255" i="15"/>
  <c r="K255" i="15"/>
  <c r="J255" i="15"/>
  <c r="K112" i="15"/>
  <c r="L112" i="15" s="1"/>
  <c r="N112" i="15" s="1"/>
  <c r="O164" i="15"/>
  <c r="K44" i="15"/>
  <c r="L44" i="15" s="1"/>
  <c r="K102" i="15"/>
  <c r="L102" i="15" s="1"/>
  <c r="O102" i="15" s="1"/>
  <c r="K94" i="15"/>
  <c r="L94" i="15" s="1"/>
  <c r="O94" i="15" s="1"/>
  <c r="N50" i="15"/>
  <c r="O50" i="15"/>
  <c r="N96" i="15"/>
  <c r="O96" i="15"/>
  <c r="O92" i="15"/>
  <c r="N40" i="15"/>
  <c r="N91" i="15"/>
  <c r="N60" i="15"/>
  <c r="O60" i="15"/>
  <c r="O87" i="15"/>
  <c r="O97" i="15"/>
  <c r="N94" i="15"/>
  <c r="N102" i="15"/>
  <c r="N46" i="15"/>
  <c r="O46" i="15"/>
  <c r="O55" i="15"/>
  <c r="N55" i="15"/>
  <c r="L42" i="15"/>
  <c r="L69" i="15"/>
  <c r="N70" i="15"/>
  <c r="O70" i="15"/>
  <c r="K79" i="15"/>
  <c r="L79" i="15" s="1"/>
  <c r="J164" i="15"/>
  <c r="K378" i="15"/>
  <c r="D202" i="15"/>
  <c r="G18" i="15"/>
  <c r="K18" i="15" s="1"/>
  <c r="L18" i="15" s="1"/>
  <c r="I248" i="15"/>
  <c r="I76" i="15"/>
  <c r="G262" i="15"/>
  <c r="G240" i="15"/>
  <c r="G171" i="15"/>
  <c r="J110" i="15"/>
  <c r="G82" i="15"/>
  <c r="K82" i="15" s="1"/>
  <c r="L82" i="15" s="1"/>
  <c r="G294" i="15"/>
  <c r="G134" i="15"/>
  <c r="G58" i="15"/>
  <c r="G86" i="15"/>
  <c r="G77" i="15"/>
  <c r="J374" i="15"/>
  <c r="G221" i="15"/>
  <c r="D253" i="15"/>
  <c r="N374" i="15"/>
  <c r="D76" i="15"/>
  <c r="J76" i="15" s="1"/>
  <c r="G138" i="15"/>
  <c r="O374" i="15"/>
  <c r="D138" i="15"/>
  <c r="K138" i="15" s="1"/>
  <c r="D248" i="15"/>
  <c r="H248" i="15"/>
  <c r="H76" i="15"/>
  <c r="G341" i="15"/>
  <c r="D221" i="15"/>
  <c r="O221" i="15" s="1"/>
  <c r="D245" i="15"/>
  <c r="G109" i="15"/>
  <c r="K109" i="15" s="1"/>
  <c r="L109" i="15" s="1"/>
  <c r="G224" i="15"/>
  <c r="G207" i="15"/>
  <c r="H13" i="15"/>
  <c r="D276" i="15"/>
  <c r="I276" i="15"/>
  <c r="G178" i="15"/>
  <c r="G358" i="15"/>
  <c r="G53" i="15"/>
  <c r="G295" i="15"/>
  <c r="D301" i="15"/>
  <c r="G119" i="15"/>
  <c r="J181" i="15"/>
  <c r="D24" i="15"/>
  <c r="O24" i="15" s="1"/>
  <c r="D157" i="15"/>
  <c r="L157" i="15" s="1"/>
  <c r="D280" i="15"/>
  <c r="I374" i="15"/>
  <c r="G280" i="15"/>
  <c r="G353" i="15"/>
  <c r="D165" i="15"/>
  <c r="D169" i="15"/>
  <c r="J169" i="15" s="1"/>
  <c r="D144" i="15"/>
  <c r="K144" i="15" s="1"/>
  <c r="G144" i="15"/>
  <c r="D244" i="15"/>
  <c r="J244" i="15" s="1"/>
  <c r="D213" i="15"/>
  <c r="D31" i="15"/>
  <c r="J31" i="15" s="1"/>
  <c r="D104" i="15"/>
  <c r="J104" i="15" s="1"/>
  <c r="G104" i="15"/>
  <c r="D116" i="15"/>
  <c r="G116" i="15"/>
  <c r="D120" i="15"/>
  <c r="D56" i="15"/>
  <c r="O56" i="15" s="1"/>
  <c r="G56" i="15"/>
  <c r="G160" i="15"/>
  <c r="D150" i="15"/>
  <c r="G150" i="15"/>
  <c r="D190" i="15"/>
  <c r="G190" i="15"/>
  <c r="G154" i="15"/>
  <c r="D118" i="15"/>
  <c r="L118" i="15" s="1"/>
  <c r="G118" i="15"/>
  <c r="D106" i="15"/>
  <c r="J106" i="15" s="1"/>
  <c r="G73" i="15"/>
  <c r="K73" i="15" s="1"/>
  <c r="G356" i="15"/>
  <c r="L386" i="15"/>
  <c r="L110" i="15"/>
  <c r="K110" i="15"/>
  <c r="D227" i="15"/>
  <c r="J227" i="15" s="1"/>
  <c r="H389" i="15"/>
  <c r="K181" i="15"/>
  <c r="G166" i="15"/>
  <c r="D166" i="15"/>
  <c r="I365" i="15"/>
  <c r="H365" i="15"/>
  <c r="I20" i="15"/>
  <c r="H20" i="15"/>
  <c r="H195" i="15"/>
  <c r="I195" i="15"/>
  <c r="H113" i="15"/>
  <c r="I113" i="15"/>
  <c r="H120" i="15"/>
  <c r="I120" i="15"/>
  <c r="H253" i="15"/>
  <c r="H202" i="15"/>
  <c r="I202" i="15"/>
  <c r="I90" i="15"/>
  <c r="H90" i="15"/>
  <c r="H89" i="15"/>
  <c r="I89" i="15"/>
  <c r="H199" i="15"/>
  <c r="I199" i="15"/>
  <c r="H105" i="15"/>
  <c r="I105" i="15"/>
  <c r="H296" i="15"/>
  <c r="I296" i="15"/>
  <c r="H323" i="15"/>
  <c r="I323" i="15"/>
  <c r="H264" i="15"/>
  <c r="I264" i="15"/>
  <c r="H25" i="15"/>
  <c r="I25" i="15"/>
  <c r="I114" i="15"/>
  <c r="H114" i="15"/>
  <c r="H142" i="15"/>
  <c r="I142" i="15"/>
  <c r="H147" i="15"/>
  <c r="H174" i="15"/>
  <c r="I174" i="15"/>
  <c r="H237" i="15"/>
  <c r="I237" i="15"/>
  <c r="H121" i="15"/>
  <c r="I121" i="15"/>
  <c r="I343" i="15"/>
  <c r="H343" i="15"/>
  <c r="I352" i="15"/>
  <c r="H352" i="15"/>
  <c r="H37" i="15"/>
  <c r="I37" i="15"/>
  <c r="H312" i="15"/>
  <c r="I312" i="15"/>
  <c r="I83" i="15"/>
  <c r="H83" i="15"/>
  <c r="H108" i="15"/>
  <c r="I108" i="15"/>
  <c r="I143" i="15"/>
  <c r="H77" i="15"/>
  <c r="I77" i="15"/>
  <c r="H214" i="15"/>
  <c r="I214" i="15"/>
  <c r="H155" i="15"/>
  <c r="I155" i="15"/>
  <c r="H154" i="15"/>
  <c r="I154" i="15"/>
  <c r="I130" i="15"/>
  <c r="H130" i="15"/>
  <c r="H291" i="15"/>
  <c r="I291" i="15"/>
  <c r="I330" i="15"/>
  <c r="H330" i="15"/>
  <c r="I247" i="15"/>
  <c r="H226" i="15"/>
  <c r="I226" i="15"/>
  <c r="H66" i="15"/>
  <c r="I66" i="15"/>
  <c r="H230" i="15"/>
  <c r="I230" i="15"/>
  <c r="I176" i="15"/>
  <c r="H176" i="15"/>
  <c r="H207" i="15"/>
  <c r="I207" i="15"/>
  <c r="I127" i="15"/>
  <c r="H167" i="15"/>
  <c r="I167" i="15"/>
  <c r="H41" i="15"/>
  <c r="H32" i="15"/>
  <c r="I32" i="15"/>
  <c r="H132" i="15"/>
  <c r="I132" i="15"/>
  <c r="H216" i="15"/>
  <c r="I216" i="15"/>
  <c r="H140" i="15"/>
  <c r="I140" i="15"/>
  <c r="H62" i="15"/>
  <c r="I62" i="15"/>
  <c r="I24" i="15"/>
  <c r="H24" i="15"/>
  <c r="K342" i="15"/>
  <c r="D99" i="15"/>
  <c r="J99" i="15" s="1"/>
  <c r="G99" i="15"/>
  <c r="J26" i="15"/>
  <c r="K26" i="15"/>
  <c r="N26" i="15"/>
  <c r="D141" i="15"/>
  <c r="G141" i="15"/>
  <c r="G106" i="15"/>
  <c r="K106" i="15" s="1"/>
  <c r="L106" i="15" s="1"/>
  <c r="G123" i="15"/>
  <c r="K123" i="15" s="1"/>
  <c r="O26" i="15"/>
  <c r="D261" i="15"/>
  <c r="D243" i="15"/>
  <c r="D252" i="15"/>
  <c r="G252" i="15"/>
  <c r="D187" i="15"/>
  <c r="J187" i="15" s="1"/>
  <c r="G251" i="15"/>
  <c r="D80" i="15"/>
  <c r="J80" i="15" s="1"/>
  <c r="G80" i="15"/>
  <c r="D256" i="15"/>
  <c r="K256" i="15" s="1"/>
  <c r="G256" i="15"/>
  <c r="I41" i="15"/>
  <c r="D267" i="15"/>
  <c r="G267" i="15"/>
  <c r="D72" i="15"/>
  <c r="J72" i="15" s="1"/>
  <c r="G72" i="15"/>
  <c r="G283" i="15"/>
  <c r="G359" i="15"/>
  <c r="G261" i="15"/>
  <c r="G24" i="15"/>
  <c r="O342" i="15"/>
  <c r="D199" i="15"/>
  <c r="J199" i="15" s="1"/>
  <c r="G199" i="15"/>
  <c r="D182" i="15"/>
  <c r="L182" i="15" s="1"/>
  <c r="D130" i="15"/>
  <c r="D45" i="15"/>
  <c r="N45" i="15" s="1"/>
  <c r="G45" i="15"/>
  <c r="D113" i="15"/>
  <c r="J113" i="15" s="1"/>
  <c r="D163" i="15"/>
  <c r="G163" i="15"/>
  <c r="O110" i="15"/>
  <c r="D291" i="15"/>
  <c r="G291" i="15"/>
  <c r="D238" i="15"/>
  <c r="O238" i="15" s="1"/>
  <c r="G238" i="15"/>
  <c r="D65" i="15"/>
  <c r="K65" i="15" s="1"/>
  <c r="D207" i="15"/>
  <c r="K207" i="15" s="1"/>
  <c r="D154" i="15"/>
  <c r="I357" i="15"/>
  <c r="D176" i="15"/>
  <c r="D114" i="15"/>
  <c r="D37" i="15"/>
  <c r="J37" i="15" s="1"/>
  <c r="D226" i="15"/>
  <c r="D143" i="15"/>
  <c r="D155" i="15"/>
  <c r="J155" i="15" s="1"/>
  <c r="D132" i="15"/>
  <c r="O386" i="15"/>
  <c r="N342" i="15"/>
  <c r="D343" i="15"/>
  <c r="D312" i="15"/>
  <c r="H127" i="15"/>
  <c r="D127" i="15"/>
  <c r="J127" i="15" s="1"/>
  <c r="D142" i="15"/>
  <c r="N386" i="15"/>
  <c r="J342" i="15"/>
  <c r="D352" i="15"/>
  <c r="D230" i="15"/>
  <c r="J230" i="15" s="1"/>
  <c r="D195" i="15"/>
  <c r="D147" i="15"/>
  <c r="L147" i="15" s="1"/>
  <c r="N147" i="15" s="1"/>
  <c r="I147" i="15"/>
  <c r="D83" i="15"/>
  <c r="J83" i="15" s="1"/>
  <c r="D214" i="15"/>
  <c r="D216" i="15"/>
  <c r="D66" i="15"/>
  <c r="K66" i="15" s="1"/>
  <c r="D365" i="15"/>
  <c r="D330" i="15"/>
  <c r="L330" i="15" s="1"/>
  <c r="D296" i="15"/>
  <c r="D247" i="15"/>
  <c r="J247" i="15" s="1"/>
  <c r="D264" i="15"/>
  <c r="D20" i="15"/>
  <c r="D167" i="15"/>
  <c r="D77" i="15"/>
  <c r="J77" i="15" s="1"/>
  <c r="D108" i="15"/>
  <c r="G21" i="15"/>
  <c r="L378" i="15"/>
  <c r="N378" i="15" s="1"/>
  <c r="L164" i="15"/>
  <c r="N164" i="15" s="1"/>
  <c r="K286" i="15"/>
  <c r="J286" i="15"/>
  <c r="O286" i="15"/>
  <c r="J177" i="15"/>
  <c r="K177" i="15"/>
  <c r="O177" i="15"/>
  <c r="O89" i="15"/>
  <c r="J89" i="15"/>
  <c r="J232" i="15"/>
  <c r="K232" i="15"/>
  <c r="O232" i="15"/>
  <c r="K133" i="15"/>
  <c r="J133" i="15"/>
  <c r="O133" i="15"/>
  <c r="L133" i="15"/>
  <c r="N133" i="15"/>
  <c r="L36" i="15"/>
  <c r="K36" i="15"/>
  <c r="J36" i="15"/>
  <c r="O36" i="15"/>
  <c r="N36" i="15"/>
  <c r="K331" i="15"/>
  <c r="O331" i="15"/>
  <c r="J331" i="15"/>
  <c r="L364" i="15"/>
  <c r="J364" i="15"/>
  <c r="N364" i="15"/>
  <c r="K364" i="15"/>
  <c r="O364" i="15"/>
  <c r="L316" i="15"/>
  <c r="K316" i="15"/>
  <c r="J316" i="15"/>
  <c r="O316" i="15"/>
  <c r="N316" i="15"/>
  <c r="J153" i="15"/>
  <c r="L153" i="15" s="1"/>
  <c r="N153" i="15" s="1"/>
  <c r="O153" i="15"/>
  <c r="K153" i="15"/>
  <c r="K35" i="15"/>
  <c r="J35" i="15"/>
  <c r="O35" i="15"/>
  <c r="K51" i="15"/>
  <c r="L51" i="15"/>
  <c r="O51" i="15"/>
  <c r="J51" i="15"/>
  <c r="N51" i="15"/>
  <c r="L302" i="15"/>
  <c r="K302" i="15"/>
  <c r="J302" i="15"/>
  <c r="N302" i="15"/>
  <c r="O302" i="15"/>
  <c r="O299" i="15"/>
  <c r="K168" i="15"/>
  <c r="J168" i="15"/>
  <c r="L168" i="15" s="1"/>
  <c r="N168" i="15" s="1"/>
  <c r="O168" i="15"/>
  <c r="J88" i="15"/>
  <c r="O88" i="15"/>
  <c r="J253" i="15"/>
  <c r="O253" i="15"/>
  <c r="J149" i="15"/>
  <c r="K149" i="15"/>
  <c r="O149" i="15"/>
  <c r="K124" i="15"/>
  <c r="L124" i="15"/>
  <c r="J124" i="15"/>
  <c r="O124" i="15"/>
  <c r="N124" i="15"/>
  <c r="K34" i="15"/>
  <c r="L34" i="15"/>
  <c r="N34" i="15"/>
  <c r="O34" i="15"/>
  <c r="J34" i="15"/>
  <c r="K74" i="15"/>
  <c r="L74" i="15"/>
  <c r="J74" i="15"/>
  <c r="N74" i="15"/>
  <c r="O74" i="15"/>
  <c r="K67" i="15"/>
  <c r="L67" i="15"/>
  <c r="J67" i="15"/>
  <c r="N67" i="15"/>
  <c r="O67" i="15"/>
  <c r="O13" i="15"/>
  <c r="K13" i="15"/>
  <c r="L13" i="15"/>
  <c r="N13" i="15"/>
  <c r="J13" i="15"/>
  <c r="K58" i="15"/>
  <c r="L58" i="15"/>
  <c r="O58" i="15"/>
  <c r="N58" i="15"/>
  <c r="J58" i="15"/>
  <c r="K340" i="15"/>
  <c r="O340" i="15"/>
  <c r="J340" i="15"/>
  <c r="L348" i="15"/>
  <c r="J348" i="15"/>
  <c r="K348" i="15"/>
  <c r="N348" i="15"/>
  <c r="O348" i="15"/>
  <c r="K355" i="15"/>
  <c r="L355" i="15"/>
  <c r="O355" i="15"/>
  <c r="N355" i="15"/>
  <c r="J355" i="15"/>
  <c r="J123" i="15"/>
  <c r="O123" i="15"/>
  <c r="L362" i="15"/>
  <c r="K362" i="15"/>
  <c r="J362" i="15"/>
  <c r="N362" i="15"/>
  <c r="O362" i="15"/>
  <c r="K388" i="15"/>
  <c r="J388" i="15"/>
  <c r="O388" i="15"/>
  <c r="J239" i="15"/>
  <c r="K239" i="15"/>
  <c r="O239" i="15"/>
  <c r="J233" i="15"/>
  <c r="K233" i="15"/>
  <c r="O233" i="15"/>
  <c r="K161" i="15"/>
  <c r="L161" i="15"/>
  <c r="J161" i="15"/>
  <c r="O161" i="15"/>
  <c r="N161" i="15"/>
  <c r="J121" i="15"/>
  <c r="O121" i="15"/>
  <c r="L71" i="15"/>
  <c r="K71" i="15"/>
  <c r="N71" i="15"/>
  <c r="O71" i="15"/>
  <c r="J71" i="15"/>
  <c r="K293" i="15"/>
  <c r="J293" i="15"/>
  <c r="O293" i="15"/>
  <c r="J229" i="15"/>
  <c r="L229" i="15"/>
  <c r="K229" i="15"/>
  <c r="N229" i="15"/>
  <c r="O229" i="15"/>
  <c r="K192" i="15"/>
  <c r="J192" i="15"/>
  <c r="O192" i="15"/>
  <c r="J105" i="15"/>
  <c r="O105" i="15"/>
  <c r="L360" i="15"/>
  <c r="K360" i="15"/>
  <c r="J360" i="15"/>
  <c r="N360" i="15"/>
  <c r="O360" i="15"/>
  <c r="K297" i="15"/>
  <c r="L297" i="15"/>
  <c r="J297" i="15"/>
  <c r="N297" i="15"/>
  <c r="O297" i="15"/>
  <c r="J234" i="15"/>
  <c r="K234" i="15"/>
  <c r="O234" i="15"/>
  <c r="L234" i="15"/>
  <c r="N234" i="15"/>
  <c r="L194" i="15"/>
  <c r="N194" i="15" s="1"/>
  <c r="K194" i="15"/>
  <c r="J194" i="15"/>
  <c r="O194" i="15"/>
  <c r="K134" i="15"/>
  <c r="L134" i="15"/>
  <c r="O134" i="15"/>
  <c r="J134" i="15"/>
  <c r="N134" i="15"/>
  <c r="L385" i="15"/>
  <c r="K385" i="15"/>
  <c r="J385" i="15"/>
  <c r="N385" i="15"/>
  <c r="O385" i="15"/>
  <c r="J200" i="15"/>
  <c r="L200" i="15"/>
  <c r="O200" i="15"/>
  <c r="K200" i="15"/>
  <c r="N200" i="15"/>
  <c r="K169" i="15"/>
  <c r="L169" i="15"/>
  <c r="N169" i="15"/>
  <c r="K119" i="15"/>
  <c r="L119" i="15"/>
  <c r="J119" i="15"/>
  <c r="O119" i="15"/>
  <c r="N119" i="15"/>
  <c r="K98" i="15"/>
  <c r="O98" i="15"/>
  <c r="J98" i="15"/>
  <c r="L384" i="15"/>
  <c r="K384" i="15"/>
  <c r="J384" i="15"/>
  <c r="N384" i="15"/>
  <c r="O384" i="15"/>
  <c r="K321" i="15"/>
  <c r="O321" i="15"/>
  <c r="J321" i="15"/>
  <c r="K309" i="15"/>
  <c r="J309" i="15"/>
  <c r="O309" i="15"/>
  <c r="L320" i="15"/>
  <c r="N320" i="15"/>
  <c r="K320" i="15"/>
  <c r="O320" i="15"/>
  <c r="J320" i="15"/>
  <c r="L283" i="15"/>
  <c r="K283" i="15"/>
  <c r="O283" i="15"/>
  <c r="J283" i="15"/>
  <c r="N283" i="15"/>
  <c r="J249" i="15"/>
  <c r="O249" i="15"/>
  <c r="O163" i="15"/>
  <c r="K272" i="15"/>
  <c r="N272" i="15"/>
  <c r="L272" i="15"/>
  <c r="O272" i="15"/>
  <c r="J272" i="15"/>
  <c r="J235" i="15"/>
  <c r="K235" i="15"/>
  <c r="O235" i="15"/>
  <c r="J222" i="15"/>
  <c r="K222" i="15"/>
  <c r="L222" i="15"/>
  <c r="N222" i="15"/>
  <c r="O222" i="15"/>
  <c r="K86" i="15"/>
  <c r="L86" i="15"/>
  <c r="J86" i="15"/>
  <c r="O86" i="15"/>
  <c r="N86" i="15"/>
  <c r="K53" i="15"/>
  <c r="L53" i="15"/>
  <c r="O53" i="15"/>
  <c r="J53" i="15"/>
  <c r="N53" i="15"/>
  <c r="L27" i="15"/>
  <c r="K27" i="15"/>
  <c r="J27" i="15"/>
  <c r="O27" i="15"/>
  <c r="N27" i="15"/>
  <c r="K304" i="15"/>
  <c r="L207" i="15"/>
  <c r="N207" i="15"/>
  <c r="J238" i="15"/>
  <c r="K162" i="15"/>
  <c r="L162" i="15"/>
  <c r="O162" i="15"/>
  <c r="J162" i="15"/>
  <c r="N162" i="15"/>
  <c r="K381" i="15"/>
  <c r="J381" i="15"/>
  <c r="O381" i="15"/>
  <c r="O258" i="15"/>
  <c r="K258" i="15"/>
  <c r="L258" i="15"/>
  <c r="N258" i="15"/>
  <c r="J258" i="15"/>
  <c r="L41" i="15"/>
  <c r="K41" i="15"/>
  <c r="O41" i="15"/>
  <c r="J41" i="15"/>
  <c r="N41" i="15"/>
  <c r="L227" i="15"/>
  <c r="L145" i="15"/>
  <c r="K145" i="15"/>
  <c r="J145" i="15"/>
  <c r="O145" i="15"/>
  <c r="N145" i="15"/>
  <c r="K339" i="15"/>
  <c r="O339" i="15"/>
  <c r="J339" i="15"/>
  <c r="K319" i="15"/>
  <c r="J319" i="15"/>
  <c r="O319" i="15"/>
  <c r="L319" i="15"/>
  <c r="N319" i="15" s="1"/>
  <c r="K315" i="15"/>
  <c r="J315" i="15"/>
  <c r="L315" i="15" s="1"/>
  <c r="N315" i="15" s="1"/>
  <c r="O315" i="15"/>
  <c r="J217" i="15"/>
  <c r="K217" i="15"/>
  <c r="O217" i="15"/>
  <c r="K276" i="15"/>
  <c r="L276" i="15"/>
  <c r="N276" i="15"/>
  <c r="O276" i="15"/>
  <c r="J276" i="15"/>
  <c r="J204" i="15"/>
  <c r="K204" i="15"/>
  <c r="O204" i="15"/>
  <c r="L383" i="15"/>
  <c r="K383" i="15"/>
  <c r="J383" i="15"/>
  <c r="N383" i="15"/>
  <c r="O383" i="15"/>
  <c r="L356" i="15"/>
  <c r="K356" i="15"/>
  <c r="O356" i="15"/>
  <c r="J356" i="15"/>
  <c r="N356" i="15"/>
  <c r="J240" i="15"/>
  <c r="K240" i="15"/>
  <c r="L240" i="15"/>
  <c r="N240" i="15"/>
  <c r="O240" i="15"/>
  <c r="K30" i="15"/>
  <c r="L30" i="15"/>
  <c r="O30" i="15"/>
  <c r="J30" i="15"/>
  <c r="N30" i="15"/>
  <c r="L379" i="15"/>
  <c r="K379" i="15"/>
  <c r="O379" i="15"/>
  <c r="J379" i="15"/>
  <c r="N379" i="15"/>
  <c r="K332" i="15"/>
  <c r="O332" i="15"/>
  <c r="J332" i="15"/>
  <c r="K391" i="15"/>
  <c r="L391" i="15"/>
  <c r="N391" i="15"/>
  <c r="O391" i="15"/>
  <c r="J391" i="15"/>
  <c r="L17" i="15"/>
  <c r="O17" i="15"/>
  <c r="K17" i="15"/>
  <c r="J17" i="15"/>
  <c r="N17" i="15"/>
  <c r="L313" i="15"/>
  <c r="K313" i="15"/>
  <c r="J313" i="15"/>
  <c r="O313" i="15"/>
  <c r="N313" i="15"/>
  <c r="K23" i="15"/>
  <c r="J23" i="15"/>
  <c r="O23" i="15"/>
  <c r="J236" i="15"/>
  <c r="O236" i="15"/>
  <c r="K236" i="15"/>
  <c r="J196" i="15"/>
  <c r="K196" i="15"/>
  <c r="O196" i="15"/>
  <c r="K268" i="15"/>
  <c r="N268" i="15"/>
  <c r="L268" i="15"/>
  <c r="O268" i="15"/>
  <c r="J268" i="15"/>
  <c r="L389" i="15"/>
  <c r="K389" i="15"/>
  <c r="N389" i="15"/>
  <c r="O389" i="15"/>
  <c r="J389" i="15"/>
  <c r="L369" i="15"/>
  <c r="K369" i="15"/>
  <c r="J369" i="15"/>
  <c r="N369" i="15"/>
  <c r="O369" i="15"/>
  <c r="J296" i="15"/>
  <c r="J223" i="15"/>
  <c r="K223" i="15"/>
  <c r="O223" i="15"/>
  <c r="J208" i="15"/>
  <c r="L208" i="15"/>
  <c r="K208" i="15"/>
  <c r="O208" i="15"/>
  <c r="N208" i="15"/>
  <c r="K14" i="15"/>
  <c r="J14" i="15"/>
  <c r="O14" i="15"/>
  <c r="J242" i="15"/>
  <c r="L242" i="15"/>
  <c r="K242" i="15"/>
  <c r="O242" i="15"/>
  <c r="N242" i="15"/>
  <c r="L287" i="15"/>
  <c r="N287" i="15" s="1"/>
  <c r="K287" i="15"/>
  <c r="J287" i="15"/>
  <c r="O287" i="15"/>
  <c r="L178" i="15"/>
  <c r="K178" i="15"/>
  <c r="O178" i="15"/>
  <c r="J178" i="15"/>
  <c r="N178" i="15"/>
  <c r="K135" i="15"/>
  <c r="J135" i="15"/>
  <c r="L135" i="15" s="1"/>
  <c r="N135" i="15" s="1"/>
  <c r="O135" i="15"/>
  <c r="J220" i="15"/>
  <c r="K220" i="15"/>
  <c r="O220" i="15"/>
  <c r="L15" i="15"/>
  <c r="K15" i="15"/>
  <c r="J15" i="15"/>
  <c r="O15" i="15"/>
  <c r="N15" i="15"/>
  <c r="K373" i="15"/>
  <c r="O373" i="15"/>
  <c r="J373" i="15"/>
  <c r="K262" i="15"/>
  <c r="O262" i="15"/>
  <c r="J262" i="15"/>
  <c r="L305" i="15"/>
  <c r="K305" i="15"/>
  <c r="J305" i="15"/>
  <c r="N305" i="15"/>
  <c r="O305" i="15"/>
  <c r="J120" i="15"/>
  <c r="O120" i="15"/>
  <c r="K270" i="15"/>
  <c r="L270" i="15"/>
  <c r="N270" i="15"/>
  <c r="O270" i="15"/>
  <c r="J270" i="15"/>
  <c r="O73" i="15"/>
  <c r="J73" i="15"/>
  <c r="L156" i="15"/>
  <c r="K156" i="15"/>
  <c r="J156" i="15"/>
  <c r="O156" i="15"/>
  <c r="N156" i="15"/>
  <c r="K129" i="15"/>
  <c r="L129" i="15"/>
  <c r="J129" i="15"/>
  <c r="O129" i="15"/>
  <c r="N129" i="15"/>
  <c r="K59" i="15"/>
  <c r="O59" i="15"/>
  <c r="J59" i="15"/>
  <c r="K38" i="15"/>
  <c r="L38" i="15"/>
  <c r="J38" i="15"/>
  <c r="N38" i="15"/>
  <c r="O38" i="15"/>
  <c r="J224" i="15"/>
  <c r="K224" i="15"/>
  <c r="O224" i="15"/>
  <c r="L183" i="15"/>
  <c r="K183" i="15"/>
  <c r="J183" i="15"/>
  <c r="O183" i="15"/>
  <c r="N183" i="15"/>
  <c r="K308" i="15"/>
  <c r="J308" i="15"/>
  <c r="O308" i="15"/>
  <c r="K295" i="15"/>
  <c r="J295" i="15"/>
  <c r="O295" i="15"/>
  <c r="K22" i="15"/>
  <c r="J22" i="15"/>
  <c r="O22" i="15"/>
  <c r="L300" i="15"/>
  <c r="K300" i="15"/>
  <c r="J300" i="15"/>
  <c r="N300" i="15"/>
  <c r="O300" i="15"/>
  <c r="L43" i="15"/>
  <c r="K43" i="15"/>
  <c r="O43" i="15"/>
  <c r="J43" i="15"/>
  <c r="N43" i="15"/>
  <c r="G351" i="15"/>
  <c r="H150" i="15"/>
  <c r="I150" i="15"/>
  <c r="D95" i="15"/>
  <c r="G95" i="15"/>
  <c r="G175" i="15"/>
  <c r="D128" i="15"/>
  <c r="G128" i="15"/>
  <c r="D64" i="15"/>
  <c r="G64" i="15"/>
  <c r="G329" i="15"/>
  <c r="I88" i="15"/>
  <c r="H88" i="15"/>
  <c r="G37" i="15"/>
  <c r="D237" i="15"/>
  <c r="G237" i="15"/>
  <c r="G195" i="15"/>
  <c r="G191" i="15"/>
  <c r="G202" i="15"/>
  <c r="G137" i="15"/>
  <c r="D137" i="15"/>
  <c r="D16" i="15"/>
  <c r="G16" i="15"/>
  <c r="E3" i="6"/>
  <c r="E2" i="6"/>
  <c r="E4" i="6"/>
  <c r="E5" i="6"/>
  <c r="O244" i="15" l="1"/>
  <c r="K299" i="15"/>
  <c r="O33" i="15"/>
  <c r="K333" i="15"/>
  <c r="N244" i="15"/>
  <c r="O304" i="15"/>
  <c r="N118" i="15"/>
  <c r="N54" i="15"/>
  <c r="J333" i="15"/>
  <c r="K351" i="15"/>
  <c r="L244" i="15"/>
  <c r="J118" i="15"/>
  <c r="K80" i="15"/>
  <c r="L80" i="15" s="1"/>
  <c r="K238" i="15"/>
  <c r="K99" i="15"/>
  <c r="L99" i="15" s="1"/>
  <c r="N99" i="15" s="1"/>
  <c r="D357" i="15"/>
  <c r="O357" i="15" s="1"/>
  <c r="K374" i="15"/>
  <c r="L374" i="15"/>
  <c r="D359" i="15"/>
  <c r="D338" i="15"/>
  <c r="D353" i="15"/>
  <c r="N353" i="15" s="1"/>
  <c r="K104" i="15"/>
  <c r="L104" i="15" s="1"/>
  <c r="O104" i="15" s="1"/>
  <c r="L167" i="15"/>
  <c r="K167" i="15"/>
  <c r="J167" i="15"/>
  <c r="L214" i="15"/>
  <c r="J214" i="15"/>
  <c r="K214" i="15"/>
  <c r="L195" i="15"/>
  <c r="J195" i="15"/>
  <c r="K195" i="15"/>
  <c r="K343" i="15"/>
  <c r="L343" i="15"/>
  <c r="J343" i="15"/>
  <c r="L226" i="15"/>
  <c r="J226" i="15"/>
  <c r="K226" i="15"/>
  <c r="L130" i="15"/>
  <c r="J130" i="15"/>
  <c r="K130" i="15"/>
  <c r="L267" i="15"/>
  <c r="J267" i="15"/>
  <c r="K267" i="15"/>
  <c r="J252" i="15"/>
  <c r="L252" i="15"/>
  <c r="K252" i="15"/>
  <c r="L116" i="15"/>
  <c r="J116" i="15"/>
  <c r="K116" i="15"/>
  <c r="K213" i="15"/>
  <c r="L213" i="15"/>
  <c r="J213" i="15"/>
  <c r="N277" i="15"/>
  <c r="O277" i="15"/>
  <c r="O337" i="15"/>
  <c r="N337" i="15"/>
  <c r="N259" i="15"/>
  <c r="O259" i="15"/>
  <c r="O179" i="15"/>
  <c r="N179" i="15"/>
  <c r="N317" i="15"/>
  <c r="O317" i="15"/>
  <c r="O250" i="15"/>
  <c r="N250" i="15"/>
  <c r="N350" i="15"/>
  <c r="O350" i="15"/>
  <c r="O336" i="15"/>
  <c r="N336" i="15"/>
  <c r="N289" i="15"/>
  <c r="O289" i="15"/>
  <c r="N251" i="15"/>
  <c r="O251" i="15"/>
  <c r="O335" i="15"/>
  <c r="N335" i="15"/>
  <c r="L365" i="15"/>
  <c r="K365" i="15"/>
  <c r="J365" i="15"/>
  <c r="K141" i="15"/>
  <c r="L141" i="15"/>
  <c r="J141" i="15"/>
  <c r="L202" i="15"/>
  <c r="J202" i="15"/>
  <c r="K202" i="15"/>
  <c r="K187" i="15"/>
  <c r="L187" i="15" s="1"/>
  <c r="N187" i="15" s="1"/>
  <c r="N370" i="15"/>
  <c r="O370" i="15"/>
  <c r="O188" i="15"/>
  <c r="N188" i="15"/>
  <c r="O329" i="15"/>
  <c r="N329" i="15"/>
  <c r="N180" i="15"/>
  <c r="O180" i="15"/>
  <c r="N363" i="15"/>
  <c r="O363" i="15"/>
  <c r="N282" i="15"/>
  <c r="O282" i="15"/>
  <c r="N241" i="15"/>
  <c r="O241" i="15"/>
  <c r="N210" i="15"/>
  <c r="O210" i="15"/>
  <c r="N260" i="15"/>
  <c r="O260" i="15"/>
  <c r="O198" i="15"/>
  <c r="N198" i="15"/>
  <c r="N358" i="15"/>
  <c r="O358" i="15"/>
  <c r="N191" i="15"/>
  <c r="O191" i="15"/>
  <c r="N115" i="15"/>
  <c r="O115" i="15"/>
  <c r="L166" i="15"/>
  <c r="J166" i="15"/>
  <c r="K166" i="15"/>
  <c r="L338" i="15"/>
  <c r="K338" i="15"/>
  <c r="J338" i="15"/>
  <c r="L165" i="15"/>
  <c r="J165" i="15"/>
  <c r="K165" i="15"/>
  <c r="K280" i="15"/>
  <c r="L280" i="15"/>
  <c r="J280" i="15"/>
  <c r="O49" i="15"/>
  <c r="N333" i="15"/>
  <c r="O333" i="15"/>
  <c r="N122" i="15"/>
  <c r="O122" i="15"/>
  <c r="N310" i="15"/>
  <c r="O310" i="15"/>
  <c r="O290" i="15"/>
  <c r="N290" i="15"/>
  <c r="O344" i="15"/>
  <c r="N344" i="15"/>
  <c r="N351" i="15"/>
  <c r="O351" i="15"/>
  <c r="O125" i="15"/>
  <c r="N125" i="15"/>
  <c r="N393" i="15"/>
  <c r="O393" i="15"/>
  <c r="N376" i="15"/>
  <c r="O376" i="15"/>
  <c r="N341" i="15"/>
  <c r="O341" i="15"/>
  <c r="N219" i="15"/>
  <c r="O219" i="15"/>
  <c r="L352" i="15"/>
  <c r="J352" i="15"/>
  <c r="K352" i="15"/>
  <c r="L312" i="15"/>
  <c r="J312" i="15"/>
  <c r="K312" i="15"/>
  <c r="K114" i="15"/>
  <c r="L114" i="15"/>
  <c r="J114" i="15"/>
  <c r="L154" i="15"/>
  <c r="K154" i="15"/>
  <c r="J154" i="15"/>
  <c r="J261" i="15"/>
  <c r="L261" i="15"/>
  <c r="K261" i="15"/>
  <c r="N127" i="15"/>
  <c r="L216" i="15"/>
  <c r="J216" i="15"/>
  <c r="K216" i="15"/>
  <c r="L291" i="15"/>
  <c r="K291" i="15"/>
  <c r="J291" i="15"/>
  <c r="K190" i="15"/>
  <c r="L190" i="15"/>
  <c r="J190" i="15"/>
  <c r="L301" i="15"/>
  <c r="J301" i="15"/>
  <c r="K301" i="15"/>
  <c r="L245" i="15"/>
  <c r="J245" i="15"/>
  <c r="K245" i="15"/>
  <c r="N294" i="15"/>
  <c r="O294" i="15"/>
  <c r="N212" i="15"/>
  <c r="O212" i="15"/>
  <c r="N197" i="15"/>
  <c r="O197" i="15"/>
  <c r="N215" i="15"/>
  <c r="O215" i="15"/>
  <c r="N392" i="15"/>
  <c r="O392" i="15"/>
  <c r="N361" i="15"/>
  <c r="O361" i="15"/>
  <c r="N140" i="15"/>
  <c r="O140" i="15"/>
  <c r="N160" i="15"/>
  <c r="O160" i="15"/>
  <c r="N323" i="15"/>
  <c r="O323" i="15"/>
  <c r="N174" i="15"/>
  <c r="O174" i="15"/>
  <c r="N377" i="15"/>
  <c r="O377" i="15"/>
  <c r="O382" i="15"/>
  <c r="N382" i="15"/>
  <c r="O171" i="15"/>
  <c r="N171" i="15"/>
  <c r="N186" i="15"/>
  <c r="O186" i="15"/>
  <c r="N345" i="15"/>
  <c r="O345" i="15"/>
  <c r="N117" i="15"/>
  <c r="O117" i="15"/>
  <c r="N349" i="15"/>
  <c r="O349" i="15"/>
  <c r="N175" i="15"/>
  <c r="O175" i="15"/>
  <c r="O107" i="15"/>
  <c r="O111" i="15"/>
  <c r="O112" i="15"/>
  <c r="O47" i="15"/>
  <c r="J24" i="15"/>
  <c r="O199" i="15"/>
  <c r="K76" i="15"/>
  <c r="L76" i="15" s="1"/>
  <c r="N76" i="15" s="1"/>
  <c r="O227" i="15"/>
  <c r="K221" i="15"/>
  <c r="N97" i="15"/>
  <c r="O230" i="15"/>
  <c r="N227" i="15"/>
  <c r="J221" i="15"/>
  <c r="K37" i="15"/>
  <c r="L37" i="15" s="1"/>
  <c r="N37" i="15" s="1"/>
  <c r="K227" i="15"/>
  <c r="N142" i="15"/>
  <c r="K147" i="15"/>
  <c r="K56" i="15"/>
  <c r="J138" i="15"/>
  <c r="O31" i="15"/>
  <c r="K83" i="15"/>
  <c r="L83" i="15" s="1"/>
  <c r="N83" i="15" s="1"/>
  <c r="K90" i="15"/>
  <c r="L90" i="15" s="1"/>
  <c r="O90" i="15" s="1"/>
  <c r="K62" i="15"/>
  <c r="L62" i="15" s="1"/>
  <c r="O62" i="15" s="1"/>
  <c r="K32" i="15"/>
  <c r="L32" i="15" s="1"/>
  <c r="K25" i="15"/>
  <c r="L25" i="15" s="1"/>
  <c r="N25" i="15" s="1"/>
  <c r="N106" i="15"/>
  <c r="O106" i="15"/>
  <c r="O99" i="15"/>
  <c r="N82" i="15"/>
  <c r="O82" i="15"/>
  <c r="N18" i="15"/>
  <c r="O18" i="15"/>
  <c r="N42" i="15"/>
  <c r="O42" i="15"/>
  <c r="K248" i="15"/>
  <c r="N80" i="15"/>
  <c r="O80" i="15"/>
  <c r="N109" i="15"/>
  <c r="O109" i="15"/>
  <c r="N79" i="15"/>
  <c r="O79" i="15"/>
  <c r="K89" i="15"/>
  <c r="L89" i="15" s="1"/>
  <c r="N89" i="15" s="1"/>
  <c r="N104" i="15"/>
  <c r="K77" i="15"/>
  <c r="L77" i="15" s="1"/>
  <c r="N44" i="15"/>
  <c r="O44" i="15"/>
  <c r="N69" i="15"/>
  <c r="O69" i="15"/>
  <c r="L331" i="15"/>
  <c r="N331" i="15" s="1"/>
  <c r="K72" i="15"/>
  <c r="L72" i="15" s="1"/>
  <c r="N72" i="15" s="1"/>
  <c r="O138" i="15"/>
  <c r="J144" i="15"/>
  <c r="L138" i="15"/>
  <c r="L238" i="15"/>
  <c r="N238" i="15" s="1"/>
  <c r="L309" i="15"/>
  <c r="N309" i="15" s="1"/>
  <c r="L340" i="15"/>
  <c r="N340" i="15" s="1"/>
  <c r="O45" i="15"/>
  <c r="K182" i="15"/>
  <c r="N157" i="15"/>
  <c r="L144" i="15"/>
  <c r="O155" i="15"/>
  <c r="N256" i="15"/>
  <c r="K157" i="15"/>
  <c r="O144" i="15"/>
  <c r="N138" i="15"/>
  <c r="J45" i="15"/>
  <c r="G249" i="15"/>
  <c r="K249" i="15" s="1"/>
  <c r="J248" i="15"/>
  <c r="L248" i="15" s="1"/>
  <c r="N248" i="15" s="1"/>
  <c r="J256" i="15"/>
  <c r="H247" i="15"/>
  <c r="K105" i="15"/>
  <c r="L105" i="15" s="1"/>
  <c r="N105" i="15" s="1"/>
  <c r="L181" i="15"/>
  <c r="N181" i="15" s="1"/>
  <c r="O113" i="15"/>
  <c r="L243" i="15"/>
  <c r="L256" i="15"/>
  <c r="O248" i="15"/>
  <c r="O72" i="15"/>
  <c r="J66" i="15"/>
  <c r="O65" i="15"/>
  <c r="O157" i="15"/>
  <c r="J157" i="15"/>
  <c r="N144" i="15"/>
  <c r="K163" i="15"/>
  <c r="K199" i="15"/>
  <c r="K120" i="15"/>
  <c r="L120" i="15" s="1"/>
  <c r="N120" i="15" s="1"/>
  <c r="K24" i="15"/>
  <c r="L24" i="15" s="1"/>
  <c r="N24" i="15" s="1"/>
  <c r="K121" i="15"/>
  <c r="L121" i="15" s="1"/>
  <c r="N121" i="15" s="1"/>
  <c r="K296" i="15"/>
  <c r="L127" i="15"/>
  <c r="L66" i="15"/>
  <c r="O147" i="15"/>
  <c r="L56" i="15"/>
  <c r="K359" i="15"/>
  <c r="L359" i="15" s="1"/>
  <c r="N359" i="15" s="1"/>
  <c r="J142" i="15"/>
  <c r="K142" i="15"/>
  <c r="I253" i="15"/>
  <c r="K253" i="15" s="1"/>
  <c r="K45" i="15"/>
  <c r="L45" i="15"/>
  <c r="L296" i="15"/>
  <c r="O127" i="15"/>
  <c r="K127" i="15"/>
  <c r="K31" i="15"/>
  <c r="K113" i="15"/>
  <c r="L113" i="15" s="1"/>
  <c r="N113" i="15" s="1"/>
  <c r="O66" i="15"/>
  <c r="J147" i="15"/>
  <c r="O207" i="15"/>
  <c r="J163" i="15"/>
  <c r="O118" i="15"/>
  <c r="K118" i="15"/>
  <c r="O169" i="15"/>
  <c r="J56" i="15"/>
  <c r="O142" i="15"/>
  <c r="L142" i="15"/>
  <c r="H143" i="15"/>
  <c r="K143" i="15" s="1"/>
  <c r="H357" i="15"/>
  <c r="G157" i="15"/>
  <c r="G227" i="15"/>
  <c r="O296" i="15"/>
  <c r="K244" i="15"/>
  <c r="J357" i="15"/>
  <c r="N296" i="15"/>
  <c r="N330" i="15"/>
  <c r="N66" i="15"/>
  <c r="J207" i="15"/>
  <c r="O243" i="15"/>
  <c r="N56" i="15"/>
  <c r="O256" i="15"/>
  <c r="K230" i="15"/>
  <c r="L230" i="15" s="1"/>
  <c r="N230" i="15" s="1"/>
  <c r="K155" i="15"/>
  <c r="L155" i="15" s="1"/>
  <c r="N155" i="15" s="1"/>
  <c r="O176" i="15"/>
  <c r="K330" i="15"/>
  <c r="N182" i="15"/>
  <c r="O182" i="15"/>
  <c r="K243" i="15"/>
  <c r="J243" i="15"/>
  <c r="J65" i="15"/>
  <c r="L65" i="15" s="1"/>
  <c r="N65" i="15" s="1"/>
  <c r="N108" i="15"/>
  <c r="O143" i="15"/>
  <c r="K176" i="15"/>
  <c r="J182" i="15"/>
  <c r="K108" i="15"/>
  <c r="L223" i="15"/>
  <c r="N223" i="15" s="1"/>
  <c r="L381" i="15"/>
  <c r="N381" i="15" s="1"/>
  <c r="N243" i="15"/>
  <c r="J108" i="15"/>
  <c r="J143" i="15"/>
  <c r="J176" i="15"/>
  <c r="L176" i="15"/>
  <c r="O247" i="15"/>
  <c r="J264" i="15"/>
  <c r="L264" i="15"/>
  <c r="N264" i="15" s="1"/>
  <c r="O264" i="15"/>
  <c r="K264" i="15"/>
  <c r="N132" i="15"/>
  <c r="J132" i="15"/>
  <c r="L132" i="15"/>
  <c r="O132" i="15"/>
  <c r="K132" i="15"/>
  <c r="L108" i="15"/>
  <c r="J330" i="15"/>
  <c r="K247" i="15"/>
  <c r="K88" i="15"/>
  <c r="L88" i="15" s="1"/>
  <c r="N88" i="15" s="1"/>
  <c r="O108" i="15"/>
  <c r="L196" i="15"/>
  <c r="N196" i="15" s="1"/>
  <c r="N176" i="15"/>
  <c r="L217" i="15"/>
  <c r="N217" i="15" s="1"/>
  <c r="O330" i="15"/>
  <c r="L31" i="15"/>
  <c r="N31" i="15" s="1"/>
  <c r="L304" i="15"/>
  <c r="N304" i="15" s="1"/>
  <c r="L249" i="15"/>
  <c r="N249" i="15" s="1"/>
  <c r="L35" i="15"/>
  <c r="N35" i="15" s="1"/>
  <c r="L224" i="15"/>
  <c r="N224" i="15" s="1"/>
  <c r="L373" i="15"/>
  <c r="N373" i="15" s="1"/>
  <c r="L295" i="15"/>
  <c r="N295" i="15" s="1"/>
  <c r="L308" i="15"/>
  <c r="N308" i="15" s="1"/>
  <c r="L220" i="15"/>
  <c r="N220" i="15" s="1"/>
  <c r="L192" i="15"/>
  <c r="N192" i="15" s="1"/>
  <c r="L177" i="15"/>
  <c r="N177" i="15" s="1"/>
  <c r="L332" i="15"/>
  <c r="N332" i="15" s="1"/>
  <c r="L233" i="15"/>
  <c r="N233" i="15" s="1"/>
  <c r="L253" i="15"/>
  <c r="N253" i="15" s="1"/>
  <c r="L14" i="15"/>
  <c r="N14" i="15" s="1"/>
  <c r="L204" i="15"/>
  <c r="N204" i="15" s="1"/>
  <c r="L339" i="15"/>
  <c r="N339" i="15" s="1"/>
  <c r="L321" i="15"/>
  <c r="N321" i="15" s="1"/>
  <c r="L293" i="15"/>
  <c r="N293" i="15" s="1"/>
  <c r="L123" i="15"/>
  <c r="N123" i="15" s="1"/>
  <c r="L59" i="15"/>
  <c r="N59" i="15" s="1"/>
  <c r="L199" i="15"/>
  <c r="N199" i="15" s="1"/>
  <c r="L235" i="15"/>
  <c r="N235" i="15" s="1"/>
  <c r="L98" i="15"/>
  <c r="N98" i="15" s="1"/>
  <c r="L239" i="15"/>
  <c r="N239" i="15" s="1"/>
  <c r="L247" i="15"/>
  <c r="N247" i="15" s="1"/>
  <c r="L73" i="15"/>
  <c r="N73" i="15" s="1"/>
  <c r="L299" i="15"/>
  <c r="N299" i="15" s="1"/>
  <c r="L23" i="15"/>
  <c r="N23" i="15" s="1"/>
  <c r="L262" i="15"/>
  <c r="N262" i="15" s="1"/>
  <c r="K150" i="15"/>
  <c r="L150" i="15"/>
  <c r="O150" i="15"/>
  <c r="J150" i="15"/>
  <c r="N150" i="15"/>
  <c r="L236" i="15"/>
  <c r="N236" i="15" s="1"/>
  <c r="L149" i="15"/>
  <c r="N149" i="15" s="1"/>
  <c r="L232" i="15"/>
  <c r="N232" i="15" s="1"/>
  <c r="L137" i="15"/>
  <c r="J137" i="15"/>
  <c r="K137" i="15"/>
  <c r="O137" i="15"/>
  <c r="N137" i="15"/>
  <c r="J237" i="15"/>
  <c r="K237" i="15"/>
  <c r="O237" i="15"/>
  <c r="K128" i="15"/>
  <c r="J128" i="15"/>
  <c r="O128" i="15"/>
  <c r="L22" i="15"/>
  <c r="N22" i="15" s="1"/>
  <c r="L286" i="15"/>
  <c r="N286" i="15" s="1"/>
  <c r="K16" i="15"/>
  <c r="L16" i="15"/>
  <c r="J16" i="15"/>
  <c r="N16" i="15"/>
  <c r="O16" i="15"/>
  <c r="K64" i="15"/>
  <c r="O64" i="15"/>
  <c r="J64" i="15"/>
  <c r="K95" i="15"/>
  <c r="J95" i="15"/>
  <c r="O95" i="15"/>
  <c r="L388" i="15"/>
  <c r="N388" i="15" s="1"/>
  <c r="K20" i="15"/>
  <c r="J20" i="15"/>
  <c r="O20" i="15"/>
  <c r="K353" i="15" l="1"/>
  <c r="O353" i="15"/>
  <c r="L353" i="15"/>
  <c r="J353" i="15"/>
  <c r="O187" i="15"/>
  <c r="O359" i="15"/>
  <c r="J359" i="15"/>
  <c r="K357" i="15"/>
  <c r="L357" i="15"/>
  <c r="N357" i="15"/>
  <c r="N301" i="15"/>
  <c r="O301" i="15"/>
  <c r="N114" i="15"/>
  <c r="O114" i="15"/>
  <c r="N338" i="15"/>
  <c r="O338" i="15"/>
  <c r="O261" i="15"/>
  <c r="N261" i="15"/>
  <c r="N216" i="15"/>
  <c r="O216" i="15"/>
  <c r="O280" i="15"/>
  <c r="N280" i="15"/>
  <c r="N166" i="15"/>
  <c r="O166" i="15"/>
  <c r="N365" i="15"/>
  <c r="O365" i="15"/>
  <c r="N267" i="15"/>
  <c r="O267" i="15"/>
  <c r="N154" i="15"/>
  <c r="O154" i="15"/>
  <c r="N352" i="15"/>
  <c r="O352" i="15"/>
  <c r="O214" i="15"/>
  <c r="N214" i="15"/>
  <c r="O312" i="15"/>
  <c r="N312" i="15"/>
  <c r="O213" i="15"/>
  <c r="N213" i="15"/>
  <c r="N195" i="15"/>
  <c r="O195" i="15"/>
  <c r="N245" i="15"/>
  <c r="O245" i="15"/>
  <c r="N190" i="15"/>
  <c r="O190" i="15"/>
  <c r="N291" i="15"/>
  <c r="O291" i="15"/>
  <c r="O165" i="15"/>
  <c r="N165" i="15"/>
  <c r="O202" i="15"/>
  <c r="N202" i="15"/>
  <c r="N141" i="15"/>
  <c r="O141" i="15"/>
  <c r="N116" i="15"/>
  <c r="O116" i="15"/>
  <c r="N252" i="15"/>
  <c r="O252" i="15"/>
  <c r="N130" i="15"/>
  <c r="O130" i="15"/>
  <c r="N226" i="15"/>
  <c r="O226" i="15"/>
  <c r="N343" i="15"/>
  <c r="O343" i="15"/>
  <c r="O167" i="15"/>
  <c r="N167" i="15"/>
  <c r="O76" i="15"/>
  <c r="O37" i="15"/>
  <c r="O83" i="15"/>
  <c r="L221" i="15"/>
  <c r="N221" i="15" s="1"/>
  <c r="N90" i="15"/>
  <c r="L163" i="15"/>
  <c r="N163" i="15" s="1"/>
  <c r="N62" i="15"/>
  <c r="N32" i="15"/>
  <c r="O25" i="15"/>
  <c r="O32" i="15"/>
  <c r="N77" i="15"/>
  <c r="O77" i="15"/>
  <c r="L128" i="15"/>
  <c r="N128" i="15" s="1"/>
  <c r="L143" i="15"/>
  <c r="N143" i="15" s="1"/>
  <c r="L237" i="15"/>
  <c r="N237" i="15" s="1"/>
  <c r="L95" i="15"/>
  <c r="N95" i="15" s="1"/>
  <c r="L64" i="15"/>
  <c r="N64" i="15" s="1"/>
  <c r="L20" i="15"/>
  <c r="N20" i="15" s="1"/>
  <c r="B9" i="6"/>
  <c r="H7" i="6"/>
  <c r="B7" i="6"/>
  <c r="B8" i="6"/>
  <c r="E6" i="6" l="1"/>
  <c r="E7" i="6"/>
  <c r="E8" i="6"/>
  <c r="H2" i="6" l="1"/>
  <c r="H4" i="6"/>
  <c r="H3" i="6"/>
  <c r="A21" i="15"/>
  <c r="D21" i="15" l="1"/>
  <c r="L21" i="15" l="1"/>
  <c r="K21" i="15"/>
  <c r="J21" i="15"/>
  <c r="M99" i="15" l="1"/>
  <c r="M216" i="15"/>
  <c r="M77" i="15"/>
  <c r="M109" i="15"/>
  <c r="M317" i="15"/>
  <c r="M212" i="15"/>
  <c r="M350" i="15"/>
  <c r="M190" i="15"/>
  <c r="M125" i="15"/>
  <c r="M329" i="15"/>
  <c r="M323" i="15"/>
  <c r="M260" i="15"/>
  <c r="M280" i="15"/>
  <c r="M174" i="15"/>
  <c r="M203" i="15"/>
  <c r="M79" i="15"/>
  <c r="M349" i="15"/>
  <c r="M261" i="15"/>
  <c r="M188" i="15"/>
  <c r="M111" i="15"/>
  <c r="M146" i="15"/>
  <c r="M367" i="15"/>
  <c r="M46" i="15"/>
  <c r="M277" i="15"/>
  <c r="M259" i="15"/>
  <c r="M180" i="15"/>
  <c r="M165" i="15"/>
  <c r="M393" i="15"/>
  <c r="M87" i="15"/>
  <c r="M141" i="15"/>
  <c r="M382" i="15"/>
  <c r="M245" i="15"/>
  <c r="M50" i="15"/>
  <c r="M365" i="15"/>
  <c r="M377" i="15"/>
  <c r="M312" i="15"/>
  <c r="M252" i="15"/>
  <c r="M380" i="15"/>
  <c r="M44" i="15"/>
  <c r="M55" i="15"/>
  <c r="M210" i="15"/>
  <c r="M116" i="15"/>
  <c r="M25" i="15"/>
  <c r="M18" i="15"/>
  <c r="M126" i="15"/>
  <c r="M341" i="15"/>
  <c r="M214" i="15"/>
  <c r="M179" i="15"/>
  <c r="M112" i="15"/>
  <c r="M60" i="15"/>
  <c r="M306" i="15"/>
  <c r="M154" i="15"/>
  <c r="M335" i="15"/>
  <c r="M205" i="15"/>
  <c r="M82" i="15"/>
  <c r="M250" i="15"/>
  <c r="M166" i="15"/>
  <c r="M228" i="15"/>
  <c r="M361" i="15"/>
  <c r="M376" i="15"/>
  <c r="M225" i="15"/>
  <c r="M42" i="15"/>
  <c r="M191" i="15"/>
  <c r="M290" i="15"/>
  <c r="M338" i="15"/>
  <c r="M294" i="15"/>
  <c r="M186" i="15"/>
  <c r="M197" i="15"/>
  <c r="M241" i="15"/>
  <c r="M83" i="15"/>
  <c r="M62" i="15"/>
  <c r="M175" i="15"/>
  <c r="M195" i="15"/>
  <c r="M289" i="15"/>
  <c r="M170" i="15"/>
  <c r="M345" i="15"/>
  <c r="M131" i="15"/>
  <c r="M267" i="15"/>
  <c r="M33" i="15"/>
  <c r="M370" i="15"/>
  <c r="M96" i="15"/>
  <c r="M231" i="15"/>
  <c r="M282" i="15"/>
  <c r="M115" i="15"/>
  <c r="M102" i="15"/>
  <c r="M107" i="15"/>
  <c r="M40" i="15"/>
  <c r="M117" i="15"/>
  <c r="M171" i="15"/>
  <c r="M325" i="15"/>
  <c r="M106" i="15"/>
  <c r="M291" i="15"/>
  <c r="M130" i="15"/>
  <c r="M336" i="15"/>
  <c r="M122" i="15"/>
  <c r="M226" i="15"/>
  <c r="M80" i="15"/>
  <c r="M354" i="15"/>
  <c r="M114" i="15"/>
  <c r="M97" i="15"/>
  <c r="M303" i="15"/>
  <c r="M94" i="15"/>
  <c r="M140" i="15"/>
  <c r="M251" i="15"/>
  <c r="M351" i="15"/>
  <c r="M160" i="15"/>
  <c r="M49" i="15"/>
  <c r="M90" i="15"/>
  <c r="M343" i="15"/>
  <c r="M32" i="15"/>
  <c r="M213" i="15"/>
  <c r="M159" i="15"/>
  <c r="M284" i="15"/>
  <c r="M69" i="15"/>
  <c r="M70" i="15"/>
  <c r="M215" i="15"/>
  <c r="M202" i="15"/>
  <c r="M363" i="15"/>
  <c r="M352" i="15"/>
  <c r="M92" i="15"/>
  <c r="M104" i="15"/>
  <c r="M198" i="15"/>
  <c r="M187" i="15"/>
  <c r="M91" i="15"/>
  <c r="M337" i="15"/>
  <c r="M333" i="15"/>
  <c r="M310" i="15"/>
  <c r="M54" i="15"/>
  <c r="M167" i="15"/>
  <c r="M358" i="15"/>
  <c r="M344" i="15"/>
  <c r="M47" i="15"/>
  <c r="M392" i="15"/>
  <c r="M37" i="15"/>
  <c r="N21" i="15"/>
  <c r="M21" i="15"/>
  <c r="O21" i="15"/>
  <c r="M301" i="15" l="1"/>
  <c r="M285" i="15"/>
  <c r="M76" i="15"/>
  <c r="M254" i="15"/>
  <c r="M219" i="15"/>
</calcChain>
</file>

<file path=xl/sharedStrings.xml><?xml version="1.0" encoding="utf-8"?>
<sst xmlns="http://schemas.openxmlformats.org/spreadsheetml/2006/main" count="1735" uniqueCount="820">
  <si>
    <t>A/C</t>
  </si>
  <si>
    <t>Ward</t>
  </si>
  <si>
    <t>Facility</t>
  </si>
  <si>
    <t>% of planned fixed sessions held June 2025</t>
  </si>
  <si>
    <t>% of planned fixed sessions held July 2025</t>
  </si>
  <si>
    <t>% of planned fixed sessions held August 2025</t>
  </si>
  <si>
    <t>% of planned fixed sessions held September 2025</t>
  </si>
  <si>
    <t>% of planned fixed sessions held October 2025</t>
  </si>
  <si>
    <t>% of planned fixed sessions held November 2025</t>
  </si>
  <si>
    <t>% of planned fixed sessions held December 2025</t>
  </si>
  <si>
    <t>% of planned fixed sessions held January 2026</t>
  </si>
  <si>
    <t>% of planned fixed sessions held February 2026</t>
  </si>
  <si>
    <t>% of planned fixed sessions held March 2026</t>
  </si>
  <si>
    <t>% of planned fixed sessions held April 2026</t>
  </si>
  <si>
    <t>% of planned fixed sessions held May 2026</t>
  </si>
  <si>
    <t>% of Planned outreach sessions held June 2025</t>
  </si>
  <si>
    <t>% of Planned outreach sessions held July 2025</t>
  </si>
  <si>
    <t>% of Planned outreach sessions held August 2025</t>
  </si>
  <si>
    <t>% of Planned outreach sessions held September 2025</t>
  </si>
  <si>
    <t>% of Planned outreach sessions held October 2025</t>
  </si>
  <si>
    <t>% of Planned outreach sessions held November 2025</t>
  </si>
  <si>
    <t>% of Planned outreach sessions held December 2025</t>
  </si>
  <si>
    <t>% of Planned outreach sessions held January 2026</t>
  </si>
  <si>
    <t>% of Planned outreach sessions held February 2026</t>
  </si>
  <si>
    <t>% of Planned outreach sessions held March 2026</t>
  </si>
  <si>
    <t>% of Planned outreach sessions held April 2026</t>
  </si>
  <si>
    <t>% of Planned outreach sessions held May 2026</t>
  </si>
  <si>
    <t>Penta. 1 given June 2025</t>
  </si>
  <si>
    <t>Penta. 1 given July 2025</t>
  </si>
  <si>
    <t>Penta. 1 given August 2025</t>
  </si>
  <si>
    <t>Penta. 1 given September 2025</t>
  </si>
  <si>
    <t>Penta. 1 given October 2025</t>
  </si>
  <si>
    <t>Penta. 1 given November 2025</t>
  </si>
  <si>
    <t>Penta. 1 given December 2025</t>
  </si>
  <si>
    <t>Penta. 1 given January 2026</t>
  </si>
  <si>
    <t>Penta. 1 given February 2026</t>
  </si>
  <si>
    <t>Penta. 1 given March 2026</t>
  </si>
  <si>
    <t>Penta. 1 given April 2026</t>
  </si>
  <si>
    <t>Penta. 1 given May 2026</t>
  </si>
  <si>
    <t>Penta 3 given June 2025</t>
  </si>
  <si>
    <t>Penta 3 given July 2025</t>
  </si>
  <si>
    <t>Penta 3 given August 2025</t>
  </si>
  <si>
    <t>Penta 3 given September 2025</t>
  </si>
  <si>
    <t>Penta 3 given October 2025</t>
  </si>
  <si>
    <t>Penta 3 given November 2025</t>
  </si>
  <si>
    <t>Penta 3 given December 2025</t>
  </si>
  <si>
    <t>Penta 3 given January 2026</t>
  </si>
  <si>
    <t>Penta 3 given February 2026</t>
  </si>
  <si>
    <t>Penta 3 given March 2026</t>
  </si>
  <si>
    <t>Penta 3 given April 2026</t>
  </si>
  <si>
    <t>Penta 3 given May 2026</t>
  </si>
  <si>
    <t>ANC 1st Visit  June 2025</t>
  </si>
  <si>
    <t>ANC 1st Visit  July 2025</t>
  </si>
  <si>
    <t>ANC 1st Visit  August 2025</t>
  </si>
  <si>
    <t>ANC 1st Visit  September 2025</t>
  </si>
  <si>
    <t>ANC 1st Visit  October 2025</t>
  </si>
  <si>
    <t>ANC 1st Visit  November 2025</t>
  </si>
  <si>
    <t>ANC 1st Visit  December 2025</t>
  </si>
  <si>
    <t>ANC 1st Visit  January 2026</t>
  </si>
  <si>
    <t>ANC 1st Visit  February 2026</t>
  </si>
  <si>
    <t>ANC 1st Visit  March 2026</t>
  </si>
  <si>
    <t>ANC 1st Visit  April 2026</t>
  </si>
  <si>
    <t>ANC 1st Visit  May 2026</t>
  </si>
  <si>
    <t>ANC 4th visit June 2025</t>
  </si>
  <si>
    <t>ANC 4th visit July 2025</t>
  </si>
  <si>
    <t>ANC 4th visit August 2025</t>
  </si>
  <si>
    <t>ANC 4th visit September 2025</t>
  </si>
  <si>
    <t>ANC 4th visit October 2025</t>
  </si>
  <si>
    <t>ANC 4th visit November 2025</t>
  </si>
  <si>
    <t>ANC 4th visit December 2025</t>
  </si>
  <si>
    <t>ANC 4th visit January 2026</t>
  </si>
  <si>
    <t>ANC 4th visit February 2026</t>
  </si>
  <si>
    <t>ANC 4th visit March 2026</t>
  </si>
  <si>
    <t>ANC 4th visit April 2026</t>
  </si>
  <si>
    <t>ANC 4th visit May 2026</t>
  </si>
  <si>
    <t>ANC 8th Visit June 2025</t>
  </si>
  <si>
    <t>ANC 8th Visit July 2025</t>
  </si>
  <si>
    <t>ANC 8th Visit August 2025</t>
  </si>
  <si>
    <t>ANC 8th Visit September 2025</t>
  </si>
  <si>
    <t>ANC 8th Visit October 2025</t>
  </si>
  <si>
    <t>ANC 8th Visit November 2025</t>
  </si>
  <si>
    <t>ANC 8th Visit December 2025</t>
  </si>
  <si>
    <t>ANC 8th Visit January 2026</t>
  </si>
  <si>
    <t>ANC 8th Visit February 2026</t>
  </si>
  <si>
    <t>ANC 8th Visit March 2026</t>
  </si>
  <si>
    <t>ANC 8th Visit April 2026</t>
  </si>
  <si>
    <t>ANC 8th Visit May 2026</t>
  </si>
  <si>
    <t xml:space="preserve"> Abuja Municipal Area Council</t>
  </si>
  <si>
    <t xml:space="preserve"> Gui Ward</t>
  </si>
  <si>
    <t xml:space="preserve"> 063 Nigeria Air Force Base Hospital</t>
  </si>
  <si>
    <t xml:space="preserve"> City Centre Ward</t>
  </si>
  <si>
    <t xml:space="preserve"> 7 Guards Battalion Medical Reception Station Abuja</t>
  </si>
  <si>
    <t xml:space="preserve"> Abaji Local Government Area</t>
  </si>
  <si>
    <t xml:space="preserve"> Central (Abaji) Ward</t>
  </si>
  <si>
    <t xml:space="preserve"> Abaji  New Township Primary Health Center</t>
  </si>
  <si>
    <t xml:space="preserve"> Abaji Central Primary Health Clinic</t>
  </si>
  <si>
    <t xml:space="preserve"> North East Ward</t>
  </si>
  <si>
    <t xml:space="preserve"> Abaji General Hospital</t>
  </si>
  <si>
    <t xml:space="preserve"> Abaji Maternal And Child Health Clinic</t>
  </si>
  <si>
    <t xml:space="preserve"> Nuku Sabon Gari Ward</t>
  </si>
  <si>
    <t xml:space="preserve"> Abattior Primary  Health Clinic</t>
  </si>
  <si>
    <t xml:space="preserve"> Kwali Local Government Area</t>
  </si>
  <si>
    <t xml:space="preserve"> Kwali Ward</t>
  </si>
  <si>
    <t xml:space="preserve"> Abu Fatima Maternity Clinic</t>
  </si>
  <si>
    <t xml:space="preserve"> Garki Ward</t>
  </si>
  <si>
    <t xml:space="preserve"> Abuja Clinic</t>
  </si>
  <si>
    <t xml:space="preserve"> Wuse Ward</t>
  </si>
  <si>
    <t xml:space="preserve"> Abuja Clinics, Maitama</t>
  </si>
  <si>
    <t xml:space="preserve"> Abuja Police Hospital</t>
  </si>
  <si>
    <t xml:space="preserve"> Kuje Local Government Area</t>
  </si>
  <si>
    <t xml:space="preserve"> Kabi Ward</t>
  </si>
  <si>
    <t xml:space="preserve"> Achimbi Primary Health Centre</t>
  </si>
  <si>
    <t xml:space="preserve"> Yaba Ward</t>
  </si>
  <si>
    <t xml:space="preserve"> Adagba Primary  Health  Clinic</t>
  </si>
  <si>
    <t xml:space="preserve"> Kuje Central Ward</t>
  </si>
  <si>
    <t xml:space="preserve"> Agape Biomedical Hospital</t>
  </si>
  <si>
    <t xml:space="preserve"> Agwai Primary Health Centre</t>
  </si>
  <si>
    <t xml:space="preserve"> Pandagi Agyana Ward</t>
  </si>
  <si>
    <t xml:space="preserve"> Agyana Primary Health Clinic</t>
  </si>
  <si>
    <t xml:space="preserve"> Al-Nur Maternity Home (Iddo-Pada)</t>
  </si>
  <si>
    <t xml:space="preserve"> Kabusa Ward</t>
  </si>
  <si>
    <t xml:space="preserve"> Aleiyita Primary Health Care Centre</t>
  </si>
  <si>
    <t xml:space="preserve"> Alfad Specialist Clinic</t>
  </si>
  <si>
    <t xml:space="preserve"> Alliance Clinic</t>
  </si>
  <si>
    <t xml:space="preserve"> Gwagwalada Local Government Area</t>
  </si>
  <si>
    <t xml:space="preserve"> Quarters Ward</t>
  </si>
  <si>
    <t xml:space="preserve"> Allied Specialist Hospital and Diagnostic Center Ltd Gwagwalada</t>
  </si>
  <si>
    <t xml:space="preserve"> Chibiri Ward</t>
  </si>
  <si>
    <t xml:space="preserve"> Allison Clinic and Maternity</t>
  </si>
  <si>
    <t xml:space="preserve"> Gawu Ward</t>
  </si>
  <si>
    <t xml:space="preserve"> Almadinatu-Nibrass Primary Health Clinic</t>
  </si>
  <si>
    <t xml:space="preserve"> Karu Ward</t>
  </si>
  <si>
    <t xml:space="preserve"> Alpha Clinic</t>
  </si>
  <si>
    <t xml:space="preserve"> Tungan Maje Ward</t>
  </si>
  <si>
    <t xml:space="preserve"> Anagada Health Clinic</t>
  </si>
  <si>
    <t xml:space="preserve"> Central Ward</t>
  </si>
  <si>
    <t xml:space="preserve"> Anguwa Dodo Primary Health Centre</t>
  </si>
  <si>
    <t xml:space="preserve"> Apo Primary Health Centre</t>
  </si>
  <si>
    <t xml:space="preserve"> Arewa Clinic and Maternity</t>
  </si>
  <si>
    <t xml:space="preserve"> Ibwa Ward</t>
  </si>
  <si>
    <t xml:space="preserve"> Army Barrack Health Centre</t>
  </si>
  <si>
    <t xml:space="preserve"> Ashara Ward</t>
  </si>
  <si>
    <t xml:space="preserve"> Ashara Basic Health Clinic</t>
  </si>
  <si>
    <t xml:space="preserve"> Asokoro General Hospital</t>
  </si>
  <si>
    <t xml:space="preserve"> Bwari Local Government Area</t>
  </si>
  <si>
    <t xml:space="preserve"> Dutse Ward</t>
  </si>
  <si>
    <t xml:space="preserve"> Aujo Clinic and Maternity</t>
  </si>
  <si>
    <t xml:space="preserve"> Ayaura Primary Health Centre</t>
  </si>
  <si>
    <t xml:space="preserve"> Pai Ward</t>
  </si>
  <si>
    <t xml:space="preserve"> Bako Health Clinic</t>
  </si>
  <si>
    <t xml:space="preserve"> Bako Wisdom Clinic and Maternity Home</t>
  </si>
  <si>
    <t xml:space="preserve"> Bwari Central Ward</t>
  </si>
  <si>
    <t xml:space="preserve"> Barangoni Primariy Health Clinic</t>
  </si>
  <si>
    <t xml:space="preserve"> Gurdi Ward</t>
  </si>
  <si>
    <t xml:space="preserve"> Bari-Bari Primary Health Clinic</t>
  </si>
  <si>
    <t xml:space="preserve"> Jiwa Ward</t>
  </si>
  <si>
    <t xml:space="preserve"> Bassan Jiwan Primary Health Care Centre</t>
  </si>
  <si>
    <t xml:space="preserve"> Bepos Clinic and Fertility Centre</t>
  </si>
  <si>
    <t xml:space="preserve"> Kujekwa Ward</t>
  </si>
  <si>
    <t xml:space="preserve"> Bida Primary Health Centre</t>
  </si>
  <si>
    <t xml:space="preserve"> Nyanya Ward</t>
  </si>
  <si>
    <t xml:space="preserve"> Bismol Medical Centre</t>
  </si>
  <si>
    <t xml:space="preserve"> Wako Ward</t>
  </si>
  <si>
    <t xml:space="preserve"> Bukpe Primary Health Clinic</t>
  </si>
  <si>
    <t xml:space="preserve"> Burum Health Clinic</t>
  </si>
  <si>
    <t xml:space="preserve"> Buzunkure Primary Health Centre</t>
  </si>
  <si>
    <t xml:space="preserve"> Bwari General Hospital</t>
  </si>
  <si>
    <t xml:space="preserve"> Kuduru Ward</t>
  </si>
  <si>
    <t xml:space="preserve"> Bwari Town Primary Health  Center</t>
  </si>
  <si>
    <t xml:space="preserve"> Byazhin Ward</t>
  </si>
  <si>
    <t xml:space="preserve"> Byazhin Primary  Health Center</t>
  </si>
  <si>
    <t xml:space="preserve"> Cedar Crest Hospital</t>
  </si>
  <si>
    <t xml:space="preserve"> Central Bank of Nigeria Clinic</t>
  </si>
  <si>
    <t xml:space="preserve"> Chibiri Primary Health Centre</t>
  </si>
  <si>
    <t xml:space="preserve"> Zuba Ward</t>
  </si>
  <si>
    <t xml:space="preserve"> Chibuzor Clinic And Maternity, Zuba</t>
  </si>
  <si>
    <t xml:space="preserve"> Chida Primary Health Clinic</t>
  </si>
  <si>
    <t xml:space="preserve"> Chikakore  Primary Health Clinic</t>
  </si>
  <si>
    <t xml:space="preserve"> Children Care and Wellness Clinic</t>
  </si>
  <si>
    <t xml:space="preserve"> Ikwa Ward</t>
  </si>
  <si>
    <t xml:space="preserve"> Chitumu Primary Health Clinic</t>
  </si>
  <si>
    <t xml:space="preserve"> Orozo Ward</t>
  </si>
  <si>
    <t xml:space="preserve"> Chorin-Bisa Primary Health Centre</t>
  </si>
  <si>
    <t xml:space="preserve"> Chukuku Primary Health Centre</t>
  </si>
  <si>
    <t xml:space="preserve"> Kilankwa Ward</t>
  </si>
  <si>
    <t xml:space="preserve"> Chukuku Tsoho Primary Health Entre</t>
  </si>
  <si>
    <t xml:space="preserve"> Cornelia Clinic and Maternity</t>
  </si>
  <si>
    <t xml:space="preserve"> Cornelian Jubilee Hospital (Jikwoyi)</t>
  </si>
  <si>
    <t xml:space="preserve"> Gwagwa Ward</t>
  </si>
  <si>
    <t xml:space="preserve"> Cream Medics Clinic &amp; Maternity (Gwagwa)</t>
  </si>
  <si>
    <t xml:space="preserve"> Crystal Paediatric Clinic</t>
  </si>
  <si>
    <t xml:space="preserve"> Dabi/Bako Comprehensive Health  Centre</t>
  </si>
  <si>
    <t xml:space="preserve"> Dafa Ward</t>
  </si>
  <si>
    <t xml:space="preserve"> Dafa Health Clinic</t>
  </si>
  <si>
    <t xml:space="preserve"> Gaube Ward</t>
  </si>
  <si>
    <t xml:space="preserve"> Dafara Primary Health Centre</t>
  </si>
  <si>
    <t xml:space="preserve"> Dagiri  Primary Health Clinic</t>
  </si>
  <si>
    <t xml:space="preserve"> Dakwa Dantata Primary Health Clinic</t>
  </si>
  <si>
    <t xml:space="preserve"> Kubwa Ward</t>
  </si>
  <si>
    <t xml:space="preserve"> Dakwa Primary Health Clinic</t>
  </si>
  <si>
    <t xml:space="preserve"> Damagaza Primary Health Centre</t>
  </si>
  <si>
    <t xml:space="preserve"> Kundu Ward</t>
  </si>
  <si>
    <t xml:space="preserve"> Damakusa Primary Health Clinic</t>
  </si>
  <si>
    <t xml:space="preserve"> Dangara Health Clinic</t>
  </si>
  <si>
    <t xml:space="preserve"> Dapa Primary Health Clinic</t>
  </si>
  <si>
    <t xml:space="preserve"> Gudunkarya Ward</t>
  </si>
  <si>
    <t xml:space="preserve"> Darka Primary Health Clinic</t>
  </si>
  <si>
    <t xml:space="preserve"> Usuma Ward</t>
  </si>
  <si>
    <t xml:space="preserve"> Daughters of Charity St Vincent Hospital</t>
  </si>
  <si>
    <t xml:space="preserve"> Dawaki  Primary Health Centre</t>
  </si>
  <si>
    <t xml:space="preserve"> Defense Headquarters Medical Centre Abuja</t>
  </si>
  <si>
    <t xml:space="preserve"> Dei Dei Primary Health Care  Center</t>
  </si>
  <si>
    <t xml:space="preserve"> Dei Dei Primary Health Centre</t>
  </si>
  <si>
    <t xml:space="preserve"> Dia Clinic</t>
  </si>
  <si>
    <t xml:space="preserve"> Diff Hospital</t>
  </si>
  <si>
    <t xml:space="preserve"> Diocese of Kubwa, Anglican Hospital</t>
  </si>
  <si>
    <t xml:space="preserve"> Divine Winners  Medical  and Maternity Ltd</t>
  </si>
  <si>
    <t xml:space="preserve"> Dnakwo Primary Health Clinic</t>
  </si>
  <si>
    <t xml:space="preserve"> Dobi Ward</t>
  </si>
  <si>
    <t xml:space="preserve"> Dobi Health Care Clinic</t>
  </si>
  <si>
    <t xml:space="preserve"> Dogonruwa Primary  Health Clinic</t>
  </si>
  <si>
    <t xml:space="preserve"> Dr. Hassan'S Clinic &amp; Diag. Centre</t>
  </si>
  <si>
    <t xml:space="preserve"> Duda Primary Health Centre</t>
  </si>
  <si>
    <t xml:space="preserve"> Dukwa Health Post</t>
  </si>
  <si>
    <t xml:space="preserve"> Durumi II Primary Health Clinic</t>
  </si>
  <si>
    <t xml:space="preserve"> Shere Ward</t>
  </si>
  <si>
    <t xml:space="preserve"> Durumi Primary Health Clinic</t>
  </si>
  <si>
    <t xml:space="preserve"> Dutse Alhaji  Primary Health Centre</t>
  </si>
  <si>
    <t xml:space="preserve"> Dutse Makaranta Primary Health Centre</t>
  </si>
  <si>
    <t xml:space="preserve"> Dutsen Garki Health Clinic</t>
  </si>
  <si>
    <t xml:space="preserve"> Ebagi Rimba Ward</t>
  </si>
  <si>
    <t xml:space="preserve"> Ebagi Primary Health Clinic</t>
  </si>
  <si>
    <t xml:space="preserve"> Gwarimpa Ward</t>
  </si>
  <si>
    <t xml:space="preserve"> EL-Rapha Hospital &amp; Diagnostic Centre</t>
  </si>
  <si>
    <t xml:space="preserve"> Ellan Clinic And Maternity (Karmo)</t>
  </si>
  <si>
    <t xml:space="preserve"> Epitome Hospital and Maternity</t>
  </si>
  <si>
    <t xml:space="preserve"> Evangelical Church of West Africa (Ecwa) Medical Center</t>
  </si>
  <si>
    <t xml:space="preserve"> Excel Fertility Centre</t>
  </si>
  <si>
    <t xml:space="preserve"> Express Hospital</t>
  </si>
  <si>
    <t xml:space="preserve"> Faith Medical Centre (Karmo)</t>
  </si>
  <si>
    <t xml:space="preserve"> Family Care Clinic</t>
  </si>
  <si>
    <t xml:space="preserve"> Family Health Center</t>
  </si>
  <si>
    <t xml:space="preserve"> Yebu Ward</t>
  </si>
  <si>
    <t xml:space="preserve"> Farakuti Health Clinic</t>
  </si>
  <si>
    <t xml:space="preserve"> Federal Staff Hospital (Abuja)</t>
  </si>
  <si>
    <t xml:space="preserve"> First Hospital &amp; Maternity</t>
  </si>
  <si>
    <t xml:space="preserve"> Fogbe Health Clinic</t>
  </si>
  <si>
    <t xml:space="preserve"> Frameluk Hospital</t>
  </si>
  <si>
    <t xml:space="preserve"> Fuka Primary Health Clinic</t>
  </si>
  <si>
    <t xml:space="preserve"> Gaba Primary Health Clinic</t>
  </si>
  <si>
    <t xml:space="preserve"> Gabic Divine Clinic And Maternity</t>
  </si>
  <si>
    <t xml:space="preserve"> Kwaku Ward</t>
  </si>
  <si>
    <t xml:space="preserve"> Gadoro Primary Health Care Centre</t>
  </si>
  <si>
    <t xml:space="preserve"> Galadimawa Health Clinic</t>
  </si>
  <si>
    <t xml:space="preserve"> Galuwyi Primary  Health Clinic</t>
  </si>
  <si>
    <t xml:space="preserve"> Garki Hospital</t>
  </si>
  <si>
    <t xml:space="preserve"> Garki Village Primary Health clinic</t>
  </si>
  <si>
    <t xml:space="preserve"> Gasakpa Primary Health Clinic</t>
  </si>
  <si>
    <t xml:space="preserve"> Gaube Primary Health Centre</t>
  </si>
  <si>
    <t xml:space="preserve"> Gawu Comprehensive Health Centre</t>
  </si>
  <si>
    <t xml:space="preserve"> Gawu Primary Health Centre</t>
  </si>
  <si>
    <t xml:space="preserve"> Gbagarape Primary Health Care Centre</t>
  </si>
  <si>
    <t xml:space="preserve"> Gbaukuchi Primary Health Centre</t>
  </si>
  <si>
    <t xml:space="preserve"> Gbaupe Primary Health Centre</t>
  </si>
  <si>
    <t xml:space="preserve"> Getwell Optimal Hospital (Gwagwa)</t>
  </si>
  <si>
    <t xml:space="preserve"> Gidan Mangoro Primary Health Clinic</t>
  </si>
  <si>
    <t xml:space="preserve"> Gidanbawa Primary Health Clinic</t>
  </si>
  <si>
    <t xml:space="preserve"> Gigbe Primary Health Clinic</t>
  </si>
  <si>
    <t xml:space="preserve"> Gwako Ward</t>
  </si>
  <si>
    <t xml:space="preserve"> Giri  Primary Health Clinic</t>
  </si>
  <si>
    <t xml:space="preserve"> Gishiri Primary Health Clinic</t>
  </si>
  <si>
    <t xml:space="preserve"> God's Time Clinic and Maternity</t>
  </si>
  <si>
    <t xml:space="preserve"> Godhealer Hospital</t>
  </si>
  <si>
    <t xml:space="preserve"> Gomani Primary Health Clinic</t>
  </si>
  <si>
    <t xml:space="preserve"> Gwargwada Ward</t>
  </si>
  <si>
    <t xml:space="preserve"> Gombe Primary Health Centre</t>
  </si>
  <si>
    <t xml:space="preserve"> Gonita Hospital &amp; Maternity</t>
  </si>
  <si>
    <t xml:space="preserve"> Gosa Primary Health Care Centre</t>
  </si>
  <si>
    <t xml:space="preserve"> Gova Primary Health Centre</t>
  </si>
  <si>
    <t xml:space="preserve"> Gudunkarya Primary Health Centre</t>
  </si>
  <si>
    <t xml:space="preserve"> Gudupe Primary Health Clinic</t>
  </si>
  <si>
    <t xml:space="preserve"> Gugugu Primary Health Clinic</t>
  </si>
  <si>
    <t xml:space="preserve"> Gui Primary Health Care Centre</t>
  </si>
  <si>
    <t xml:space="preserve"> Gulida Primary Health Clinic</t>
  </si>
  <si>
    <t xml:space="preserve"> Gumbo Ward</t>
  </si>
  <si>
    <t xml:space="preserve"> Gumbo Primary Health Clinic</t>
  </si>
  <si>
    <t xml:space="preserve"> Gurdi Primary Health Clinic</t>
  </si>
  <si>
    <t xml:space="preserve"> Gurfata Primary Health Clinic</t>
  </si>
  <si>
    <t xml:space="preserve"> Gwagwa Primary Health Centre</t>
  </si>
  <si>
    <t xml:space="preserve"> Kutunku Ward</t>
  </si>
  <si>
    <t xml:space="preserve"> Gwagwalada Clinic and Maternity</t>
  </si>
  <si>
    <t xml:space="preserve"> Gwagwalada Primary Health Center</t>
  </si>
  <si>
    <t xml:space="preserve"> Gwako Primary Health Clinic</t>
  </si>
  <si>
    <t xml:space="preserve"> Gwargada Primary Health Centre</t>
  </si>
  <si>
    <t xml:space="preserve"> Gwarimpa General Hospital</t>
  </si>
  <si>
    <t xml:space="preserve"> Gwarimpa Primary Health Clinic</t>
  </si>
  <si>
    <t xml:space="preserve"> Hope Clinic</t>
  </si>
  <si>
    <t xml:space="preserve"> Hulumi Primary Health Clinic</t>
  </si>
  <si>
    <t xml:space="preserve"> Huni Primary Health Centre</t>
  </si>
  <si>
    <t xml:space="preserve"> Ibwa Pada Primary Health Clinic</t>
  </si>
  <si>
    <t xml:space="preserve"> Ibwa Primary Health Clinic</t>
  </si>
  <si>
    <t xml:space="preserve"> Iddo Pada Primary Health Care Centre</t>
  </si>
  <si>
    <t xml:space="preserve"> Idu-Karmo Primary Health Care Center</t>
  </si>
  <si>
    <t xml:space="preserve"> Igu Ward</t>
  </si>
  <si>
    <t xml:space="preserve"> Igu  Primary Health Center</t>
  </si>
  <si>
    <t xml:space="preserve"> Yangoji Ward</t>
  </si>
  <si>
    <t xml:space="preserve"> Ijah Sarki Primary Health Centre</t>
  </si>
  <si>
    <t xml:space="preserve"> Ike Health Post</t>
  </si>
  <si>
    <t xml:space="preserve"> Ikwa Primary Health Clinic</t>
  </si>
  <si>
    <t xml:space="preserve"> Ila Universal Hospital</t>
  </si>
  <si>
    <t xml:space="preserve"> Jabi Arewa Hospital</t>
  </si>
  <si>
    <t xml:space="preserve"> Jabi Federal Medical Centre</t>
  </si>
  <si>
    <t xml:space="preserve"> Jahi Primary Health Clinic</t>
  </si>
  <si>
    <t xml:space="preserve"> Jehovah Adonai Eagle Hospital Ltd, Phase 1, Quarters</t>
  </si>
  <si>
    <t xml:space="preserve"> Jeraba Hospital</t>
  </si>
  <si>
    <t xml:space="preserve"> Jethrone Hospital</t>
  </si>
  <si>
    <t xml:space="preserve"> Ushafa Ward</t>
  </si>
  <si>
    <t xml:space="preserve"> Jigo  Primary Health Clinic</t>
  </si>
  <si>
    <t xml:space="preserve"> Jikoko  Primary Health Clinic</t>
  </si>
  <si>
    <t xml:space="preserve"> Jikoyi Medical Center</t>
  </si>
  <si>
    <t xml:space="preserve"> Jikwoyi Primary Health Clinic</t>
  </si>
  <si>
    <t xml:space="preserve"> Jiwa Primary Health Care Center</t>
  </si>
  <si>
    <t xml:space="preserve"> Joefag Alheri Clinic and Maternity</t>
  </si>
  <si>
    <t xml:space="preserve"> Kabin Kassa Primary Health Centre</t>
  </si>
  <si>
    <t xml:space="preserve"> Kabin Mangoro Primary Health Centre</t>
  </si>
  <si>
    <t xml:space="preserve"> Kabusa Primary Health Care Center</t>
  </si>
  <si>
    <t xml:space="preserve"> Kagini Primary Health  Care Centre</t>
  </si>
  <si>
    <t xml:space="preserve"> Kahodahannu Primary Health Centre</t>
  </si>
  <si>
    <t xml:space="preserve"> Kaida Sabo Health Post</t>
  </si>
  <si>
    <t xml:space="preserve"> Paikon Ward</t>
  </si>
  <si>
    <t xml:space="preserve"> Kaida Tsoho Health Clinic</t>
  </si>
  <si>
    <t xml:space="preserve"> Kaima  Primary Health Clinic</t>
  </si>
  <si>
    <t xml:space="preserve"> Kamadi Tsoho primary Health Clinic</t>
  </si>
  <si>
    <t xml:space="preserve"> Kapital Hospital (Gwagwa)</t>
  </si>
  <si>
    <t xml:space="preserve"> Karon Majigi Primary Health Clinic</t>
  </si>
  <si>
    <t xml:space="preserve"> Karshi Ward</t>
  </si>
  <si>
    <t xml:space="preserve"> Karshi General Hospital</t>
  </si>
  <si>
    <t xml:space="preserve"> Karshi Primary Health Clinic</t>
  </si>
  <si>
    <t xml:space="preserve"> Karu General Hospital</t>
  </si>
  <si>
    <t xml:space="preserve"> Karu Primary Health  Care Centre</t>
  </si>
  <si>
    <t xml:space="preserve"> Kasada Primary Health Centre</t>
  </si>
  <si>
    <t xml:space="preserve"> Katampe 2   Primary  Health Clinic</t>
  </si>
  <si>
    <t xml:space="preserve"> Kaura Primary Health Clinic</t>
  </si>
  <si>
    <t xml:space="preserve"> Kawu Ward</t>
  </si>
  <si>
    <t xml:space="preserve"> Kawu  Primary Health Center</t>
  </si>
  <si>
    <t xml:space="preserve"> Kekeshi Primary Health Clinic</t>
  </si>
  <si>
    <t xml:space="preserve"> Kenony Clinic Ltd</t>
  </si>
  <si>
    <t xml:space="preserve"> Ketti Primary Health Care Center</t>
  </si>
  <si>
    <t xml:space="preserve"> Kigbe Primary Health Clinic</t>
  </si>
  <si>
    <t xml:space="preserve"> Kilankwa I Primary Health Centre</t>
  </si>
  <si>
    <t xml:space="preserve"> Kilankwa II Primary Health Clinic</t>
  </si>
  <si>
    <t xml:space="preserve"> Kinectic Hospital</t>
  </si>
  <si>
    <t xml:space="preserve"> King'S Care Hospital and Maternity (Wuse)</t>
  </si>
  <si>
    <t xml:space="preserve"> Kiyi Primary Health Centre</t>
  </si>
  <si>
    <t xml:space="preserve"> Kobi Primary Health clinic</t>
  </si>
  <si>
    <t xml:space="preserve"> Kogo Primary Health Centre</t>
  </si>
  <si>
    <t xml:space="preserve"> Koroko Primary Health Centre</t>
  </si>
  <si>
    <t xml:space="preserve"> Kpache  Primary Health Clinic</t>
  </si>
  <si>
    <t xml:space="preserve"> Kpakuru Liman Primary Health Clinic</t>
  </si>
  <si>
    <t xml:space="preserve"> Kpeyegyi Primary Health Centre</t>
  </si>
  <si>
    <t xml:space="preserve"> Kubwa General Hospital</t>
  </si>
  <si>
    <t xml:space="preserve"> Kubwa Muslim Community Hospital</t>
  </si>
  <si>
    <t xml:space="preserve"> Kubwa Police Hospital</t>
  </si>
  <si>
    <t xml:space="preserve"> Kuchibuyi Primary Health Clinic</t>
  </si>
  <si>
    <t xml:space="preserve"> Kuchiko Primary  Health Clinic</t>
  </si>
  <si>
    <t xml:space="preserve"> Kuchingoro Primary Health Care Centre</t>
  </si>
  <si>
    <t xml:space="preserve"> Kuchiyako Primary Health Centre</t>
  </si>
  <si>
    <t xml:space="preserve"> Kuduru Primary Health Clinic</t>
  </si>
  <si>
    <t xml:space="preserve"> Kugbobokun Primary Health Clinic</t>
  </si>
  <si>
    <t xml:space="preserve"> Kuje General Hospital</t>
  </si>
  <si>
    <t xml:space="preserve"> Kuje Primary Health Centre</t>
  </si>
  <si>
    <t xml:space="preserve"> Kujekwa Primary Health Centre</t>
  </si>
  <si>
    <t xml:space="preserve"> Rubochi Ward</t>
  </si>
  <si>
    <t xml:space="preserve"> Kulo Primary Health Centre</t>
  </si>
  <si>
    <t xml:space="preserve"> Kundu Primary Health Centre</t>
  </si>
  <si>
    <t xml:space="preserve"> Kurmi Daudu Model Primary Health Centre</t>
  </si>
  <si>
    <t xml:space="preserve"> Kurudu Primary Health Clinic</t>
  </si>
  <si>
    <t xml:space="preserve"> Kusaki Primary Health Centre</t>
  </si>
  <si>
    <t xml:space="preserve"> Kuseki Primary Health Clinic</t>
  </si>
  <si>
    <t xml:space="preserve"> Kutada Primary Health Centre</t>
  </si>
  <si>
    <t xml:space="preserve"> Kutara Primary Health Clinic</t>
  </si>
  <si>
    <t xml:space="preserve"> Kute Primary Health Clinic</t>
  </si>
  <si>
    <t xml:space="preserve"> Kutunku 2 Primary Health Clinic</t>
  </si>
  <si>
    <t xml:space="preserve"> Kuwyizhi Primary Health Centre</t>
  </si>
  <si>
    <t xml:space="preserve"> Kwaita Hausa Primary Health Clinic</t>
  </si>
  <si>
    <t xml:space="preserve"> Kwaita Model Primary Health Centre</t>
  </si>
  <si>
    <t xml:space="preserve"> Kwaku Primary Health Centre</t>
  </si>
  <si>
    <t xml:space="preserve"> Kwakwa Primary Health Clinic</t>
  </si>
  <si>
    <t xml:space="preserve"> Kwali Basic Health Centre</t>
  </si>
  <si>
    <t xml:space="preserve"> Kwali General Hospital</t>
  </si>
  <si>
    <t xml:space="preserve"> Lanto Primary Health Centre</t>
  </si>
  <si>
    <t xml:space="preserve"> Laura Hospital And Maternity</t>
  </si>
  <si>
    <t xml:space="preserve"> Leda Primary Health Centre</t>
  </si>
  <si>
    <t xml:space="preserve"> Ledi Primary Health Clinic</t>
  </si>
  <si>
    <t xml:space="preserve"> Leleyi Gwari Primary Health Centre</t>
  </si>
  <si>
    <t xml:space="preserve"> Life Point Hospital</t>
  </si>
  <si>
    <t xml:space="preserve"> Limi Hospital</t>
  </si>
  <si>
    <t xml:space="preserve"> Living Rock Hospital and Maternity</t>
  </si>
  <si>
    <t xml:space="preserve"> Living Stream Specialist Medical Center Phase 3 Gwagwalada</t>
  </si>
  <si>
    <t xml:space="preserve"> Lowcost -Barrack Primary Health Clinic</t>
  </si>
  <si>
    <t xml:space="preserve"> Lower Usuma Dam Primary Health Clinic</t>
  </si>
  <si>
    <t xml:space="preserve"> Lugbe Primary Health Care Centre</t>
  </si>
  <si>
    <t xml:space="preserve"> Mabushi Primary Health Centre</t>
  </si>
  <si>
    <t xml:space="preserve"> Maikwari Primary Health Clinic</t>
  </si>
  <si>
    <t xml:space="preserve"> Maitama General Hospital</t>
  </si>
  <si>
    <t xml:space="preserve"> South East Ward</t>
  </si>
  <si>
    <t xml:space="preserve"> Makana Primary Health Clinic</t>
  </si>
  <si>
    <t xml:space="preserve"> Alumamagi Ward</t>
  </si>
  <si>
    <t xml:space="preserve"> Mamagi Primary Health Clinic</t>
  </si>
  <si>
    <t xml:space="preserve"> Mambilla Barrack Medical Centre</t>
  </si>
  <si>
    <t xml:space="preserve"> Manderegi Primary Health Clinic</t>
  </si>
  <si>
    <t xml:space="preserve"> Mapa Primary Health Clinic</t>
  </si>
  <si>
    <t xml:space="preserve"> Marvellous Clinic &amp; Maternity  { Gwagwa }</t>
  </si>
  <si>
    <t xml:space="preserve"> Massan Clinic Ltd</t>
  </si>
  <si>
    <t xml:space="preserve"> Mawogi Primary Health Clinic</t>
  </si>
  <si>
    <t xml:space="preserve"> Medical Missionaries of Mary Clinic and Maternity (Aco-airport Road)</t>
  </si>
  <si>
    <t xml:space="preserve"> Minat Clinic and Maternity</t>
  </si>
  <si>
    <t xml:space="preserve"> Miracle Seed Clinic and Maternity</t>
  </si>
  <si>
    <t xml:space="preserve"> Mogadishu (DHQTrs) Medical Centre</t>
  </si>
  <si>
    <t xml:space="preserve"> Mpape Primary Health Centre</t>
  </si>
  <si>
    <t xml:space="preserve"> Mumeen Hospital Ltd</t>
  </si>
  <si>
    <t xml:space="preserve"> Munape Primary Health Centre</t>
  </si>
  <si>
    <t xml:space="preserve"> Naharati Primary Heaith Center</t>
  </si>
  <si>
    <t xml:space="preserve"> Nakowa Maternity Home</t>
  </si>
  <si>
    <t xml:space="preserve"> Nanda Primary Health Clinic</t>
  </si>
  <si>
    <t xml:space="preserve"> National Assembly Staff Clinic</t>
  </si>
  <si>
    <t xml:space="preserve"> National Defence College Clinic (Ushafa)</t>
  </si>
  <si>
    <t xml:space="preserve"> National Hospital (Abuja)</t>
  </si>
  <si>
    <t xml:space="preserve"> Naval Barracks Hospital</t>
  </si>
  <si>
    <t xml:space="preserve"> Nigeria Airforce Clinic</t>
  </si>
  <si>
    <t xml:space="preserve"> Nigeria Custom Medical Centre</t>
  </si>
  <si>
    <t xml:space="preserve"> Nisa Premier Hospital</t>
  </si>
  <si>
    <t xml:space="preserve"> Nizamiya Hospital</t>
  </si>
  <si>
    <t xml:space="preserve"> NNPC Medical Services</t>
  </si>
  <si>
    <t xml:space="preserve"> North Land Medical Centre</t>
  </si>
  <si>
    <t xml:space="preserve"> Nuku Primary Health Clinic</t>
  </si>
  <si>
    <t xml:space="preserve"> Nukuchi Primary Health Clinic</t>
  </si>
  <si>
    <t xml:space="preserve"> Nyanya General Hospital</t>
  </si>
  <si>
    <t xml:space="preserve"> Odu Primary Health Centre</t>
  </si>
  <si>
    <t xml:space="preserve"> Ojochegbe Health Clinic</t>
  </si>
  <si>
    <t xml:space="preserve"> Old Dei Dei Primary Health Clinic</t>
  </si>
  <si>
    <t xml:space="preserve"> Orozo Primary Health Clinic</t>
  </si>
  <si>
    <t xml:space="preserve"> Our Lady Of Fatima Catholic  Hospital  ( Bwari )</t>
  </si>
  <si>
    <t xml:space="preserve"> Our Lady's Clinic And Maternity</t>
  </si>
  <si>
    <t xml:space="preserve"> Owner Occupier Primary Health Centre</t>
  </si>
  <si>
    <t xml:space="preserve"> Pabeyi Primary Health Clinic</t>
  </si>
  <si>
    <t xml:space="preserve"> Pada Gwari  Primary Health Clinic</t>
  </si>
  <si>
    <t xml:space="preserve"> Pagi Primary Health Centre</t>
  </si>
  <si>
    <t xml:space="preserve"> Pai Primary Health Centre</t>
  </si>
  <si>
    <t xml:space="preserve"> Paikon Kore Health Clinic</t>
  </si>
  <si>
    <t xml:space="preserve"> Pan Raf Hospital</t>
  </si>
  <si>
    <t xml:space="preserve"> Pandagi Primary Healh Clinic</t>
  </si>
  <si>
    <t xml:space="preserve"> Pangu Masalaci Primary Health Clinic</t>
  </si>
  <si>
    <t xml:space="preserve"> Panunuke Primary Health Clinic</t>
  </si>
  <si>
    <t xml:space="preserve"> Passo Primary Health Clinic</t>
  </si>
  <si>
    <t xml:space="preserve"> Peace Care Clinic</t>
  </si>
  <si>
    <t xml:space="preserve"> Petti Primary Health Centre</t>
  </si>
  <si>
    <t xml:space="preserve"> Phase 3 Quarters  Primary health clinic</t>
  </si>
  <si>
    <t xml:space="preserve"> Pigba Medical Centre</t>
  </si>
  <si>
    <t xml:space="preserve"> Piko Primary Health Clinic</t>
  </si>
  <si>
    <t xml:space="preserve"> Pipeline Primary Health Centre</t>
  </si>
  <si>
    <t xml:space="preserve"> Piri Health Clinic</t>
  </si>
  <si>
    <t xml:space="preserve"> Piwoyi Primary Health Clinic</t>
  </si>
  <si>
    <t xml:space="preserve"> Pyakasa Primary Health Care Center</t>
  </si>
  <si>
    <t xml:space="preserve"> Queens Clinic and Maternity</t>
  </si>
  <si>
    <t xml:space="preserve"> Rafin Zurfi Primary Health Clinic</t>
  </si>
  <si>
    <t xml:space="preserve"> Rafindaji Primary Health Clinic</t>
  </si>
  <si>
    <t xml:space="preserve"> Rhema Foundation Hospital</t>
  </si>
  <si>
    <t xml:space="preserve"> Rimba Primary Health Clinic</t>
  </si>
  <si>
    <t xml:space="preserve"> Rouz Hospital and Maternity</t>
  </si>
  <si>
    <t xml:space="preserve"> Royal Care Clinic and Maternity</t>
  </si>
  <si>
    <t xml:space="preserve"> Rubochi General Hospital</t>
  </si>
  <si>
    <t xml:space="preserve"> Rubochi Primary Health Centre</t>
  </si>
  <si>
    <t xml:space="preserve"> Sabo Primary Health Centre</t>
  </si>
  <si>
    <t xml:space="preserve"> Sabon Gari Primary Health Clinic</t>
  </si>
  <si>
    <t xml:space="preserve"> Saburi Primary Health Clinic</t>
  </si>
  <si>
    <t xml:space="preserve"> Saffron Hospital</t>
  </si>
  <si>
    <t xml:space="preserve"> Saint Catherine's Specialist Hospital</t>
  </si>
  <si>
    <t xml:space="preserve"> Salama Infirmary Hospital &amp; Maternity Ltd</t>
  </si>
  <si>
    <t xml:space="preserve"> Sami Wadata Clinic (Wuse)</t>
  </si>
  <si>
    <t xml:space="preserve"> Sauki Private Hospital</t>
  </si>
  <si>
    <t xml:space="preserve"> Shadalafiya Clinic</t>
  </si>
  <si>
    <t xml:space="preserve"> Sheda Galadima Primary Health Clinic</t>
  </si>
  <si>
    <t xml:space="preserve"> Sheda Primary Health Centre</t>
  </si>
  <si>
    <t xml:space="preserve"> Shenagu Health Clinic</t>
  </si>
  <si>
    <t xml:space="preserve"> Shere Primary Health Center</t>
  </si>
  <si>
    <t xml:space="preserve"> Sherepe Primary Health Clinic</t>
  </si>
  <si>
    <t xml:space="preserve"> Sheretti Primary Health Clinic</t>
  </si>
  <si>
    <t xml:space="preserve"> Shishipe Primary Health Clinic</t>
  </si>
  <si>
    <t xml:space="preserve"> Silver Fountain Medical Center</t>
  </si>
  <si>
    <t xml:space="preserve"> Sisters of Nativity Hospital</t>
  </si>
  <si>
    <t xml:space="preserve"> South East Primary Healthcare Centre</t>
  </si>
  <si>
    <t xml:space="preserve"> St. Mary'S Catholic Hospital</t>
  </si>
  <si>
    <t xml:space="preserve"> State House Clinic (Asokoro)</t>
  </si>
  <si>
    <t xml:space="preserve"> Sukuku Primay Health Clinic</t>
  </si>
  <si>
    <t xml:space="preserve"> Sumpe Primary Health Clinic</t>
  </si>
  <si>
    <t xml:space="preserve"> Supreme Court Of Nigeria Clinic</t>
  </si>
  <si>
    <t xml:space="preserve"> Takushara Primary Health Clinic</t>
  </si>
  <si>
    <t xml:space="preserve"> Talek Clinic</t>
  </si>
  <si>
    <t xml:space="preserve"> Taprobane Medical Centre</t>
  </si>
  <si>
    <t xml:space="preserve"> Tashara Primary Health Centre</t>
  </si>
  <si>
    <t xml:space="preserve"> TD Maternity</t>
  </si>
  <si>
    <t xml:space="preserve"> The Crown Hospital LTD (Gwagwa)</t>
  </si>
  <si>
    <t xml:space="preserve"> Tokolu  Primary Health Clinic</t>
  </si>
  <si>
    <t xml:space="preserve"> Tolbert Specialist Hospital</t>
  </si>
  <si>
    <t xml:space="preserve"> Totogambiya Primary Health Centre</t>
  </si>
  <si>
    <t xml:space="preserve"> Trust  Charitos Hospital</t>
  </si>
  <si>
    <t xml:space="preserve"> Tsuani Primary Health Clinic</t>
  </si>
  <si>
    <t xml:space="preserve"> Tude Primary Health Centre</t>
  </si>
  <si>
    <t xml:space="preserve"> Tukpechi Primary Health Centre</t>
  </si>
  <si>
    <t xml:space="preserve"> Tunga Kwaso Primary Health Clinic</t>
  </si>
  <si>
    <t xml:space="preserve"> Tungan Gaya Primary Health Clinic</t>
  </si>
  <si>
    <t xml:space="preserve"> Tungan Guli Primary Health Clinic</t>
  </si>
  <si>
    <t xml:space="preserve"> Tungan Madaki Primary Health Clinic</t>
  </si>
  <si>
    <t xml:space="preserve"> Tungan Maje Health Clinic</t>
  </si>
  <si>
    <t xml:space="preserve"> Tungan Nasara Primary Health Centre</t>
  </si>
  <si>
    <t xml:space="preserve"> Tungan Sarki Primary Health clinic</t>
  </si>
  <si>
    <t xml:space="preserve"> Tunganbijimi Primary Health Clinic</t>
  </si>
  <si>
    <t xml:space="preserve"> Ubosharu Primary Health Clinic</t>
  </si>
  <si>
    <t xml:space="preserve"> Una Clinic</t>
  </si>
  <si>
    <t xml:space="preserve"> Unity Clinic &amp; Maternity</t>
  </si>
  <si>
    <t xml:space="preserve"> University of Abuja Teaching Hospital</t>
  </si>
  <si>
    <t xml:space="preserve"> Ushafa New Layout Health Centre</t>
  </si>
  <si>
    <t xml:space="preserve"> Ushafa Primary Health Center</t>
  </si>
  <si>
    <t xml:space="preserve"> Vinnette Medical Center</t>
  </si>
  <si>
    <t xml:space="preserve"> Viprona Health Clinic</t>
  </si>
  <si>
    <t xml:space="preserve"> Wako Primary Health Centre</t>
  </si>
  <si>
    <t xml:space="preserve"> Waru Primary Health Care Centre</t>
  </si>
  <si>
    <t xml:space="preserve"> Wassa Primary Health Clinic</t>
  </si>
  <si>
    <t xml:space="preserve"> Wellpoint Specialist Clinic</t>
  </si>
  <si>
    <t xml:space="preserve"> Wumi Health Clinic</t>
  </si>
  <si>
    <t xml:space="preserve"> Wuna Primary Health Clinic</t>
  </si>
  <si>
    <t xml:space="preserve"> Wuse General Hospital</t>
  </si>
  <si>
    <t xml:space="preserve"> Yaba Primary Health Clinic</t>
  </si>
  <si>
    <t xml:space="preserve"> Yabisam Hospital</t>
  </si>
  <si>
    <t xml:space="preserve"> Yambabu Primary Health Centre</t>
  </si>
  <si>
    <t xml:space="preserve"> Yanche Ward</t>
  </si>
  <si>
    <t xml:space="preserve"> Yanche Primary Health Centre</t>
  </si>
  <si>
    <t xml:space="preserve"> Yanga Primary Health Centre</t>
  </si>
  <si>
    <t xml:space="preserve"> Yangoji FSP Clinic</t>
  </si>
  <si>
    <t xml:space="preserve"> Yaupe Primary  Health Clinic</t>
  </si>
  <si>
    <t xml:space="preserve"> Yebu Primary Health Centre</t>
  </si>
  <si>
    <t xml:space="preserve"> Yewuti Primary Health Clinic</t>
  </si>
  <si>
    <t xml:space="preserve"> Yimi Primary Health Clinic</t>
  </si>
  <si>
    <t xml:space="preserve"> Zagabutu Primary Health Centre</t>
  </si>
  <si>
    <t xml:space="preserve"> Zankli Medical Centre (Mabushi)</t>
  </si>
  <si>
    <t xml:space="preserve"> Zhidu Primary Health Clinic</t>
  </si>
  <si>
    <t xml:space="preserve"> Zhigakuchi Primary Health Clinic</t>
  </si>
  <si>
    <t xml:space="preserve"> Zhiko Primary  Health Clinic</t>
  </si>
  <si>
    <t xml:space="preserve"> Zokotu Primary Health Centre</t>
  </si>
  <si>
    <t xml:space="preserve"> Zuba General Hospital</t>
  </si>
  <si>
    <t xml:space="preserve"> Zuba Primary Health Center</t>
  </si>
  <si>
    <t>Total Penta1</t>
  </si>
  <si>
    <t>Total Penta3</t>
  </si>
  <si>
    <t>Total ANC1</t>
  </si>
  <si>
    <t>Total ANC4</t>
  </si>
  <si>
    <t>Total ANC8</t>
  </si>
  <si>
    <t>Area Council</t>
  </si>
  <si>
    <t>Completeness Rating</t>
  </si>
  <si>
    <t>Completeness Score</t>
  </si>
  <si>
    <t>Selection Criteria</t>
  </si>
  <si>
    <t>Completeness: &gt;=90 Excellent; 85-89.9 Good; 80-84.9 Fair; &lt;80 Poor</t>
  </si>
  <si>
    <t>Service Delivery: &gt;=90 Excellent; 80-89.9 Good; 70-79.9 Fair; &lt;70 Poor</t>
  </si>
  <si>
    <t>Reported Values</t>
  </si>
  <si>
    <t>Missing Values</t>
  </si>
  <si>
    <t>Expected Values</t>
  </si>
  <si>
    <t>Completeness (%)</t>
  </si>
  <si>
    <t>Missing Critical Data</t>
  </si>
  <si>
    <t>Data Quality Flag</t>
  </si>
  <si>
    <t>Performance Category</t>
  </si>
  <si>
    <t>Facility Type</t>
  </si>
  <si>
    <t>Accept</t>
  </si>
  <si>
    <t>Review</t>
  </si>
  <si>
    <t>Incomplete</t>
  </si>
  <si>
    <t>General Hospital</t>
  </si>
  <si>
    <t>Private Hospital</t>
  </si>
  <si>
    <t>Faith-based</t>
  </si>
  <si>
    <t>Teaching Hospital</t>
  </si>
  <si>
    <t>Federal Medical Centre</t>
  </si>
  <si>
    <t>National Hospital</t>
  </si>
  <si>
    <t>Military</t>
  </si>
  <si>
    <t>Military/Security Hospital</t>
  </si>
  <si>
    <t>Air Force</t>
  </si>
  <si>
    <t>Airforce</t>
  </si>
  <si>
    <t>Army</t>
  </si>
  <si>
    <t>Naval</t>
  </si>
  <si>
    <t>Barrack</t>
  </si>
  <si>
    <t>Defence</t>
  </si>
  <si>
    <t>Police Hospital</t>
  </si>
  <si>
    <t>Medical Centre</t>
  </si>
  <si>
    <t>Specialist Hospital</t>
  </si>
  <si>
    <t>Specialist Clinic</t>
  </si>
  <si>
    <t>Hospital</t>
  </si>
  <si>
    <t>Maternity</t>
  </si>
  <si>
    <t>Private Clinic/Maternity</t>
  </si>
  <si>
    <t>Clinic</t>
  </si>
  <si>
    <t>Comprehensive Health Centre</t>
  </si>
  <si>
    <t>Primary Health Centre (PHC)</t>
  </si>
  <si>
    <t>Primary Health Care Centre</t>
  </si>
  <si>
    <t>Primary Health Centre</t>
  </si>
  <si>
    <t>Primary Health Center</t>
  </si>
  <si>
    <t>Primary Health Clinic</t>
  </si>
  <si>
    <t>Health Centre</t>
  </si>
  <si>
    <t>Health Center</t>
  </si>
  <si>
    <t>Health Clinic</t>
  </si>
  <si>
    <t>Health Post</t>
  </si>
  <si>
    <t>Basic Health Centre</t>
  </si>
  <si>
    <t>Basic Health Clinic</t>
  </si>
  <si>
    <t>Rating</t>
  </si>
  <si>
    <t>Excellent</t>
  </si>
  <si>
    <t>Good</t>
  </si>
  <si>
    <t>Fair</t>
  </si>
  <si>
    <t>Poor</t>
  </si>
  <si>
    <t>Score</t>
  </si>
  <si>
    <t>Category</t>
  </si>
  <si>
    <t>High-performing</t>
  </si>
  <si>
    <t>Moderate-performing</t>
  </si>
  <si>
    <t>Low-performing</t>
  </si>
  <si>
    <t>Yes</t>
  </si>
  <si>
    <t>No</t>
  </si>
  <si>
    <t>Selected</t>
  </si>
  <si>
    <t>Reserve</t>
  </si>
  <si>
    <t>Not Selected</t>
  </si>
  <si>
    <t>Selection Status</t>
  </si>
  <si>
    <t>Keyword</t>
  </si>
  <si>
    <t>Priority</t>
  </si>
  <si>
    <t>High-performing facility</t>
  </si>
  <si>
    <t>Moderate-performing facility</t>
  </si>
  <si>
    <t>Low-performing facility</t>
  </si>
  <si>
    <t>High client volume</t>
  </si>
  <si>
    <t>Implementation bottleneck</t>
  </si>
  <si>
    <t>Good data quality</t>
  </si>
  <si>
    <t>Geographic representation</t>
  </si>
  <si>
    <t>Government</t>
  </si>
  <si>
    <t>Police</t>
  </si>
  <si>
    <t>Private</t>
  </si>
  <si>
    <t>High outreach performance</t>
  </si>
  <si>
    <t>Excellent reporting completeness</t>
  </si>
  <si>
    <t>Poor reporting completeness</t>
  </si>
  <si>
    <t>Mission</t>
  </si>
  <si>
    <t>Catholic</t>
  </si>
  <si>
    <t>ECWA</t>
  </si>
  <si>
    <t>Indicator</t>
  </si>
  <si>
    <t>Formula</t>
  </si>
  <si>
    <t>Total Facilities</t>
  </si>
  <si>
    <t>Area Councils</t>
  </si>
  <si>
    <t>Wards</t>
  </si>
  <si>
    <t>Facilities Selected</t>
  </si>
  <si>
    <t>Mean Completeness (%)</t>
  </si>
  <si>
    <t>Mean Weighted Score</t>
  </si>
  <si>
    <t>Highest Score</t>
  </si>
  <si>
    <t>Lowest Score</t>
  </si>
  <si>
    <t>Excellent Completeness</t>
  </si>
  <si>
    <t>Good Completeness</t>
  </si>
  <si>
    <t>Fair Completeness</t>
  </si>
  <si>
    <t>Poor Completeness</t>
  </si>
  <si>
    <t>Average Fixed Session (%)</t>
  </si>
  <si>
    <t>Average Outreach Session (%)</t>
  </si>
  <si>
    <t>Average Weighted Score</t>
  </si>
  <si>
    <t>Rank</t>
  </si>
  <si>
    <t>Status</t>
  </si>
  <si>
    <t>Settlement Type</t>
  </si>
  <si>
    <t>Abuja Municipal Area Council</t>
  </si>
  <si>
    <t>Urban</t>
  </si>
  <si>
    <t>Gwagwalada Local Government Area</t>
  </si>
  <si>
    <t>Semi-urban/Rural</t>
  </si>
  <si>
    <t>Bwari Local Government Area</t>
  </si>
  <si>
    <t>Kuje Local Government Area</t>
  </si>
  <si>
    <t>Rural</t>
  </si>
  <si>
    <t>Kwali Local Government Area</t>
  </si>
  <si>
    <t>Abaji Local Government Area</t>
  </si>
  <si>
    <t>Urban representation</t>
  </si>
  <si>
    <t>Semi-urban/Rural representation</t>
  </si>
  <si>
    <t>Low outreach performance</t>
  </si>
  <si>
    <t>Hard-to-reach population</t>
  </si>
  <si>
    <t>Referral facility</t>
  </si>
  <si>
    <t>Unique service delivery model</t>
  </si>
  <si>
    <t>Facility ownership representation</t>
  </si>
  <si>
    <t>Facility type representation</t>
  </si>
  <si>
    <t>Primary Selection Criterion</t>
  </si>
  <si>
    <t>Secondary Selection Criterion</t>
  </si>
  <si>
    <t>Air Base</t>
  </si>
  <si>
    <t>Guards Battalion</t>
  </si>
  <si>
    <t>Battalion</t>
  </si>
  <si>
    <t>Defense</t>
  </si>
  <si>
    <t>Medical Reception Station</t>
  </si>
  <si>
    <t>Medical Services</t>
  </si>
  <si>
    <t>Fertility Centre</t>
  </si>
  <si>
    <t>Primary Health Care Center</t>
  </si>
  <si>
    <t>Other Facility</t>
  </si>
  <si>
    <t>Medical Center</t>
  </si>
  <si>
    <t>Comprehensive Health Center</t>
  </si>
  <si>
    <t>Basic Health Center</t>
  </si>
  <si>
    <t>University Teaching Hospital</t>
  </si>
  <si>
    <t>Navy</t>
  </si>
  <si>
    <t>Prison</t>
  </si>
  <si>
    <t>Correctional</t>
  </si>
  <si>
    <t>Customs</t>
  </si>
  <si>
    <t>Immigration</t>
  </si>
  <si>
    <t>FRSC</t>
  </si>
  <si>
    <t>NNPC</t>
  </si>
  <si>
    <t>Diagnostic Centre</t>
  </si>
  <si>
    <t>Diagnostic Center</t>
  </si>
  <si>
    <t>Fertility Center</t>
  </si>
  <si>
    <t>Faith-based Hospital</t>
  </si>
  <si>
    <t>Anglican</t>
  </si>
  <si>
    <t>Baptist</t>
  </si>
  <si>
    <t>Methodist</t>
  </si>
  <si>
    <t>Lutheran</t>
  </si>
  <si>
    <t>Seventh Day</t>
  </si>
  <si>
    <t>Tertiary</t>
  </si>
  <si>
    <t>Secondary</t>
  </si>
  <si>
    <t>Ownership (Default)</t>
  </si>
  <si>
    <t>Level of Care (Typical)</t>
  </si>
  <si>
    <t>Military/Government</t>
  </si>
  <si>
    <t>Secondary/Tertiary</t>
  </si>
  <si>
    <t>Government/Private</t>
  </si>
  <si>
    <t>Primary</t>
  </si>
  <si>
    <t>Primary/Secondary</t>
  </si>
  <si>
    <t>Selected Area Councils</t>
  </si>
  <si>
    <t>Unknown</t>
  </si>
  <si>
    <t>Duplicate Facility Name</t>
  </si>
  <si>
    <t>Avg Fixed Session (%)</t>
  </si>
  <si>
    <t>Avg Outreach Session (%)</t>
  </si>
  <si>
    <t>ANC4 Completion (%)</t>
  </si>
  <si>
    <t>ANC8 Completion (%)</t>
  </si>
  <si>
    <t>Penta Validity Status</t>
  </si>
  <si>
    <t>ANC Validity Status</t>
  </si>
  <si>
    <t>Overall Validation Status</t>
  </si>
  <si>
    <t>Service Delivery Domain Score</t>
  </si>
  <si>
    <t>Continuity of Care Domain Score</t>
  </si>
  <si>
    <t>Yes*</t>
  </si>
  <si>
    <t>Penta Completion (%)</t>
  </si>
  <si>
    <t>Penta Dropout (%)</t>
  </si>
  <si>
    <t>Remarks</t>
  </si>
  <si>
    <t>HFSI Rank</t>
  </si>
  <si>
    <t>Min</t>
  </si>
  <si>
    <t>Max</t>
  </si>
  <si>
    <t>Sampling Recommendation</t>
  </si>
  <si>
    <t>Eligible for FSF</t>
  </si>
  <si>
    <t>HFSI Score</t>
  </si>
  <si>
    <t>HFSI Performance Category</t>
  </si>
  <si>
    <t>Mean Fixed Session (%)</t>
  </si>
  <si>
    <t>Mean Outreach Session (%)</t>
  </si>
  <si>
    <t>Column1</t>
  </si>
  <si>
    <t>Parameter</t>
  </si>
  <si>
    <t>Value</t>
  </si>
  <si>
    <t>Description</t>
  </si>
  <si>
    <t>Fixed Session, Outreach Session, Penta1, Penta3, ANC1, ANC4, ANC8</t>
  </si>
  <si>
    <t>Expected observations per facility</t>
  </si>
  <si>
    <t>Unit</t>
  </si>
  <si>
    <t>Used In</t>
  </si>
  <si>
    <t>ReportingPeriodStart</t>
  </si>
  <si>
    <t>Date</t>
  </si>
  <si>
    <t>Start of rolling assessment period</t>
  </si>
  <si>
    <t>Methodology</t>
  </si>
  <si>
    <t>ReportingPeriodEnd</t>
  </si>
  <si>
    <t>End of rolling assessment period</t>
  </si>
  <si>
    <t>ReportingMonths</t>
  </si>
  <si>
    <t>Months</t>
  </si>
  <si>
    <t>Number of reporting months</t>
  </si>
  <si>
    <t>Data Quality Assessment</t>
  </si>
  <si>
    <t>MonthlyIndicators</t>
  </si>
  <si>
    <t>Indicators</t>
  </si>
  <si>
    <t>ExpectedValues</t>
  </si>
  <si>
    <t>Values</t>
  </si>
  <si>
    <t>PoorCompletenessUpper</t>
  </si>
  <si>
    <t>Proportion</t>
  </si>
  <si>
    <t>Upper limit for Poor completeness</t>
  </si>
  <si>
    <t>FairCompletenessLower</t>
  </si>
  <si>
    <t>Lower limit for Fair completeness</t>
  </si>
  <si>
    <t>FairCompletenessUpper</t>
  </si>
  <si>
    <t>Upper limit for Fair completeness</t>
  </si>
  <si>
    <t>GoodCompletenessLower</t>
  </si>
  <si>
    <t>Lower limit for Good completeness</t>
  </si>
  <si>
    <t>GoodCompletenessUpper</t>
  </si>
  <si>
    <t>Upper limit for Good completeness</t>
  </si>
  <si>
    <t>ExcellentCompletenessLower</t>
  </si>
  <si>
    <t>Lower limit for Excellent completeness</t>
  </si>
  <si>
    <t>MinimumAcceptCompleteness</t>
  </si>
  <si>
    <t>Minimum completeness required for automatic acceptance</t>
  </si>
  <si>
    <t>MaximumSessionCoverage</t>
  </si>
  <si>
    <t>Maximum valid fixed/outreach session coverage (100%)</t>
  </si>
  <si>
    <t>Validation</t>
  </si>
  <si>
    <t>MinimumSessionCoverage</t>
  </si>
  <si>
    <t>Minimum valid fixed/outreach session coverage</t>
  </si>
  <si>
    <t>MinimumCountValue</t>
  </si>
  <si>
    <t>Count</t>
  </si>
  <si>
    <t>Minimum valid service count</t>
  </si>
  <si>
    <t>HFSIExcellent</t>
  </si>
  <si>
    <t>Index</t>
  </si>
  <si>
    <t>Excellent performance threshold</t>
  </si>
  <si>
    <t>HFSI</t>
  </si>
  <si>
    <t>HFSIGood</t>
  </si>
  <si>
    <t>Good performance threshold</t>
  </si>
  <si>
    <t>HFSIModerate</t>
  </si>
  <si>
    <t>Moderate performance threshold</t>
  </si>
  <si>
    <t>HFSILow</t>
  </si>
  <si>
    <t>Low performance threshold</t>
  </si>
  <si>
    <t>Study Title</t>
  </si>
  <si>
    <t>Assessment of Coordination and Implementation Bottlenecks in Primary Health Care Service Delivery in the Federal Capital Territory, Abuja, Nigeria</t>
  </si>
  <si>
    <t>Country</t>
  </si>
  <si>
    <t>Nigeria</t>
  </si>
  <si>
    <t>State</t>
  </si>
  <si>
    <t>Federal Capital Territory</t>
  </si>
  <si>
    <t>Data Source</t>
  </si>
  <si>
    <t>DHIS2 Routine Administrative Data</t>
  </si>
  <si>
    <t>Rolling Assessment Period</t>
  </si>
  <si>
    <t>June 2025 – May 2026</t>
  </si>
  <si>
    <t>Observation Unit</t>
  </si>
  <si>
    <t>Health Facility</t>
  </si>
  <si>
    <t>Primary Service Domains</t>
  </si>
  <si>
    <t>Service Delivery &amp; Continuity of Care</t>
  </si>
  <si>
    <t>Composite Index</t>
  </si>
  <si>
    <t>Health Facility Stratification Index (HFSI)</t>
  </si>
  <si>
    <t>Framework</t>
  </si>
  <si>
    <t>Health Facility Selection Framework (HFSF)</t>
  </si>
  <si>
    <t>Health Facility Scope</t>
  </si>
  <si>
    <t>Primary, secondary, and tertiary-level health facilities providing primary health care services</t>
  </si>
  <si>
    <t>Data Quality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</si>
</sst>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"/>
  </numFmts>
  <fonts count="9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  <font>
      <b/>
      <sz val="11"/>
      <name val="Calibri"/>
      <family val="2"/>
    </font>
    <font>
      <b/>
      <sz val="13.5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7" fillId="0" borderId="0" applyFont="0" applyFill="0" applyBorder="0" applyAlignment="0" applyProtection="0"/>
  </cellStyleXfs>
  <cellXfs count="42">
    <xf numFmtId="0" fontId="0" fillId="0" borderId="0" xfId="0"/>
    <xf numFmtId="0" fontId="1" fillId="0" borderId="0" xfId="0" applyFont="1"/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wrapText="1"/>
    </xf>
    <xf numFmtId="0" fontId="3" fillId="0" borderId="0" xfId="0" applyFont="1" applyAlignment="1">
      <alignment horizontal="center" vertical="top" wrapText="1"/>
    </xf>
    <xf numFmtId="0" fontId="3" fillId="0" borderId="0" xfId="0" applyFont="1" applyAlignment="1">
      <alignment horizontal="right" vertical="top" wrapText="1"/>
    </xf>
    <xf numFmtId="0" fontId="0" fillId="0" borderId="0" xfId="0" applyAlignment="1">
      <alignment vertical="top" wrapText="1"/>
    </xf>
    <xf numFmtId="0" fontId="4" fillId="0" borderId="0" xfId="0" applyFont="1" applyAlignment="1">
      <alignment vertical="top" wrapText="1"/>
    </xf>
    <xf numFmtId="0" fontId="4" fillId="0" borderId="0" xfId="0" applyFont="1" applyAlignment="1">
      <alignment horizontal="right" vertical="top" wrapText="1"/>
    </xf>
    <xf numFmtId="2" fontId="0" fillId="0" borderId="0" xfId="0" applyNumberFormat="1" applyAlignment="1">
      <alignment wrapText="1"/>
    </xf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center" wrapText="1"/>
    </xf>
    <xf numFmtId="2" fontId="0" fillId="0" borderId="0" xfId="0" applyNumberFormat="1" applyAlignment="1">
      <alignment vertical="top" wrapText="1"/>
    </xf>
    <xf numFmtId="0" fontId="0" fillId="0" borderId="0" xfId="0" applyAlignment="1">
      <alignment horizontal="right" vertical="center" wrapText="1"/>
    </xf>
    <xf numFmtId="0" fontId="3" fillId="0" borderId="0" xfId="0" applyFont="1" applyAlignment="1">
      <alignment horizontal="right" vertical="center" wrapText="1"/>
    </xf>
    <xf numFmtId="0" fontId="3" fillId="0" borderId="0" xfId="0" applyFont="1" applyAlignment="1">
      <alignment wrapText="1"/>
    </xf>
    <xf numFmtId="0" fontId="3" fillId="0" borderId="0" xfId="0" applyFont="1" applyAlignment="1">
      <alignment vertical="center" wrapText="1"/>
    </xf>
    <xf numFmtId="0" fontId="5" fillId="0" borderId="0" xfId="0" applyFont="1" applyAlignment="1">
      <alignment vertical="top" wrapText="1"/>
    </xf>
    <xf numFmtId="0" fontId="6" fillId="0" borderId="0" xfId="0" applyFont="1" applyAlignment="1">
      <alignment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vertical="top"/>
    </xf>
    <xf numFmtId="2" fontId="3" fillId="0" borderId="0" xfId="0" applyNumberFormat="1" applyFont="1" applyAlignment="1">
      <alignment vertical="top" wrapText="1"/>
    </xf>
    <xf numFmtId="9" fontId="0" fillId="0" borderId="0" xfId="1" applyFont="1" applyAlignment="1">
      <alignment vertical="top" wrapText="1"/>
    </xf>
    <xf numFmtId="9" fontId="3" fillId="0" borderId="0" xfId="1" applyFont="1" applyAlignment="1">
      <alignment vertical="top" wrapText="1"/>
    </xf>
    <xf numFmtId="9" fontId="0" fillId="0" borderId="0" xfId="1" applyFont="1" applyAlignment="1">
      <alignment wrapText="1"/>
    </xf>
    <xf numFmtId="0" fontId="8" fillId="0" borderId="0" xfId="0" applyFont="1" applyAlignment="1">
      <alignment vertical="top" wrapText="1"/>
    </xf>
    <xf numFmtId="164" fontId="3" fillId="0" borderId="0" xfId="1" applyNumberFormat="1" applyFont="1" applyAlignment="1">
      <alignment vertical="top" wrapText="1"/>
    </xf>
    <xf numFmtId="164" fontId="0" fillId="0" borderId="0" xfId="1" applyNumberFormat="1" applyFont="1" applyAlignment="1">
      <alignment vertical="top" wrapText="1"/>
    </xf>
    <xf numFmtId="164" fontId="0" fillId="0" borderId="0" xfId="1" applyNumberFormat="1" applyFont="1" applyAlignment="1">
      <alignment wrapText="1"/>
    </xf>
    <xf numFmtId="165" fontId="0" fillId="0" borderId="0" xfId="0" applyNumberFormat="1" applyAlignment="1">
      <alignment vertical="top" wrapText="1"/>
    </xf>
    <xf numFmtId="49" fontId="2" fillId="0" borderId="1" xfId="0" applyNumberFormat="1" applyFont="1" applyBorder="1" applyAlignment="1">
      <alignment vertical="top" wrapText="1"/>
    </xf>
    <xf numFmtId="49" fontId="0" fillId="0" borderId="1" xfId="0" applyNumberFormat="1" applyBorder="1" applyAlignment="1">
      <alignment wrapText="1"/>
    </xf>
    <xf numFmtId="165" fontId="2" fillId="0" borderId="1" xfId="0" applyNumberFormat="1" applyFont="1" applyBorder="1" applyAlignment="1">
      <alignment vertical="top" wrapText="1"/>
    </xf>
    <xf numFmtId="165" fontId="0" fillId="0" borderId="1" xfId="0" applyNumberFormat="1" applyBorder="1" applyAlignment="1">
      <alignment wrapText="1"/>
    </xf>
    <xf numFmtId="1" fontId="2" fillId="0" borderId="1" xfId="0" applyNumberFormat="1" applyFont="1" applyBorder="1" applyAlignment="1">
      <alignment vertical="top" wrapText="1"/>
    </xf>
    <xf numFmtId="1" fontId="0" fillId="0" borderId="1" xfId="0" applyNumberFormat="1" applyBorder="1" applyAlignment="1">
      <alignment wrapText="1"/>
    </xf>
    <xf numFmtId="49" fontId="0" fillId="0" borderId="0" xfId="0" applyNumberFormat="1" applyAlignment="1">
      <alignment wrapText="1"/>
    </xf>
    <xf numFmtId="0" fontId="0" fillId="0" borderId="1" xfId="0" applyBorder="1" applyAlignment="1">
      <alignment wrapText="1"/>
    </xf>
    <xf numFmtId="165" fontId="0" fillId="0" borderId="0" xfId="0" applyNumberFormat="1" applyAlignment="1">
      <alignment wrapText="1"/>
    </xf>
    <xf numFmtId="1" fontId="0" fillId="0" borderId="0" xfId="0" applyNumberFormat="1" applyAlignment="1">
      <alignment wrapText="1"/>
    </xf>
    <xf numFmtId="15" fontId="0" fillId="0" borderId="0" xfId="0" applyNumberFormat="1" applyAlignment="1">
      <alignment horizontal="right" vertical="center" wrapText="1"/>
    </xf>
  </cellXfs>
  <cellStyles count="2">
    <cellStyle name="Normal" xfId="0" builtinId="0"/>
    <cellStyle name="Percent" xfId="1" builtinId="5"/>
  </cellStyles>
  <dxfs count="37"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.5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.5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top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F3C42AF5-AA68-4427-83A4-BB77B871A173}" name="tblIndicatorScore" displayName="tblIndicatorScore" ref="A83:D87" totalsRowShown="0">
  <autoFilter ref="A83:D87" xr:uid="{F3C42AF5-AA68-4427-83A4-BB77B871A173}"/>
  <sortState xmlns:xlrd2="http://schemas.microsoft.com/office/spreadsheetml/2017/richdata2" ref="A84:D87">
    <sortCondition ref="D84:D87"/>
  </sortState>
  <tableColumns count="4">
    <tableColumn id="1" xr3:uid="{3FE35CF8-8229-489B-9D9A-B35987C9AE9A}" name="Min"/>
    <tableColumn id="2" xr3:uid="{6D0A2D76-57EF-433D-A07A-A08D5D7F3387}" name="Max"/>
    <tableColumn id="3" xr3:uid="{E0B1E606-2C95-4E4A-95C0-2D3DE1DEB832}" name="Rating"/>
    <tableColumn id="4" xr3:uid="{4992857B-80B2-4ADE-87BB-B2588E713397}" name="Score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77D4FC25-20F8-4422-B08D-2BB83D2B180A}" name="tblPerformanceCategory" displayName="tblPerformanceCategory" ref="A90:E93" totalsRowShown="0">
  <autoFilter ref="A90:E93" xr:uid="{77D4FC25-20F8-4422-B08D-2BB83D2B180A}"/>
  <tableColumns count="5">
    <tableColumn id="1" xr3:uid="{EB1903AB-750E-4C7D-B632-E6E75342B0B8}" name="Min"/>
    <tableColumn id="2" xr3:uid="{80801DF3-F665-4CDC-A588-4B7B3B34261F}" name="Max"/>
    <tableColumn id="3" xr3:uid="{5202F1DC-9B6D-4337-B064-225940EEF377}" name="Performance Category"/>
    <tableColumn id="4" xr3:uid="{A6B7BF4A-45DA-4DD3-92E7-03CD00B971A0}" name="Sampling Recommendation"/>
    <tableColumn id="5" xr3:uid="{7EAB095C-A325-499C-80E8-1A1A336425EA}" name="Eligible for FSF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42C080D6-48C6-4049-9299-065524771AFC}" name="tblSelectionStatus" displayName="tblSelectionStatus" ref="A96:A99" totalsRowShown="0" headerRowDxfId="36" dataDxfId="35">
  <autoFilter ref="A96:A99" xr:uid="{42C080D6-48C6-4049-9299-065524771AFC}"/>
  <tableColumns count="1">
    <tableColumn id="1" xr3:uid="{80062540-6D7D-4AD2-B03E-21DC79B44F9F}" name="Selection Status" dataDxfId="34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D21D47D7-C906-4DB8-AD5E-309380508C8A}" name="tblSelectionReason" displayName="tblSelectionReason" ref="A102:A120" totalsRowShown="0" headerRowDxfId="33">
  <autoFilter ref="A102:A120" xr:uid="{D21D47D7-C906-4DB8-AD5E-309380508C8A}"/>
  <tableColumns count="1">
    <tableColumn id="1" xr3:uid="{48DCC169-A04D-4A79-97EB-295FDA439109}" name="Secondary Selection Criterion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581ADA7D-01CB-4B78-9E77-1DEFCBD8AEE0}" name="tblSettlementType" displayName="tblSettlementType" ref="A123:B129" totalsRowShown="0" headerRowDxfId="32" dataDxfId="31">
  <autoFilter ref="A123:B129" xr:uid="{581ADA7D-01CB-4B78-9E77-1DEFCBD8AEE0}"/>
  <tableColumns count="2">
    <tableColumn id="1" xr3:uid="{6158533A-DD51-42C0-A946-2DE026AABE3C}" name="Area Council" dataDxfId="30"/>
    <tableColumn id="2" xr3:uid="{1420A459-CA92-4DDA-A06B-632C2B78E6FC}" name="Settlement Type" dataDxfId="29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32588BD0-F842-47B3-952A-5BCA168BC47A}" name="tblSelectedAreaCouncil" displayName="tblSelectedAreaCouncil" ref="A132:B138" totalsRowShown="0" headerRowDxfId="28" dataDxfId="27">
  <autoFilter ref="A132:B138" xr:uid="{32588BD0-F842-47B3-952A-5BCA168BC47A}"/>
  <tableColumns count="2">
    <tableColumn id="1" xr3:uid="{B8EB6638-837B-494B-97E6-3DDCE8ECACFD}" name="Area Council" dataDxfId="26"/>
    <tableColumn id="2" xr3:uid="{DD0869A9-C362-4E0E-BA07-786E7AA705EF}" name="Selected Area Councils" dataDxfId="25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3F78A422-AEE8-42B1-B54C-F0A24A603AD4}" name="tblPrimarySelectionCriterion" displayName="tblPrimarySelectionCriterion" ref="A141:A144" totalsRowShown="0" headerRowDxfId="24" dataDxfId="23">
  <autoFilter ref="A141:A144" xr:uid="{3F78A422-AEE8-42B1-B54C-F0A24A603AD4}"/>
  <tableColumns count="1">
    <tableColumn id="1" xr3:uid="{3DF51DD3-22AC-4525-8D9E-CBD17F94C588}" name="Primary Selection Criterion" dataDxfId="22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50417E12-E84E-45BA-A505-97C9449EADDB}" name="tblSecondarySelectionCriterion" displayName="tblSecondarySelectionCriterion" ref="A147:A162" totalsRowShown="0" headerRowDxfId="21" dataDxfId="20">
  <autoFilter ref="A147:A162" xr:uid="{50417E12-E84E-45BA-A505-97C9449EADDB}"/>
  <tableColumns count="1">
    <tableColumn id="1" xr3:uid="{1071DDF5-BE0E-46B3-B44C-C6839DAC82A8}" name="Secondary Selection Criterion" dataDxfId="19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B5CAEB3F-EBCA-4341-A05E-C41E02E9D2C1}" name="tblFacilityKeywordLookup" displayName="tblFacilityKeywordLookup" ref="A1:C62" totalsRowShown="0" headerRowDxfId="18" dataDxfId="17">
  <autoFilter ref="A1:C62" xr:uid="{B5CAEB3F-EBCA-4341-A05E-C41E02E9D2C1}"/>
  <tableColumns count="3">
    <tableColumn id="1" xr3:uid="{E85325EA-B1C0-499D-AF77-F0D004868FF0}" name="Keyword" dataDxfId="16"/>
    <tableColumn id="2" xr3:uid="{023CB083-26C7-4198-AE6A-3D233484A34C}" name="Facility Type" dataDxfId="15"/>
    <tableColumn id="3" xr3:uid="{40B806CC-956A-40AF-BF36-B8E01A19904C}" name="Priority" dataDxfId="14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9345DB25-1031-48A1-BD63-DAC093441FC5}" name="tblFacilityTypes" displayName="tblFacilityTypes" ref="A65:C80" totalsRowShown="0" headerRowDxfId="13" dataDxfId="12">
  <autoFilter ref="A65:C80" xr:uid="{9345DB25-1031-48A1-BD63-DAC093441FC5}"/>
  <tableColumns count="3">
    <tableColumn id="1" xr3:uid="{89D54B0A-A4A8-4C5C-8B22-27CA689A7FF0}" name="Facility Type" dataDxfId="11"/>
    <tableColumn id="4" xr3:uid="{33831293-DE4E-4F30-972F-364DA06A5A9F}" name="Ownership (Default)" dataDxfId="10"/>
    <tableColumn id="3" xr3:uid="{7D601C10-93B2-40ED-893A-8A8A0D3484EF}" name="Level of Care (Typical)" dataDxfId="9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231BE4C-2BF5-478F-BFF9-BE1E695FEE42}" name="tblExpectedValues" displayName="tblExpectedValues" ref="A165:A166" totalsRowShown="0" headerRowDxfId="8" dataDxfId="7">
  <autoFilter ref="A165:A166" xr:uid="{2231BE4C-2BF5-478F-BFF9-BE1E695FEE42}"/>
  <tableColumns count="1">
    <tableColumn id="1" xr3:uid="{314DDF51-5BB0-49A9-BBEB-3463273363FA}" name="Column1" dataDxfId="6">
      <calculatedColumnFormula>COUNTA(Raw_Data!$D$1:$CI$1)</calculatedColumnFormula>
    </tableColumn>
  </tableColumns>
  <tableStyleInfo name="TableStyleMedium9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76A6358-332E-4594-B1A0-B31386EEF52C}" name="tblParameters" displayName="tblParameters" ref="A169:E188" totalsRowShown="0">
  <autoFilter ref="A169:E188" xr:uid="{F76A6358-332E-4594-B1A0-B31386EEF52C}"/>
  <tableColumns count="5">
    <tableColumn id="1" xr3:uid="{E284590A-D985-481E-8158-760E90C67AB3}" name="Parameter"/>
    <tableColumn id="2" xr3:uid="{4D39B4D2-8788-4F84-A8AF-263AA026132E}" name="Value"/>
    <tableColumn id="3" xr3:uid="{906C8AC3-C41B-4E7C-8D49-9365DFC7750A}" name="Unit"/>
    <tableColumn id="4" xr3:uid="{BA650F69-1858-474B-B9A9-768BEB5F9079}" name="Description" dataDxfId="5"/>
    <tableColumn id="5" xr3:uid="{8CF33F1F-D580-49A7-8198-9BBC9DE96175}" name="Used In" dataDxfId="4"/>
  </tableColumns>
  <tableStyleInfo name="TableStyleMedium9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7B4BA66-3575-4E56-9575-6C509DC41BC8}" name="tblStudyInformation" displayName="tblStudyInformation" ref="A191:B201" totalsRowShown="0" headerRowDxfId="3" dataDxfId="2">
  <autoFilter ref="A191:B201" xr:uid="{C7B4BA66-3575-4E56-9575-6C509DC41BC8}"/>
  <tableColumns count="2">
    <tableColumn id="1" xr3:uid="{6CEB6815-7436-4D29-BAD1-3AD665C91155}" name="Parameter" dataDxfId="1"/>
    <tableColumn id="2" xr3:uid="{D1E0819E-C40B-4CFD-844D-BC761E6D1BD4}" name="Value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13" Type="http://schemas.openxmlformats.org/officeDocument/2006/relationships/table" Target="../tables/table13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12" Type="http://schemas.openxmlformats.org/officeDocument/2006/relationships/table" Target="../tables/table12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11" Type="http://schemas.openxmlformats.org/officeDocument/2006/relationships/table" Target="../tables/table11.xml"/><Relationship Id="rId5" Type="http://schemas.openxmlformats.org/officeDocument/2006/relationships/table" Target="../tables/table5.xml"/><Relationship Id="rId10" Type="http://schemas.openxmlformats.org/officeDocument/2006/relationships/table" Target="../tables/table10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CO398"/>
  <sheetViews>
    <sheetView workbookViewId="0"/>
  </sheetViews>
  <sheetFormatPr defaultRowHeight="15"/>
  <cols>
    <col min="1" max="3" width="9.140625" style="37"/>
    <col min="4" max="27" width="9.140625" style="39"/>
    <col min="28" max="87" width="9.140625" style="40"/>
    <col min="88" max="16384" width="9.140625" style="4"/>
  </cols>
  <sheetData>
    <row r="1" spans="1:93" s="7" customFormat="1" ht="90" customHeight="1">
      <c r="A1" s="31" t="s">
        <v>0</v>
      </c>
      <c r="B1" s="31" t="s">
        <v>1</v>
      </c>
      <c r="C1" s="31" t="s">
        <v>2</v>
      </c>
      <c r="D1" s="33" t="s">
        <v>3</v>
      </c>
      <c r="E1" s="33" t="s">
        <v>4</v>
      </c>
      <c r="F1" s="33" t="s">
        <v>5</v>
      </c>
      <c r="G1" s="33" t="s">
        <v>6</v>
      </c>
      <c r="H1" s="33" t="s">
        <v>7</v>
      </c>
      <c r="I1" s="33" t="s">
        <v>8</v>
      </c>
      <c r="J1" s="33" t="s">
        <v>9</v>
      </c>
      <c r="K1" s="33" t="s">
        <v>10</v>
      </c>
      <c r="L1" s="33" t="s">
        <v>11</v>
      </c>
      <c r="M1" s="33" t="s">
        <v>12</v>
      </c>
      <c r="N1" s="33" t="s">
        <v>13</v>
      </c>
      <c r="O1" s="33" t="s">
        <v>14</v>
      </c>
      <c r="P1" s="33" t="s">
        <v>15</v>
      </c>
      <c r="Q1" s="33" t="s">
        <v>16</v>
      </c>
      <c r="R1" s="33" t="s">
        <v>17</v>
      </c>
      <c r="S1" s="33" t="s">
        <v>18</v>
      </c>
      <c r="T1" s="33" t="s">
        <v>19</v>
      </c>
      <c r="U1" s="33" t="s">
        <v>20</v>
      </c>
      <c r="V1" s="33" t="s">
        <v>21</v>
      </c>
      <c r="W1" s="33" t="s">
        <v>22</v>
      </c>
      <c r="X1" s="33" t="s">
        <v>23</v>
      </c>
      <c r="Y1" s="33" t="s">
        <v>24</v>
      </c>
      <c r="Z1" s="33" t="s">
        <v>25</v>
      </c>
      <c r="AA1" s="33" t="s">
        <v>26</v>
      </c>
      <c r="AB1" s="35" t="s">
        <v>27</v>
      </c>
      <c r="AC1" s="35" t="s">
        <v>28</v>
      </c>
      <c r="AD1" s="35" t="s">
        <v>29</v>
      </c>
      <c r="AE1" s="35" t="s">
        <v>30</v>
      </c>
      <c r="AF1" s="35" t="s">
        <v>31</v>
      </c>
      <c r="AG1" s="35" t="s">
        <v>32</v>
      </c>
      <c r="AH1" s="35" t="s">
        <v>33</v>
      </c>
      <c r="AI1" s="35" t="s">
        <v>34</v>
      </c>
      <c r="AJ1" s="35" t="s">
        <v>35</v>
      </c>
      <c r="AK1" s="35" t="s">
        <v>36</v>
      </c>
      <c r="AL1" s="35" t="s">
        <v>37</v>
      </c>
      <c r="AM1" s="35" t="s">
        <v>38</v>
      </c>
      <c r="AN1" s="35" t="s">
        <v>39</v>
      </c>
      <c r="AO1" s="35" t="s">
        <v>40</v>
      </c>
      <c r="AP1" s="35" t="s">
        <v>41</v>
      </c>
      <c r="AQ1" s="35" t="s">
        <v>42</v>
      </c>
      <c r="AR1" s="35" t="s">
        <v>43</v>
      </c>
      <c r="AS1" s="35" t="s">
        <v>44</v>
      </c>
      <c r="AT1" s="35" t="s">
        <v>45</v>
      </c>
      <c r="AU1" s="35" t="s">
        <v>46</v>
      </c>
      <c r="AV1" s="35" t="s">
        <v>47</v>
      </c>
      <c r="AW1" s="35" t="s">
        <v>48</v>
      </c>
      <c r="AX1" s="35" t="s">
        <v>49</v>
      </c>
      <c r="AY1" s="35" t="s">
        <v>50</v>
      </c>
      <c r="AZ1" s="35" t="s">
        <v>51</v>
      </c>
      <c r="BA1" s="35" t="s">
        <v>52</v>
      </c>
      <c r="BB1" s="35" t="s">
        <v>53</v>
      </c>
      <c r="BC1" s="35" t="s">
        <v>54</v>
      </c>
      <c r="BD1" s="35" t="s">
        <v>55</v>
      </c>
      <c r="BE1" s="35" t="s">
        <v>56</v>
      </c>
      <c r="BF1" s="35" t="s">
        <v>57</v>
      </c>
      <c r="BG1" s="35" t="s">
        <v>58</v>
      </c>
      <c r="BH1" s="35" t="s">
        <v>59</v>
      </c>
      <c r="BI1" s="35" t="s">
        <v>60</v>
      </c>
      <c r="BJ1" s="35" t="s">
        <v>61</v>
      </c>
      <c r="BK1" s="35" t="s">
        <v>62</v>
      </c>
      <c r="BL1" s="35" t="s">
        <v>63</v>
      </c>
      <c r="BM1" s="35" t="s">
        <v>64</v>
      </c>
      <c r="BN1" s="35" t="s">
        <v>65</v>
      </c>
      <c r="BO1" s="35" t="s">
        <v>66</v>
      </c>
      <c r="BP1" s="35" t="s">
        <v>67</v>
      </c>
      <c r="BQ1" s="35" t="s">
        <v>68</v>
      </c>
      <c r="BR1" s="35" t="s">
        <v>69</v>
      </c>
      <c r="BS1" s="35" t="s">
        <v>70</v>
      </c>
      <c r="BT1" s="35" t="s">
        <v>71</v>
      </c>
      <c r="BU1" s="35" t="s">
        <v>72</v>
      </c>
      <c r="BV1" s="35" t="s">
        <v>73</v>
      </c>
      <c r="BW1" s="35" t="s">
        <v>74</v>
      </c>
      <c r="BX1" s="35" t="s">
        <v>75</v>
      </c>
      <c r="BY1" s="35" t="s">
        <v>76</v>
      </c>
      <c r="BZ1" s="35" t="s">
        <v>77</v>
      </c>
      <c r="CA1" s="35" t="s">
        <v>78</v>
      </c>
      <c r="CB1" s="35" t="s">
        <v>79</v>
      </c>
      <c r="CC1" s="35" t="s">
        <v>80</v>
      </c>
      <c r="CD1" s="35" t="s">
        <v>81</v>
      </c>
      <c r="CE1" s="35" t="s">
        <v>82</v>
      </c>
      <c r="CF1" s="35" t="s">
        <v>83</v>
      </c>
      <c r="CG1" s="35" t="s">
        <v>84</v>
      </c>
      <c r="CH1" s="35" t="s">
        <v>85</v>
      </c>
      <c r="CI1" s="35" t="s">
        <v>86</v>
      </c>
      <c r="CK1" s="4"/>
    </row>
    <row r="2" spans="1:93" ht="75" customHeight="1">
      <c r="A2" s="32" t="s">
        <v>87</v>
      </c>
      <c r="B2" s="32" t="s">
        <v>88</v>
      </c>
      <c r="C2" s="32" t="s">
        <v>89</v>
      </c>
      <c r="D2" s="38">
        <v>100</v>
      </c>
      <c r="E2" s="34">
        <v>100</v>
      </c>
      <c r="F2" s="34"/>
      <c r="G2" s="34"/>
      <c r="H2" s="34"/>
      <c r="I2" s="34">
        <v>100</v>
      </c>
      <c r="J2" s="34">
        <v>100</v>
      </c>
      <c r="K2" s="34"/>
      <c r="L2" s="34"/>
      <c r="M2" s="34"/>
      <c r="N2" s="34"/>
      <c r="O2" s="34"/>
      <c r="P2" s="34"/>
      <c r="Q2" s="34"/>
      <c r="R2" s="34"/>
      <c r="S2" s="34"/>
      <c r="T2" s="34"/>
      <c r="U2" s="34">
        <v>100</v>
      </c>
      <c r="V2" s="34">
        <v>87.5</v>
      </c>
      <c r="W2" s="34"/>
      <c r="X2" s="34"/>
      <c r="Y2" s="34"/>
      <c r="Z2" s="34"/>
      <c r="AA2" s="34"/>
      <c r="AB2" s="36">
        <v>68</v>
      </c>
      <c r="AC2" s="36">
        <v>58</v>
      </c>
      <c r="AD2" s="36">
        <v>42</v>
      </c>
      <c r="AE2" s="36">
        <v>43</v>
      </c>
      <c r="AF2" s="36"/>
      <c r="AG2" s="36">
        <v>61</v>
      </c>
      <c r="AH2" s="36">
        <v>47</v>
      </c>
      <c r="AI2" s="36">
        <v>73</v>
      </c>
      <c r="AJ2" s="36"/>
      <c r="AK2" s="36">
        <v>42</v>
      </c>
      <c r="AL2" s="36"/>
      <c r="AM2" s="36"/>
      <c r="AN2" s="36">
        <v>46</v>
      </c>
      <c r="AO2" s="36">
        <v>55</v>
      </c>
      <c r="AP2" s="36">
        <v>27</v>
      </c>
      <c r="AQ2" s="36">
        <v>54</v>
      </c>
      <c r="AR2" s="36"/>
      <c r="AS2" s="36">
        <v>46</v>
      </c>
      <c r="AT2" s="36">
        <v>49</v>
      </c>
      <c r="AU2" s="36">
        <v>62</v>
      </c>
      <c r="AV2" s="36"/>
      <c r="AW2" s="36">
        <v>61</v>
      </c>
      <c r="AX2" s="36"/>
      <c r="AY2" s="36"/>
      <c r="AZ2" s="36">
        <v>69</v>
      </c>
      <c r="BA2" s="36">
        <v>75</v>
      </c>
      <c r="BB2" s="36">
        <v>112</v>
      </c>
      <c r="BC2" s="36">
        <v>167</v>
      </c>
      <c r="BD2" s="36"/>
      <c r="BE2" s="36">
        <v>206</v>
      </c>
      <c r="BF2" s="36">
        <v>219</v>
      </c>
      <c r="BG2" s="36">
        <v>89</v>
      </c>
      <c r="BH2" s="36"/>
      <c r="BI2" s="36">
        <v>179</v>
      </c>
      <c r="BJ2" s="36"/>
      <c r="BK2" s="36"/>
      <c r="BL2" s="36">
        <v>42</v>
      </c>
      <c r="BM2" s="36">
        <v>30</v>
      </c>
      <c r="BN2" s="36">
        <v>36</v>
      </c>
      <c r="BO2" s="36">
        <v>92</v>
      </c>
      <c r="BP2" s="36"/>
      <c r="BQ2" s="36"/>
      <c r="BR2" s="36"/>
      <c r="BS2" s="36">
        <v>62</v>
      </c>
      <c r="BT2" s="36"/>
      <c r="BU2" s="36">
        <v>86</v>
      </c>
      <c r="BV2" s="36"/>
      <c r="BW2" s="36"/>
      <c r="BX2" s="36">
        <v>19</v>
      </c>
      <c r="BY2" s="36"/>
      <c r="BZ2" s="36"/>
      <c r="CA2" s="36"/>
      <c r="CB2" s="36"/>
      <c r="CC2" s="36"/>
      <c r="CD2" s="36"/>
      <c r="CE2" s="36">
        <v>57</v>
      </c>
      <c r="CF2" s="36"/>
      <c r="CG2" s="36">
        <v>73</v>
      </c>
      <c r="CH2" s="36"/>
      <c r="CI2" s="36"/>
      <c r="CK2" s="4" t="b">
        <f>ISNUMBER(D2)</f>
        <v>1</v>
      </c>
      <c r="CO2" s="10"/>
    </row>
    <row r="3" spans="1:93" ht="90" customHeight="1">
      <c r="A3" s="32" t="s">
        <v>87</v>
      </c>
      <c r="B3" s="32" t="s">
        <v>90</v>
      </c>
      <c r="C3" s="32" t="s">
        <v>91</v>
      </c>
      <c r="D3" s="34"/>
      <c r="E3" s="34"/>
      <c r="F3" s="34">
        <v>100</v>
      </c>
      <c r="G3" s="34">
        <v>100</v>
      </c>
      <c r="H3" s="34">
        <v>100</v>
      </c>
      <c r="I3" s="34">
        <v>100</v>
      </c>
      <c r="J3" s="34">
        <v>100</v>
      </c>
      <c r="K3" s="34">
        <v>100</v>
      </c>
      <c r="L3" s="34">
        <v>100</v>
      </c>
      <c r="M3" s="34">
        <v>100</v>
      </c>
      <c r="N3" s="34">
        <v>100</v>
      </c>
      <c r="O3" s="34">
        <v>75</v>
      </c>
      <c r="P3" s="34"/>
      <c r="Q3" s="34"/>
      <c r="R3" s="34"/>
      <c r="S3" s="34"/>
      <c r="T3" s="34"/>
      <c r="U3" s="34">
        <v>100</v>
      </c>
      <c r="V3" s="34">
        <v>100</v>
      </c>
      <c r="W3" s="34"/>
      <c r="X3" s="34"/>
      <c r="Y3" s="34"/>
      <c r="Z3" s="34">
        <v>100</v>
      </c>
      <c r="AA3" s="34"/>
      <c r="AB3" s="36"/>
      <c r="AC3" s="36"/>
      <c r="AD3" s="36">
        <v>6</v>
      </c>
      <c r="AE3" s="36">
        <v>10</v>
      </c>
      <c r="AF3" s="36">
        <v>11</v>
      </c>
      <c r="AG3" s="36">
        <v>12</v>
      </c>
      <c r="AH3" s="36">
        <v>8</v>
      </c>
      <c r="AI3" s="36">
        <v>8</v>
      </c>
      <c r="AJ3" s="36">
        <v>13</v>
      </c>
      <c r="AK3" s="36">
        <v>15</v>
      </c>
      <c r="AL3" s="36">
        <v>16</v>
      </c>
      <c r="AM3" s="36">
        <v>6</v>
      </c>
      <c r="AN3" s="36"/>
      <c r="AO3" s="36"/>
      <c r="AP3" s="36">
        <v>27</v>
      </c>
      <c r="AQ3" s="36">
        <v>14</v>
      </c>
      <c r="AR3" s="36">
        <v>8</v>
      </c>
      <c r="AS3" s="36">
        <v>13</v>
      </c>
      <c r="AT3" s="36">
        <v>10</v>
      </c>
      <c r="AU3" s="36">
        <v>9</v>
      </c>
      <c r="AV3" s="36">
        <v>16</v>
      </c>
      <c r="AW3" s="36">
        <v>13</v>
      </c>
      <c r="AX3" s="36">
        <v>8</v>
      </c>
      <c r="AY3" s="36">
        <v>5</v>
      </c>
      <c r="AZ3" s="36"/>
      <c r="BA3" s="36"/>
      <c r="BB3" s="36">
        <v>38</v>
      </c>
      <c r="BC3" s="36">
        <v>16</v>
      </c>
      <c r="BD3" s="36">
        <v>1</v>
      </c>
      <c r="BE3" s="36"/>
      <c r="BF3" s="36">
        <v>6</v>
      </c>
      <c r="BG3" s="36">
        <v>9</v>
      </c>
      <c r="BH3" s="36">
        <v>14</v>
      </c>
      <c r="BI3" s="36">
        <v>9</v>
      </c>
      <c r="BJ3" s="36">
        <v>10</v>
      </c>
      <c r="BK3" s="36">
        <v>9</v>
      </c>
      <c r="BL3" s="36"/>
      <c r="BM3" s="36"/>
      <c r="BN3" s="36">
        <v>11</v>
      </c>
      <c r="BO3" s="36">
        <v>4</v>
      </c>
      <c r="BP3" s="36"/>
      <c r="BQ3" s="36">
        <v>2</v>
      </c>
      <c r="BR3" s="36"/>
      <c r="BS3" s="36"/>
      <c r="BT3" s="36"/>
      <c r="BU3" s="36">
        <v>8</v>
      </c>
      <c r="BV3" s="36">
        <v>8</v>
      </c>
      <c r="BW3" s="36">
        <v>12</v>
      </c>
      <c r="BX3" s="36"/>
      <c r="BY3" s="36"/>
      <c r="BZ3" s="36">
        <v>3</v>
      </c>
      <c r="CA3" s="36">
        <v>4</v>
      </c>
      <c r="CB3" s="36"/>
      <c r="CC3" s="36"/>
      <c r="CD3" s="36"/>
      <c r="CE3" s="36"/>
      <c r="CF3" s="36"/>
      <c r="CG3" s="36"/>
      <c r="CH3" s="36"/>
      <c r="CI3" s="36"/>
      <c r="CK3" s="4" t="b">
        <f>ISNUMBER(D3)</f>
        <v>0</v>
      </c>
    </row>
    <row r="4" spans="1:93" ht="105" customHeight="1">
      <c r="A4" s="32" t="s">
        <v>92</v>
      </c>
      <c r="B4" s="32" t="s">
        <v>93</v>
      </c>
      <c r="C4" s="32" t="s">
        <v>94</v>
      </c>
      <c r="D4" s="34"/>
      <c r="E4" s="34">
        <v>100</v>
      </c>
      <c r="F4" s="34">
        <v>100</v>
      </c>
      <c r="G4" s="34">
        <v>100</v>
      </c>
      <c r="H4" s="34">
        <v>100</v>
      </c>
      <c r="I4" s="34">
        <v>200</v>
      </c>
      <c r="J4" s="34">
        <v>200</v>
      </c>
      <c r="K4" s="34">
        <v>150</v>
      </c>
      <c r="L4" s="34">
        <v>100</v>
      </c>
      <c r="M4" s="34">
        <v>100</v>
      </c>
      <c r="N4" s="34">
        <v>100</v>
      </c>
      <c r="O4" s="34">
        <v>100</v>
      </c>
      <c r="P4" s="34"/>
      <c r="Q4" s="34"/>
      <c r="R4" s="34">
        <v>100</v>
      </c>
      <c r="S4" s="34">
        <v>100</v>
      </c>
      <c r="T4" s="34">
        <v>150</v>
      </c>
      <c r="U4" s="34">
        <v>200</v>
      </c>
      <c r="V4" s="34">
        <v>200</v>
      </c>
      <c r="W4" s="34"/>
      <c r="X4" s="34">
        <v>50</v>
      </c>
      <c r="Y4" s="34"/>
      <c r="Z4" s="34">
        <v>100</v>
      </c>
      <c r="AA4" s="34">
        <v>100</v>
      </c>
      <c r="AB4" s="36"/>
      <c r="AC4" s="36">
        <v>28</v>
      </c>
      <c r="AD4" s="36">
        <v>15</v>
      </c>
      <c r="AE4" s="36">
        <v>15</v>
      </c>
      <c r="AF4" s="36">
        <v>20</v>
      </c>
      <c r="AG4" s="36">
        <v>16</v>
      </c>
      <c r="AH4" s="36">
        <v>11</v>
      </c>
      <c r="AI4" s="36">
        <v>17</v>
      </c>
      <c r="AJ4" s="36">
        <v>17</v>
      </c>
      <c r="AK4" s="36">
        <v>16</v>
      </c>
      <c r="AL4" s="36">
        <v>23</v>
      </c>
      <c r="AM4" s="36">
        <v>11</v>
      </c>
      <c r="AN4" s="36"/>
      <c r="AO4" s="36">
        <v>20</v>
      </c>
      <c r="AP4" s="36">
        <v>11</v>
      </c>
      <c r="AQ4" s="36">
        <v>21</v>
      </c>
      <c r="AR4" s="36">
        <v>18</v>
      </c>
      <c r="AS4" s="36">
        <v>16</v>
      </c>
      <c r="AT4" s="36">
        <v>24</v>
      </c>
      <c r="AU4" s="36">
        <v>16</v>
      </c>
      <c r="AV4" s="36">
        <v>16</v>
      </c>
      <c r="AW4" s="36">
        <v>11</v>
      </c>
      <c r="AX4" s="36">
        <v>17</v>
      </c>
      <c r="AY4" s="36">
        <v>12</v>
      </c>
      <c r="AZ4" s="36"/>
      <c r="BA4" s="36">
        <v>12</v>
      </c>
      <c r="BB4" s="36">
        <v>30</v>
      </c>
      <c r="BC4" s="36">
        <v>30</v>
      </c>
      <c r="BD4" s="36">
        <v>19</v>
      </c>
      <c r="BE4" s="36">
        <v>37</v>
      </c>
      <c r="BF4" s="36">
        <v>53</v>
      </c>
      <c r="BG4" s="36">
        <v>46</v>
      </c>
      <c r="BH4" s="36">
        <v>33</v>
      </c>
      <c r="BI4" s="36">
        <v>21</v>
      </c>
      <c r="BJ4" s="36">
        <v>36</v>
      </c>
      <c r="BK4" s="36">
        <v>21</v>
      </c>
      <c r="BL4" s="36"/>
      <c r="BM4" s="36">
        <v>2</v>
      </c>
      <c r="BN4" s="36">
        <v>8</v>
      </c>
      <c r="BO4" s="36">
        <v>12</v>
      </c>
      <c r="BP4" s="36">
        <v>71</v>
      </c>
      <c r="BQ4" s="36">
        <v>7</v>
      </c>
      <c r="BR4" s="36">
        <v>6</v>
      </c>
      <c r="BS4" s="36">
        <v>11</v>
      </c>
      <c r="BT4" s="36">
        <v>18</v>
      </c>
      <c r="BU4" s="36">
        <v>22</v>
      </c>
      <c r="BV4" s="36">
        <v>22</v>
      </c>
      <c r="BW4" s="36">
        <v>11</v>
      </c>
      <c r="BX4" s="36"/>
      <c r="BY4" s="36"/>
      <c r="BZ4" s="36"/>
      <c r="CA4" s="36"/>
      <c r="CB4" s="36">
        <v>1</v>
      </c>
      <c r="CC4" s="36"/>
      <c r="CD4" s="36"/>
      <c r="CE4" s="36">
        <v>1</v>
      </c>
      <c r="CF4" s="36"/>
      <c r="CG4" s="36"/>
      <c r="CH4" s="36"/>
      <c r="CI4" s="36"/>
      <c r="CK4" s="4" t="b">
        <f t="shared" ref="CK4:CK67" si="0">ISNUMBER(D4)</f>
        <v>0</v>
      </c>
    </row>
    <row r="5" spans="1:93" ht="75" customHeight="1">
      <c r="A5" s="32" t="s">
        <v>92</v>
      </c>
      <c r="B5" s="32" t="s">
        <v>93</v>
      </c>
      <c r="C5" s="32" t="s">
        <v>95</v>
      </c>
      <c r="D5" s="34"/>
      <c r="E5" s="34">
        <v>40</v>
      </c>
      <c r="F5" s="34">
        <v>100</v>
      </c>
      <c r="G5" s="34">
        <v>100</v>
      </c>
      <c r="H5" s="34">
        <v>100</v>
      </c>
      <c r="I5" s="34">
        <v>100</v>
      </c>
      <c r="J5" s="34">
        <v>100</v>
      </c>
      <c r="K5" s="34">
        <v>100</v>
      </c>
      <c r="L5" s="34">
        <v>100</v>
      </c>
      <c r="M5" s="34">
        <v>100</v>
      </c>
      <c r="N5" s="34">
        <v>100</v>
      </c>
      <c r="O5" s="34">
        <v>100</v>
      </c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6"/>
      <c r="AC5" s="36">
        <v>8</v>
      </c>
      <c r="AD5" s="36">
        <v>4</v>
      </c>
      <c r="AE5" s="36">
        <v>9</v>
      </c>
      <c r="AF5" s="36">
        <v>8</v>
      </c>
      <c r="AG5" s="36">
        <v>6</v>
      </c>
      <c r="AH5" s="36">
        <v>8</v>
      </c>
      <c r="AI5" s="36">
        <v>6</v>
      </c>
      <c r="AJ5" s="36">
        <v>6</v>
      </c>
      <c r="AK5" s="36">
        <v>8</v>
      </c>
      <c r="AL5" s="36">
        <v>6</v>
      </c>
      <c r="AM5" s="36">
        <v>6</v>
      </c>
      <c r="AN5" s="36"/>
      <c r="AO5" s="36">
        <v>4</v>
      </c>
      <c r="AP5" s="36">
        <v>12</v>
      </c>
      <c r="AQ5" s="36">
        <v>12</v>
      </c>
      <c r="AR5" s="36">
        <v>5</v>
      </c>
      <c r="AS5" s="36">
        <v>8</v>
      </c>
      <c r="AT5" s="36">
        <v>11</v>
      </c>
      <c r="AU5" s="36">
        <v>6</v>
      </c>
      <c r="AV5" s="36">
        <v>5</v>
      </c>
      <c r="AW5" s="36">
        <v>6</v>
      </c>
      <c r="AX5" s="36">
        <v>6</v>
      </c>
      <c r="AY5" s="36">
        <v>8</v>
      </c>
      <c r="AZ5" s="36"/>
      <c r="BA5" s="36"/>
      <c r="BB5" s="36">
        <v>7</v>
      </c>
      <c r="BC5" s="36"/>
      <c r="BD5" s="36">
        <v>12</v>
      </c>
      <c r="BE5" s="36">
        <v>6</v>
      </c>
      <c r="BF5" s="36">
        <v>5</v>
      </c>
      <c r="BG5" s="36">
        <v>2</v>
      </c>
      <c r="BH5" s="36">
        <v>7</v>
      </c>
      <c r="BI5" s="36">
        <v>6</v>
      </c>
      <c r="BJ5" s="36">
        <v>7</v>
      </c>
      <c r="BK5" s="36">
        <v>5</v>
      </c>
      <c r="BL5" s="36"/>
      <c r="BM5" s="36"/>
      <c r="BN5" s="36"/>
      <c r="BO5" s="36"/>
      <c r="BP5" s="36"/>
      <c r="BQ5" s="36"/>
      <c r="BR5" s="36"/>
      <c r="BS5" s="36"/>
      <c r="BT5" s="36"/>
      <c r="BU5" s="36"/>
      <c r="BV5" s="36"/>
      <c r="BW5" s="36">
        <v>2</v>
      </c>
      <c r="BX5" s="36"/>
      <c r="BY5" s="36"/>
      <c r="BZ5" s="36"/>
      <c r="CA5" s="36"/>
      <c r="CB5" s="36"/>
      <c r="CC5" s="36"/>
      <c r="CD5" s="36"/>
      <c r="CE5" s="36"/>
      <c r="CF5" s="36"/>
      <c r="CG5" s="36"/>
      <c r="CH5" s="36"/>
      <c r="CI5" s="36"/>
      <c r="CK5" s="4" t="b">
        <f t="shared" si="0"/>
        <v>0</v>
      </c>
    </row>
    <row r="6" spans="1:93" ht="60" customHeight="1">
      <c r="A6" s="32" t="s">
        <v>92</v>
      </c>
      <c r="B6" s="32" t="s">
        <v>96</v>
      </c>
      <c r="C6" s="32" t="s">
        <v>97</v>
      </c>
      <c r="D6" s="34">
        <v>100</v>
      </c>
      <c r="E6" s="34">
        <v>100</v>
      </c>
      <c r="F6" s="34"/>
      <c r="G6" s="34"/>
      <c r="H6" s="34">
        <v>100</v>
      </c>
      <c r="I6" s="34"/>
      <c r="J6" s="34"/>
      <c r="K6" s="34"/>
      <c r="L6" s="34"/>
      <c r="M6" s="34">
        <v>100</v>
      </c>
      <c r="N6" s="34"/>
      <c r="O6" s="34">
        <v>86.67</v>
      </c>
      <c r="P6" s="34">
        <v>33.33</v>
      </c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6">
        <v>51</v>
      </c>
      <c r="AC6" s="36">
        <v>117</v>
      </c>
      <c r="AD6" s="36">
        <v>117</v>
      </c>
      <c r="AE6" s="36">
        <v>87</v>
      </c>
      <c r="AF6" s="36">
        <v>101</v>
      </c>
      <c r="AG6" s="36"/>
      <c r="AH6" s="36"/>
      <c r="AI6" s="36"/>
      <c r="AJ6" s="36">
        <v>69</v>
      </c>
      <c r="AK6" s="36">
        <v>87</v>
      </c>
      <c r="AL6" s="36">
        <v>116</v>
      </c>
      <c r="AM6" s="36">
        <v>73</v>
      </c>
      <c r="AN6" s="36">
        <v>41</v>
      </c>
      <c r="AO6" s="36">
        <v>122</v>
      </c>
      <c r="AP6" s="36">
        <v>112</v>
      </c>
      <c r="AQ6" s="36">
        <v>94</v>
      </c>
      <c r="AR6" s="36">
        <v>94</v>
      </c>
      <c r="AS6" s="36"/>
      <c r="AT6" s="36"/>
      <c r="AU6" s="36"/>
      <c r="AV6" s="36">
        <v>67</v>
      </c>
      <c r="AW6" s="36">
        <v>82</v>
      </c>
      <c r="AX6" s="36">
        <v>59</v>
      </c>
      <c r="AY6" s="36">
        <v>69</v>
      </c>
      <c r="AZ6" s="36">
        <v>88</v>
      </c>
      <c r="BA6" s="36">
        <v>60</v>
      </c>
      <c r="BB6" s="36">
        <v>70</v>
      </c>
      <c r="BC6" s="36">
        <v>66</v>
      </c>
      <c r="BD6" s="36">
        <v>58</v>
      </c>
      <c r="BE6" s="36">
        <v>58</v>
      </c>
      <c r="BF6" s="36"/>
      <c r="BG6" s="36">
        <v>58</v>
      </c>
      <c r="BH6" s="36">
        <v>82</v>
      </c>
      <c r="BI6" s="36">
        <v>100</v>
      </c>
      <c r="BJ6" s="36">
        <v>62</v>
      </c>
      <c r="BK6" s="36">
        <v>73</v>
      </c>
      <c r="BL6" s="36">
        <v>48</v>
      </c>
      <c r="BM6" s="36">
        <v>64</v>
      </c>
      <c r="BN6" s="36">
        <v>52</v>
      </c>
      <c r="BO6" s="36">
        <v>46</v>
      </c>
      <c r="BP6" s="36">
        <v>46</v>
      </c>
      <c r="BQ6" s="36">
        <v>32</v>
      </c>
      <c r="BR6" s="36"/>
      <c r="BS6" s="36">
        <v>32</v>
      </c>
      <c r="BT6" s="36">
        <v>16</v>
      </c>
      <c r="BU6" s="36">
        <v>32</v>
      </c>
      <c r="BV6" s="36">
        <v>49</v>
      </c>
      <c r="BW6" s="36">
        <v>36</v>
      </c>
      <c r="BX6" s="36">
        <v>24</v>
      </c>
      <c r="BY6" s="36">
        <v>3</v>
      </c>
      <c r="BZ6" s="36">
        <v>28</v>
      </c>
      <c r="CA6" s="36">
        <v>20</v>
      </c>
      <c r="CB6" s="36">
        <v>20</v>
      </c>
      <c r="CC6" s="36">
        <v>10</v>
      </c>
      <c r="CD6" s="36"/>
      <c r="CE6" s="36">
        <v>10</v>
      </c>
      <c r="CF6" s="36">
        <v>2</v>
      </c>
      <c r="CG6" s="36">
        <v>2</v>
      </c>
      <c r="CH6" s="36">
        <v>9</v>
      </c>
      <c r="CI6" s="36">
        <v>4</v>
      </c>
      <c r="CK6" s="4" t="b">
        <f t="shared" si="0"/>
        <v>1</v>
      </c>
    </row>
    <row r="7" spans="1:93" ht="90" customHeight="1">
      <c r="A7" s="32" t="s">
        <v>92</v>
      </c>
      <c r="B7" s="32" t="s">
        <v>96</v>
      </c>
      <c r="C7" s="32" t="s">
        <v>98</v>
      </c>
      <c r="D7" s="34"/>
      <c r="E7" s="34">
        <v>60</v>
      </c>
      <c r="F7" s="34">
        <v>100</v>
      </c>
      <c r="G7" s="34">
        <v>100</v>
      </c>
      <c r="H7" s="34">
        <v>100</v>
      </c>
      <c r="I7" s="34">
        <v>100</v>
      </c>
      <c r="J7" s="34">
        <v>100</v>
      </c>
      <c r="K7" s="34">
        <v>80</v>
      </c>
      <c r="L7" s="34">
        <v>100</v>
      </c>
      <c r="M7" s="34">
        <v>100</v>
      </c>
      <c r="N7" s="34">
        <v>100</v>
      </c>
      <c r="O7" s="34">
        <v>75</v>
      </c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6"/>
      <c r="AC7" s="36">
        <v>7</v>
      </c>
      <c r="AD7" s="36">
        <v>14</v>
      </c>
      <c r="AE7" s="36">
        <v>19</v>
      </c>
      <c r="AF7" s="36">
        <v>28</v>
      </c>
      <c r="AG7" s="36">
        <v>18</v>
      </c>
      <c r="AH7" s="36">
        <v>19</v>
      </c>
      <c r="AI7" s="36">
        <v>17</v>
      </c>
      <c r="AJ7" s="36">
        <v>5</v>
      </c>
      <c r="AK7" s="36">
        <v>3</v>
      </c>
      <c r="AL7" s="36">
        <v>12</v>
      </c>
      <c r="AM7" s="36">
        <v>19</v>
      </c>
      <c r="AN7" s="36"/>
      <c r="AO7" s="36">
        <v>15</v>
      </c>
      <c r="AP7" s="36">
        <v>22</v>
      </c>
      <c r="AQ7" s="36">
        <v>12</v>
      </c>
      <c r="AR7" s="36">
        <v>16</v>
      </c>
      <c r="AS7" s="36">
        <v>13</v>
      </c>
      <c r="AT7" s="36">
        <v>22</v>
      </c>
      <c r="AU7" s="36">
        <v>10</v>
      </c>
      <c r="AV7" s="36">
        <v>15</v>
      </c>
      <c r="AW7" s="36">
        <v>34</v>
      </c>
      <c r="AX7" s="36">
        <v>6</v>
      </c>
      <c r="AY7" s="36">
        <v>6</v>
      </c>
      <c r="AZ7" s="36"/>
      <c r="BA7" s="36">
        <v>3</v>
      </c>
      <c r="BB7" s="36">
        <v>3</v>
      </c>
      <c r="BC7" s="36"/>
      <c r="BD7" s="36"/>
      <c r="BE7" s="36">
        <v>3</v>
      </c>
      <c r="BF7" s="36">
        <v>1</v>
      </c>
      <c r="BG7" s="36">
        <v>3</v>
      </c>
      <c r="BH7" s="36">
        <v>4</v>
      </c>
      <c r="BI7" s="36"/>
      <c r="BJ7" s="36"/>
      <c r="BK7" s="36">
        <v>11</v>
      </c>
      <c r="BL7" s="36"/>
      <c r="BM7" s="36"/>
      <c r="BN7" s="36"/>
      <c r="BO7" s="36"/>
      <c r="BP7" s="36"/>
      <c r="BQ7" s="36"/>
      <c r="BR7" s="36">
        <v>1</v>
      </c>
      <c r="BS7" s="36">
        <v>1</v>
      </c>
      <c r="BT7" s="36">
        <v>2</v>
      </c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>
        <v>1</v>
      </c>
      <c r="CF7" s="36">
        <v>1</v>
      </c>
      <c r="CG7" s="36">
        <v>7</v>
      </c>
      <c r="CH7" s="36"/>
      <c r="CI7" s="36"/>
      <c r="CK7" s="4" t="b">
        <f t="shared" si="0"/>
        <v>0</v>
      </c>
    </row>
    <row r="8" spans="1:93" ht="60" customHeight="1">
      <c r="A8" s="32" t="s">
        <v>92</v>
      </c>
      <c r="B8" s="32" t="s">
        <v>99</v>
      </c>
      <c r="C8" s="32" t="s">
        <v>100</v>
      </c>
      <c r="D8" s="34"/>
      <c r="E8" s="34">
        <v>75</v>
      </c>
      <c r="F8" s="34">
        <v>100</v>
      </c>
      <c r="G8" s="34">
        <v>100</v>
      </c>
      <c r="H8" s="34">
        <v>100</v>
      </c>
      <c r="I8" s="34">
        <v>100</v>
      </c>
      <c r="J8" s="34">
        <v>100</v>
      </c>
      <c r="K8" s="34">
        <v>100</v>
      </c>
      <c r="L8" s="34">
        <v>100</v>
      </c>
      <c r="M8" s="34">
        <v>100</v>
      </c>
      <c r="N8" s="34">
        <v>100</v>
      </c>
      <c r="O8" s="34">
        <v>100</v>
      </c>
      <c r="P8" s="34"/>
      <c r="Q8" s="34"/>
      <c r="R8" s="34"/>
      <c r="S8" s="34">
        <v>50</v>
      </c>
      <c r="T8" s="34">
        <v>50</v>
      </c>
      <c r="U8" s="34">
        <v>100</v>
      </c>
      <c r="V8" s="34">
        <v>100</v>
      </c>
      <c r="W8" s="34">
        <v>100</v>
      </c>
      <c r="X8" s="34">
        <v>50</v>
      </c>
      <c r="Y8" s="34">
        <v>100</v>
      </c>
      <c r="Z8" s="34">
        <v>100</v>
      </c>
      <c r="AA8" s="34">
        <v>100</v>
      </c>
      <c r="AB8" s="36"/>
      <c r="AC8" s="36">
        <v>13</v>
      </c>
      <c r="AD8" s="36">
        <v>11</v>
      </c>
      <c r="AE8" s="36">
        <v>15</v>
      </c>
      <c r="AF8" s="36">
        <v>17</v>
      </c>
      <c r="AG8" s="36">
        <v>18</v>
      </c>
      <c r="AH8" s="36">
        <v>18</v>
      </c>
      <c r="AI8" s="36">
        <v>12</v>
      </c>
      <c r="AJ8" s="36">
        <v>16</v>
      </c>
      <c r="AK8" s="36">
        <v>28</v>
      </c>
      <c r="AL8" s="36">
        <v>37</v>
      </c>
      <c r="AM8" s="36">
        <v>22</v>
      </c>
      <c r="AN8" s="36"/>
      <c r="AO8" s="36">
        <v>5</v>
      </c>
      <c r="AP8" s="36">
        <v>5</v>
      </c>
      <c r="AQ8" s="36">
        <v>9</v>
      </c>
      <c r="AR8" s="36">
        <v>17</v>
      </c>
      <c r="AS8" s="36">
        <v>10</v>
      </c>
      <c r="AT8" s="36">
        <v>15</v>
      </c>
      <c r="AU8" s="36">
        <v>10</v>
      </c>
      <c r="AV8" s="36">
        <v>15</v>
      </c>
      <c r="AW8" s="36">
        <v>29</v>
      </c>
      <c r="AX8" s="36">
        <v>33</v>
      </c>
      <c r="AY8" s="36">
        <v>25</v>
      </c>
      <c r="AZ8" s="36"/>
      <c r="BA8" s="36">
        <v>32</v>
      </c>
      <c r="BB8" s="36">
        <v>10</v>
      </c>
      <c r="BC8" s="36">
        <v>6</v>
      </c>
      <c r="BD8" s="36">
        <v>6</v>
      </c>
      <c r="BE8" s="36">
        <v>8</v>
      </c>
      <c r="BF8" s="36">
        <v>4</v>
      </c>
      <c r="BG8" s="36">
        <v>4</v>
      </c>
      <c r="BH8" s="36">
        <v>15</v>
      </c>
      <c r="BI8" s="36">
        <v>9</v>
      </c>
      <c r="BJ8" s="36">
        <v>7</v>
      </c>
      <c r="BK8" s="36">
        <v>20</v>
      </c>
      <c r="BL8" s="36"/>
      <c r="BM8" s="36"/>
      <c r="BN8" s="36">
        <v>1</v>
      </c>
      <c r="BO8" s="36"/>
      <c r="BP8" s="36">
        <v>3</v>
      </c>
      <c r="BQ8" s="36">
        <v>2</v>
      </c>
      <c r="BR8" s="36">
        <v>2</v>
      </c>
      <c r="BS8" s="36">
        <v>4</v>
      </c>
      <c r="BT8" s="36">
        <v>2</v>
      </c>
      <c r="BU8" s="36">
        <v>3</v>
      </c>
      <c r="BV8" s="36">
        <v>2</v>
      </c>
      <c r="BW8" s="36">
        <v>5</v>
      </c>
      <c r="BX8" s="36"/>
      <c r="BY8" s="36"/>
      <c r="BZ8" s="36"/>
      <c r="CA8" s="36"/>
      <c r="CB8" s="36"/>
      <c r="CC8" s="36"/>
      <c r="CD8" s="36">
        <v>1</v>
      </c>
      <c r="CE8" s="36"/>
      <c r="CF8" s="36">
        <v>1</v>
      </c>
      <c r="CG8" s="36">
        <v>1</v>
      </c>
      <c r="CH8" s="36"/>
      <c r="CI8" s="36"/>
      <c r="CK8" s="4" t="b">
        <f t="shared" si="0"/>
        <v>0</v>
      </c>
    </row>
    <row r="9" spans="1:93" ht="60" customHeight="1">
      <c r="A9" s="32" t="s">
        <v>101</v>
      </c>
      <c r="B9" s="32" t="s">
        <v>102</v>
      </c>
      <c r="C9" s="32" t="s">
        <v>103</v>
      </c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>
        <v>7</v>
      </c>
      <c r="BB9" s="36"/>
      <c r="BC9" s="36">
        <v>30</v>
      </c>
      <c r="BD9" s="36">
        <v>6</v>
      </c>
      <c r="BE9" s="36"/>
      <c r="BF9" s="36">
        <v>3</v>
      </c>
      <c r="BG9" s="36">
        <v>1</v>
      </c>
      <c r="BH9" s="36">
        <v>2</v>
      </c>
      <c r="BI9" s="36"/>
      <c r="BJ9" s="36"/>
      <c r="BK9" s="36"/>
      <c r="BL9" s="36">
        <v>11</v>
      </c>
      <c r="BM9" s="36">
        <v>5</v>
      </c>
      <c r="BN9" s="36"/>
      <c r="BO9" s="36">
        <v>15</v>
      </c>
      <c r="BP9" s="36">
        <v>5</v>
      </c>
      <c r="BQ9" s="36"/>
      <c r="BR9" s="36">
        <v>2</v>
      </c>
      <c r="BS9" s="36"/>
      <c r="BT9" s="36"/>
      <c r="BU9" s="36">
        <v>9</v>
      </c>
      <c r="BV9" s="36">
        <v>6</v>
      </c>
      <c r="BW9" s="36"/>
      <c r="BX9" s="36">
        <v>11</v>
      </c>
      <c r="BY9" s="36">
        <v>5</v>
      </c>
      <c r="BZ9" s="36"/>
      <c r="CA9" s="36">
        <v>15</v>
      </c>
      <c r="CB9" s="36">
        <v>5</v>
      </c>
      <c r="CC9" s="36"/>
      <c r="CD9" s="36"/>
      <c r="CE9" s="36">
        <v>7</v>
      </c>
      <c r="CF9" s="36"/>
      <c r="CG9" s="36">
        <v>9</v>
      </c>
      <c r="CH9" s="36"/>
      <c r="CI9" s="36"/>
      <c r="CK9" s="4" t="b">
        <f t="shared" si="0"/>
        <v>0</v>
      </c>
    </row>
    <row r="10" spans="1:93" ht="60" customHeight="1">
      <c r="A10" s="32" t="s">
        <v>87</v>
      </c>
      <c r="B10" s="32" t="s">
        <v>104</v>
      </c>
      <c r="C10" s="32" t="s">
        <v>105</v>
      </c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6"/>
      <c r="AC10" s="36"/>
      <c r="AD10" s="36"/>
      <c r="AE10" s="36">
        <v>48</v>
      </c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>
        <v>24</v>
      </c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>
        <v>10</v>
      </c>
      <c r="BD10" s="36"/>
      <c r="BE10" s="36"/>
      <c r="BF10" s="36"/>
      <c r="BG10" s="36"/>
      <c r="BH10" s="36"/>
      <c r="BI10" s="36"/>
      <c r="BJ10" s="36"/>
      <c r="BK10" s="36"/>
      <c r="BL10" s="36"/>
      <c r="BM10" s="36"/>
      <c r="BN10" s="36"/>
      <c r="BO10" s="36">
        <v>2</v>
      </c>
      <c r="BP10" s="36"/>
      <c r="BQ10" s="36"/>
      <c r="BR10" s="36"/>
      <c r="BS10" s="36"/>
      <c r="BT10" s="36"/>
      <c r="BU10" s="36"/>
      <c r="BV10" s="36"/>
      <c r="BW10" s="36"/>
      <c r="BX10" s="36"/>
      <c r="BY10" s="36"/>
      <c r="BZ10" s="36"/>
      <c r="CA10" s="36">
        <v>6</v>
      </c>
      <c r="CB10" s="36"/>
      <c r="CC10" s="36"/>
      <c r="CD10" s="36"/>
      <c r="CE10" s="36"/>
      <c r="CF10" s="36"/>
      <c r="CG10" s="36"/>
      <c r="CH10" s="36"/>
      <c r="CI10" s="36"/>
      <c r="CK10" s="4" t="b">
        <f t="shared" si="0"/>
        <v>0</v>
      </c>
    </row>
    <row r="11" spans="1:93" ht="60" customHeight="1">
      <c r="A11" s="32" t="s">
        <v>87</v>
      </c>
      <c r="B11" s="32" t="s">
        <v>106</v>
      </c>
      <c r="C11" s="32" t="s">
        <v>107</v>
      </c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>
        <v>100</v>
      </c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6"/>
      <c r="AC11" s="36"/>
      <c r="AD11" s="36"/>
      <c r="AE11" s="36"/>
      <c r="AF11" s="36">
        <v>10</v>
      </c>
      <c r="AG11" s="36"/>
      <c r="AH11" s="36"/>
      <c r="AI11" s="36">
        <v>30</v>
      </c>
      <c r="AJ11" s="36"/>
      <c r="AK11" s="36">
        <v>8</v>
      </c>
      <c r="AL11" s="36"/>
      <c r="AM11" s="36">
        <v>27</v>
      </c>
      <c r="AN11" s="36"/>
      <c r="AO11" s="36"/>
      <c r="AP11" s="36"/>
      <c r="AQ11" s="36"/>
      <c r="AR11" s="36">
        <v>25</v>
      </c>
      <c r="AS11" s="36"/>
      <c r="AT11" s="36"/>
      <c r="AU11" s="36">
        <v>20</v>
      </c>
      <c r="AV11" s="36"/>
      <c r="AW11" s="36">
        <v>5</v>
      </c>
      <c r="AX11" s="36"/>
      <c r="AY11" s="36">
        <v>32</v>
      </c>
      <c r="AZ11" s="36"/>
      <c r="BA11" s="36"/>
      <c r="BB11" s="36"/>
      <c r="BC11" s="36"/>
      <c r="BD11" s="36"/>
      <c r="BE11" s="36"/>
      <c r="BF11" s="36"/>
      <c r="BG11" s="36">
        <v>30</v>
      </c>
      <c r="BH11" s="36"/>
      <c r="BI11" s="36">
        <v>25</v>
      </c>
      <c r="BJ11" s="36"/>
      <c r="BK11" s="36"/>
      <c r="BL11" s="36"/>
      <c r="BM11" s="36"/>
      <c r="BN11" s="36"/>
      <c r="BO11" s="36"/>
      <c r="BP11" s="36"/>
      <c r="BQ11" s="36"/>
      <c r="BR11" s="36"/>
      <c r="BS11" s="36">
        <v>6</v>
      </c>
      <c r="BT11" s="36"/>
      <c r="BU11" s="36">
        <v>24</v>
      </c>
      <c r="BV11" s="36"/>
      <c r="BW11" s="36">
        <v>46</v>
      </c>
      <c r="BX11" s="36"/>
      <c r="BY11" s="36"/>
      <c r="BZ11" s="36"/>
      <c r="CA11" s="36"/>
      <c r="CB11" s="36"/>
      <c r="CC11" s="36"/>
      <c r="CD11" s="36"/>
      <c r="CE11" s="36">
        <v>8</v>
      </c>
      <c r="CF11" s="36"/>
      <c r="CG11" s="36"/>
      <c r="CH11" s="36"/>
      <c r="CI11" s="36">
        <v>14</v>
      </c>
      <c r="CK11" s="4" t="b">
        <f t="shared" si="0"/>
        <v>0</v>
      </c>
    </row>
    <row r="12" spans="1:93" ht="60" customHeight="1">
      <c r="A12" s="32" t="s">
        <v>87</v>
      </c>
      <c r="B12" s="32" t="s">
        <v>90</v>
      </c>
      <c r="C12" s="32" t="s">
        <v>108</v>
      </c>
      <c r="D12" s="34"/>
      <c r="E12" s="34"/>
      <c r="F12" s="34"/>
      <c r="G12" s="34"/>
      <c r="H12" s="34"/>
      <c r="I12" s="34"/>
      <c r="J12" s="34"/>
      <c r="K12" s="34">
        <v>50</v>
      </c>
      <c r="L12" s="34">
        <v>50</v>
      </c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6"/>
      <c r="AC12" s="36"/>
      <c r="AD12" s="36"/>
      <c r="AE12" s="36"/>
      <c r="AF12" s="36"/>
      <c r="AG12" s="36"/>
      <c r="AH12" s="36"/>
      <c r="AI12" s="36">
        <v>34</v>
      </c>
      <c r="AJ12" s="36">
        <v>11</v>
      </c>
      <c r="AK12" s="36"/>
      <c r="AL12" s="36">
        <v>11</v>
      </c>
      <c r="AM12" s="36"/>
      <c r="AN12" s="36"/>
      <c r="AO12" s="36"/>
      <c r="AP12" s="36"/>
      <c r="AQ12" s="36"/>
      <c r="AR12" s="36"/>
      <c r="AS12" s="36"/>
      <c r="AT12" s="36"/>
      <c r="AU12" s="36">
        <v>24</v>
      </c>
      <c r="AV12" s="36">
        <v>10</v>
      </c>
      <c r="AW12" s="36"/>
      <c r="AX12" s="36">
        <v>12</v>
      </c>
      <c r="AY12" s="36"/>
      <c r="AZ12" s="36"/>
      <c r="BA12" s="36"/>
      <c r="BB12" s="36"/>
      <c r="BC12" s="36"/>
      <c r="BD12" s="36"/>
      <c r="BE12" s="36"/>
      <c r="BF12" s="36"/>
      <c r="BG12" s="36"/>
      <c r="BH12" s="36"/>
      <c r="BI12" s="36"/>
      <c r="BJ12" s="36">
        <v>10</v>
      </c>
      <c r="BK12" s="36"/>
      <c r="BL12" s="36"/>
      <c r="BM12" s="36"/>
      <c r="BN12" s="36"/>
      <c r="BO12" s="36"/>
      <c r="BP12" s="36"/>
      <c r="BQ12" s="36"/>
      <c r="BR12" s="36"/>
      <c r="BS12" s="36">
        <v>11</v>
      </c>
      <c r="BT12" s="36">
        <v>8</v>
      </c>
      <c r="BU12" s="36"/>
      <c r="BV12" s="36"/>
      <c r="BW12" s="36"/>
      <c r="BX12" s="36"/>
      <c r="BY12" s="36"/>
      <c r="BZ12" s="36"/>
      <c r="CA12" s="36"/>
      <c r="CB12" s="36"/>
      <c r="CC12" s="36"/>
      <c r="CD12" s="36"/>
      <c r="CE12" s="36">
        <v>36</v>
      </c>
      <c r="CF12" s="36">
        <v>40</v>
      </c>
      <c r="CG12" s="36"/>
      <c r="CH12" s="36"/>
      <c r="CI12" s="36"/>
      <c r="CK12" s="4" t="b">
        <f t="shared" si="0"/>
        <v>0</v>
      </c>
    </row>
    <row r="13" spans="1:93" ht="60" customHeight="1">
      <c r="A13" s="32" t="s">
        <v>109</v>
      </c>
      <c r="B13" s="32" t="s">
        <v>110</v>
      </c>
      <c r="C13" s="32" t="s">
        <v>111</v>
      </c>
      <c r="D13" s="34"/>
      <c r="E13" s="34">
        <v>100</v>
      </c>
      <c r="F13" s="34">
        <v>100</v>
      </c>
      <c r="G13" s="34">
        <v>100</v>
      </c>
      <c r="H13" s="34">
        <v>100</v>
      </c>
      <c r="I13" s="34">
        <v>100</v>
      </c>
      <c r="J13" s="34">
        <v>100</v>
      </c>
      <c r="K13" s="34">
        <v>100</v>
      </c>
      <c r="L13" s="34">
        <v>100</v>
      </c>
      <c r="M13" s="34">
        <v>100</v>
      </c>
      <c r="N13" s="34">
        <v>100</v>
      </c>
      <c r="O13" s="34">
        <v>100</v>
      </c>
      <c r="P13" s="34"/>
      <c r="Q13" s="34">
        <v>100</v>
      </c>
      <c r="R13" s="34">
        <v>100</v>
      </c>
      <c r="S13" s="34">
        <v>100</v>
      </c>
      <c r="T13" s="34">
        <v>100</v>
      </c>
      <c r="U13" s="34">
        <v>100</v>
      </c>
      <c r="V13" s="34">
        <v>100</v>
      </c>
      <c r="W13" s="34">
        <v>100</v>
      </c>
      <c r="X13" s="34">
        <v>100</v>
      </c>
      <c r="Y13" s="34">
        <v>100</v>
      </c>
      <c r="Z13" s="34">
        <v>100</v>
      </c>
      <c r="AA13" s="34">
        <v>100</v>
      </c>
      <c r="AB13" s="36"/>
      <c r="AC13" s="36">
        <v>82</v>
      </c>
      <c r="AD13" s="36">
        <v>12</v>
      </c>
      <c r="AE13" s="36">
        <v>12</v>
      </c>
      <c r="AF13" s="36">
        <v>5</v>
      </c>
      <c r="AG13" s="36">
        <v>12</v>
      </c>
      <c r="AH13" s="36">
        <v>10</v>
      </c>
      <c r="AI13" s="36">
        <v>10</v>
      </c>
      <c r="AJ13" s="36">
        <v>24</v>
      </c>
      <c r="AK13" s="36">
        <v>6</v>
      </c>
      <c r="AL13" s="36">
        <v>26</v>
      </c>
      <c r="AM13" s="36">
        <v>19</v>
      </c>
      <c r="AN13" s="36"/>
      <c r="AO13" s="36">
        <v>91</v>
      </c>
      <c r="AP13" s="36">
        <v>11</v>
      </c>
      <c r="AQ13" s="36">
        <v>13</v>
      </c>
      <c r="AR13" s="36">
        <v>8</v>
      </c>
      <c r="AS13" s="36">
        <v>15</v>
      </c>
      <c r="AT13" s="36">
        <v>11</v>
      </c>
      <c r="AU13" s="36">
        <v>12</v>
      </c>
      <c r="AV13" s="36">
        <v>38</v>
      </c>
      <c r="AW13" s="36">
        <v>17</v>
      </c>
      <c r="AX13" s="36">
        <v>32</v>
      </c>
      <c r="AY13" s="36">
        <v>26</v>
      </c>
      <c r="AZ13" s="36"/>
      <c r="BA13" s="36">
        <v>15</v>
      </c>
      <c r="BB13" s="36">
        <v>3</v>
      </c>
      <c r="BC13" s="36">
        <v>34</v>
      </c>
      <c r="BD13" s="36">
        <v>13</v>
      </c>
      <c r="BE13" s="36">
        <v>5</v>
      </c>
      <c r="BF13" s="36">
        <v>3</v>
      </c>
      <c r="BG13" s="36">
        <v>5</v>
      </c>
      <c r="BH13" s="36">
        <v>2</v>
      </c>
      <c r="BI13" s="36">
        <v>3</v>
      </c>
      <c r="BJ13" s="36">
        <v>7</v>
      </c>
      <c r="BK13" s="36">
        <v>7</v>
      </c>
      <c r="BL13" s="36"/>
      <c r="BM13" s="36"/>
      <c r="BN13" s="36">
        <v>1</v>
      </c>
      <c r="BO13" s="36">
        <v>3</v>
      </c>
      <c r="BP13" s="36">
        <v>2</v>
      </c>
      <c r="BQ13" s="36">
        <v>2</v>
      </c>
      <c r="BR13" s="36">
        <v>1</v>
      </c>
      <c r="BS13" s="36">
        <v>1</v>
      </c>
      <c r="BT13" s="36"/>
      <c r="BU13" s="36"/>
      <c r="BV13" s="36">
        <v>1</v>
      </c>
      <c r="BW13" s="36">
        <v>3</v>
      </c>
      <c r="BX13" s="36"/>
      <c r="BY13" s="36"/>
      <c r="BZ13" s="36"/>
      <c r="CA13" s="36"/>
      <c r="CB13" s="36"/>
      <c r="CC13" s="36">
        <v>1</v>
      </c>
      <c r="CD13" s="36"/>
      <c r="CE13" s="36"/>
      <c r="CF13" s="36"/>
      <c r="CG13" s="36"/>
      <c r="CH13" s="36"/>
      <c r="CI13" s="36"/>
      <c r="CK13" s="4" t="b">
        <f t="shared" si="0"/>
        <v>0</v>
      </c>
    </row>
    <row r="14" spans="1:93" ht="60" customHeight="1">
      <c r="A14" s="32" t="s">
        <v>92</v>
      </c>
      <c r="B14" s="32" t="s">
        <v>112</v>
      </c>
      <c r="C14" s="32" t="s">
        <v>113</v>
      </c>
      <c r="D14" s="34"/>
      <c r="E14" s="34">
        <v>100</v>
      </c>
      <c r="F14" s="34">
        <v>100</v>
      </c>
      <c r="G14" s="34">
        <v>100</v>
      </c>
      <c r="H14" s="34">
        <v>100</v>
      </c>
      <c r="I14" s="34">
        <v>100</v>
      </c>
      <c r="J14" s="34">
        <v>50</v>
      </c>
      <c r="K14" s="34">
        <v>75</v>
      </c>
      <c r="L14" s="34"/>
      <c r="M14" s="34">
        <v>100</v>
      </c>
      <c r="N14" s="34">
        <v>100</v>
      </c>
      <c r="O14" s="34">
        <v>100</v>
      </c>
      <c r="P14" s="34"/>
      <c r="Q14" s="34">
        <v>83.33</v>
      </c>
      <c r="R14" s="34">
        <v>83.33</v>
      </c>
      <c r="S14" s="34">
        <v>100</v>
      </c>
      <c r="T14" s="34">
        <v>100</v>
      </c>
      <c r="U14" s="34">
        <v>100</v>
      </c>
      <c r="V14" s="34">
        <v>100</v>
      </c>
      <c r="W14" s="34">
        <v>100</v>
      </c>
      <c r="X14" s="34">
        <v>100</v>
      </c>
      <c r="Y14" s="34">
        <v>100</v>
      </c>
      <c r="Z14" s="34">
        <v>100</v>
      </c>
      <c r="AA14" s="34">
        <v>100</v>
      </c>
      <c r="AB14" s="36"/>
      <c r="AC14" s="36">
        <v>32</v>
      </c>
      <c r="AD14" s="36">
        <v>30</v>
      </c>
      <c r="AE14" s="36">
        <v>44</v>
      </c>
      <c r="AF14" s="36">
        <v>62</v>
      </c>
      <c r="AG14" s="36">
        <v>33</v>
      </c>
      <c r="AH14" s="36">
        <v>46</v>
      </c>
      <c r="AI14" s="36">
        <v>30</v>
      </c>
      <c r="AJ14" s="36">
        <v>52</v>
      </c>
      <c r="AK14" s="36">
        <v>44</v>
      </c>
      <c r="AL14" s="36">
        <v>45</v>
      </c>
      <c r="AM14" s="36">
        <v>43</v>
      </c>
      <c r="AN14" s="36"/>
      <c r="AO14" s="36">
        <v>36</v>
      </c>
      <c r="AP14" s="36">
        <v>43</v>
      </c>
      <c r="AQ14" s="36">
        <v>35</v>
      </c>
      <c r="AR14" s="36">
        <v>35</v>
      </c>
      <c r="AS14" s="36">
        <v>35</v>
      </c>
      <c r="AT14" s="36">
        <v>34</v>
      </c>
      <c r="AU14" s="36">
        <v>34</v>
      </c>
      <c r="AV14" s="36">
        <v>45</v>
      </c>
      <c r="AW14" s="36">
        <v>42</v>
      </c>
      <c r="AX14" s="36">
        <v>43</v>
      </c>
      <c r="AY14" s="36">
        <v>35</v>
      </c>
      <c r="AZ14" s="36"/>
      <c r="BA14" s="36">
        <v>14</v>
      </c>
      <c r="BB14" s="36">
        <v>11</v>
      </c>
      <c r="BC14" s="36">
        <v>7</v>
      </c>
      <c r="BD14" s="36">
        <v>11</v>
      </c>
      <c r="BE14" s="36">
        <v>12</v>
      </c>
      <c r="BF14" s="36">
        <v>6</v>
      </c>
      <c r="BG14" s="36">
        <v>9</v>
      </c>
      <c r="BH14" s="36"/>
      <c r="BI14" s="36">
        <v>11</v>
      </c>
      <c r="BJ14" s="36">
        <v>14</v>
      </c>
      <c r="BK14" s="36">
        <v>20</v>
      </c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>
        <v>3</v>
      </c>
      <c r="BW14" s="36">
        <v>2</v>
      </c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K14" s="4" t="b">
        <f t="shared" si="0"/>
        <v>0</v>
      </c>
    </row>
    <row r="15" spans="1:93" ht="60" customHeight="1">
      <c r="A15" s="32" t="s">
        <v>109</v>
      </c>
      <c r="B15" s="32" t="s">
        <v>114</v>
      </c>
      <c r="C15" s="32" t="s">
        <v>115</v>
      </c>
      <c r="D15" s="34"/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  <c r="AA15" s="34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>
        <v>1</v>
      </c>
      <c r="BD15" s="36"/>
      <c r="BE15" s="36"/>
      <c r="BF15" s="36">
        <v>1</v>
      </c>
      <c r="BG15" s="36">
        <v>1</v>
      </c>
      <c r="BH15" s="36"/>
      <c r="BI15" s="36">
        <v>1</v>
      </c>
      <c r="BJ15" s="36"/>
      <c r="BK15" s="36"/>
      <c r="BL15" s="36"/>
      <c r="BM15" s="36"/>
      <c r="BN15" s="36"/>
      <c r="BO15" s="36"/>
      <c r="BP15" s="36"/>
      <c r="BQ15" s="36"/>
      <c r="BR15" s="36">
        <v>1</v>
      </c>
      <c r="BS15" s="36">
        <v>1</v>
      </c>
      <c r="BT15" s="36">
        <v>1</v>
      </c>
      <c r="BU15" s="36">
        <v>4</v>
      </c>
      <c r="BV15" s="36"/>
      <c r="BW15" s="36"/>
      <c r="BX15" s="36"/>
      <c r="BY15" s="36"/>
      <c r="BZ15" s="36"/>
      <c r="CA15" s="36"/>
      <c r="CB15" s="36"/>
      <c r="CC15" s="36"/>
      <c r="CD15" s="36"/>
      <c r="CE15" s="36">
        <v>1</v>
      </c>
      <c r="CF15" s="36"/>
      <c r="CG15" s="36"/>
      <c r="CH15" s="36"/>
      <c r="CI15" s="36"/>
      <c r="CK15" s="4" t="b">
        <f t="shared" si="0"/>
        <v>0</v>
      </c>
    </row>
    <row r="16" spans="1:93" ht="60" customHeight="1">
      <c r="A16" s="32" t="s">
        <v>109</v>
      </c>
      <c r="B16" s="32" t="s">
        <v>110</v>
      </c>
      <c r="C16" s="32" t="s">
        <v>116</v>
      </c>
      <c r="D16" s="34"/>
      <c r="E16" s="34">
        <v>100</v>
      </c>
      <c r="F16" s="34">
        <v>100</v>
      </c>
      <c r="G16" s="34">
        <v>100</v>
      </c>
      <c r="H16" s="34">
        <v>100</v>
      </c>
      <c r="I16" s="34">
        <v>100</v>
      </c>
      <c r="J16" s="34">
        <v>100</v>
      </c>
      <c r="K16" s="34">
        <v>100</v>
      </c>
      <c r="L16" s="34">
        <v>100</v>
      </c>
      <c r="M16" s="34">
        <v>100</v>
      </c>
      <c r="N16" s="34">
        <v>100</v>
      </c>
      <c r="O16" s="34"/>
      <c r="P16" s="34"/>
      <c r="Q16" s="34">
        <v>100</v>
      </c>
      <c r="R16" s="34">
        <v>100</v>
      </c>
      <c r="S16" s="34">
        <v>100</v>
      </c>
      <c r="T16" s="34">
        <v>100</v>
      </c>
      <c r="U16" s="34"/>
      <c r="V16" s="34">
        <v>100</v>
      </c>
      <c r="W16" s="34">
        <v>100</v>
      </c>
      <c r="X16" s="34">
        <v>100</v>
      </c>
      <c r="Y16" s="34">
        <v>80</v>
      </c>
      <c r="Z16" s="34">
        <v>100</v>
      </c>
      <c r="AA16" s="34"/>
      <c r="AB16" s="36"/>
      <c r="AC16" s="36">
        <v>93</v>
      </c>
      <c r="AD16" s="36">
        <v>32</v>
      </c>
      <c r="AE16" s="36">
        <v>14</v>
      </c>
      <c r="AF16" s="36">
        <v>6</v>
      </c>
      <c r="AG16" s="36">
        <v>7</v>
      </c>
      <c r="AH16" s="36">
        <v>9</v>
      </c>
      <c r="AI16" s="36">
        <v>10</v>
      </c>
      <c r="AJ16" s="36">
        <v>12</v>
      </c>
      <c r="AK16" s="36">
        <v>10</v>
      </c>
      <c r="AL16" s="36">
        <v>18</v>
      </c>
      <c r="AM16" s="36">
        <v>15</v>
      </c>
      <c r="AN16" s="36"/>
      <c r="AO16" s="36">
        <v>36</v>
      </c>
      <c r="AP16" s="36">
        <v>40</v>
      </c>
      <c r="AQ16" s="36">
        <v>28</v>
      </c>
      <c r="AR16" s="36">
        <v>9</v>
      </c>
      <c r="AS16" s="36">
        <v>16</v>
      </c>
      <c r="AT16" s="36">
        <v>24</v>
      </c>
      <c r="AU16" s="36">
        <v>10</v>
      </c>
      <c r="AV16" s="36">
        <v>16</v>
      </c>
      <c r="AW16" s="36">
        <v>21</v>
      </c>
      <c r="AX16" s="36">
        <v>26</v>
      </c>
      <c r="AY16" s="36"/>
      <c r="AZ16" s="36"/>
      <c r="BA16" s="36"/>
      <c r="BB16" s="36">
        <v>2</v>
      </c>
      <c r="BC16" s="36">
        <v>1</v>
      </c>
      <c r="BD16" s="36">
        <v>8</v>
      </c>
      <c r="BE16" s="36">
        <v>1</v>
      </c>
      <c r="BF16" s="36">
        <v>1</v>
      </c>
      <c r="BG16" s="36">
        <v>3</v>
      </c>
      <c r="BH16" s="36">
        <v>4</v>
      </c>
      <c r="BI16" s="36"/>
      <c r="BJ16" s="36"/>
      <c r="BK16" s="36">
        <v>14</v>
      </c>
      <c r="BL16" s="36"/>
      <c r="BM16" s="36"/>
      <c r="BN16" s="36"/>
      <c r="BO16" s="36"/>
      <c r="BP16" s="36"/>
      <c r="BQ16" s="36"/>
      <c r="BR16" s="36">
        <v>1</v>
      </c>
      <c r="BS16" s="36"/>
      <c r="BT16" s="36"/>
      <c r="BU16" s="36"/>
      <c r="BV16" s="36"/>
      <c r="BW16" s="36">
        <v>3</v>
      </c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K16" s="4" t="b">
        <f t="shared" si="0"/>
        <v>0</v>
      </c>
    </row>
    <row r="17" spans="1:89" ht="60" customHeight="1">
      <c r="A17" s="32" t="s">
        <v>92</v>
      </c>
      <c r="B17" s="32" t="s">
        <v>117</v>
      </c>
      <c r="C17" s="32" t="s">
        <v>118</v>
      </c>
      <c r="D17" s="34"/>
      <c r="E17" s="34">
        <v>100</v>
      </c>
      <c r="F17" s="34">
        <v>100</v>
      </c>
      <c r="G17" s="34">
        <v>100</v>
      </c>
      <c r="H17" s="34">
        <v>100</v>
      </c>
      <c r="I17" s="34">
        <v>100</v>
      </c>
      <c r="J17" s="34">
        <v>100</v>
      </c>
      <c r="K17" s="34">
        <v>100</v>
      </c>
      <c r="L17" s="34">
        <v>100</v>
      </c>
      <c r="M17" s="34">
        <v>100</v>
      </c>
      <c r="N17" s="34">
        <v>100</v>
      </c>
      <c r="O17" s="34">
        <v>100</v>
      </c>
      <c r="P17" s="34"/>
      <c r="Q17" s="34">
        <v>100</v>
      </c>
      <c r="R17" s="34">
        <v>100</v>
      </c>
      <c r="S17" s="34">
        <v>100</v>
      </c>
      <c r="T17" s="34">
        <v>100</v>
      </c>
      <c r="U17" s="34">
        <v>100</v>
      </c>
      <c r="V17" s="34">
        <v>100</v>
      </c>
      <c r="W17" s="34">
        <v>100</v>
      </c>
      <c r="X17" s="34">
        <v>100</v>
      </c>
      <c r="Y17" s="34">
        <v>100</v>
      </c>
      <c r="Z17" s="34">
        <v>100</v>
      </c>
      <c r="AA17" s="34">
        <v>100</v>
      </c>
      <c r="AB17" s="36"/>
      <c r="AC17" s="36">
        <v>31</v>
      </c>
      <c r="AD17" s="36">
        <v>36</v>
      </c>
      <c r="AE17" s="36">
        <v>16</v>
      </c>
      <c r="AF17" s="36">
        <v>46</v>
      </c>
      <c r="AG17" s="36">
        <v>24</v>
      </c>
      <c r="AH17" s="36">
        <v>45</v>
      </c>
      <c r="AI17" s="36">
        <v>31</v>
      </c>
      <c r="AJ17" s="36">
        <v>26</v>
      </c>
      <c r="AK17" s="36">
        <v>44</v>
      </c>
      <c r="AL17" s="36">
        <v>18</v>
      </c>
      <c r="AM17" s="36">
        <v>30</v>
      </c>
      <c r="AN17" s="36"/>
      <c r="AO17" s="36">
        <v>15</v>
      </c>
      <c r="AP17" s="36">
        <v>23</v>
      </c>
      <c r="AQ17" s="36">
        <v>52</v>
      </c>
      <c r="AR17" s="36">
        <v>55</v>
      </c>
      <c r="AS17" s="36">
        <v>17</v>
      </c>
      <c r="AT17" s="36">
        <v>51</v>
      </c>
      <c r="AU17" s="36">
        <v>32</v>
      </c>
      <c r="AV17" s="36">
        <v>30</v>
      </c>
      <c r="AW17" s="36">
        <v>37</v>
      </c>
      <c r="AX17" s="36">
        <v>31</v>
      </c>
      <c r="AY17" s="36">
        <v>49</v>
      </c>
      <c r="AZ17" s="36"/>
      <c r="BA17" s="36">
        <v>2</v>
      </c>
      <c r="BB17" s="36">
        <v>14</v>
      </c>
      <c r="BC17" s="36">
        <v>5</v>
      </c>
      <c r="BD17" s="36">
        <v>10</v>
      </c>
      <c r="BE17" s="36">
        <v>7</v>
      </c>
      <c r="BF17" s="36">
        <v>13</v>
      </c>
      <c r="BG17" s="36">
        <v>12</v>
      </c>
      <c r="BH17" s="36">
        <v>12</v>
      </c>
      <c r="BI17" s="36">
        <v>4</v>
      </c>
      <c r="BJ17" s="36">
        <v>16</v>
      </c>
      <c r="BK17" s="36">
        <v>7</v>
      </c>
      <c r="BL17" s="36"/>
      <c r="BM17" s="36"/>
      <c r="BN17" s="36">
        <v>1</v>
      </c>
      <c r="BO17" s="36">
        <v>1</v>
      </c>
      <c r="BP17" s="36">
        <v>1</v>
      </c>
      <c r="BQ17" s="36">
        <v>5</v>
      </c>
      <c r="BR17" s="36"/>
      <c r="BS17" s="36">
        <v>4</v>
      </c>
      <c r="BT17" s="36"/>
      <c r="BU17" s="36">
        <v>5</v>
      </c>
      <c r="BV17" s="36"/>
      <c r="BW17" s="36">
        <v>2</v>
      </c>
      <c r="BX17" s="36"/>
      <c r="BY17" s="36">
        <v>15</v>
      </c>
      <c r="BZ17" s="36"/>
      <c r="CA17" s="36"/>
      <c r="CB17" s="36"/>
      <c r="CC17" s="36">
        <v>30</v>
      </c>
      <c r="CD17" s="36">
        <v>13</v>
      </c>
      <c r="CE17" s="36"/>
      <c r="CF17" s="36"/>
      <c r="CG17" s="36"/>
      <c r="CH17" s="36"/>
      <c r="CI17" s="36"/>
      <c r="CK17" s="4" t="b">
        <f t="shared" si="0"/>
        <v>0</v>
      </c>
    </row>
    <row r="18" spans="1:89" ht="75" customHeight="1">
      <c r="A18" s="32" t="s">
        <v>87</v>
      </c>
      <c r="B18" s="32" t="s">
        <v>88</v>
      </c>
      <c r="C18" s="32" t="s">
        <v>119</v>
      </c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  <c r="AA18" s="34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6"/>
      <c r="AM18" s="36"/>
      <c r="AN18" s="36"/>
      <c r="AO18" s="36"/>
      <c r="AP18" s="36"/>
      <c r="AQ18" s="36"/>
      <c r="AR18" s="36"/>
      <c r="AS18" s="36"/>
      <c r="AT18" s="36"/>
      <c r="AU18" s="36"/>
      <c r="AV18" s="36"/>
      <c r="AW18" s="36"/>
      <c r="AX18" s="36"/>
      <c r="AY18" s="36"/>
      <c r="AZ18" s="36">
        <v>10</v>
      </c>
      <c r="BA18" s="36">
        <v>12</v>
      </c>
      <c r="BB18" s="36">
        <v>3</v>
      </c>
      <c r="BC18" s="36">
        <v>2</v>
      </c>
      <c r="BD18" s="36">
        <v>1</v>
      </c>
      <c r="BE18" s="36">
        <v>5</v>
      </c>
      <c r="BF18" s="36">
        <v>5</v>
      </c>
      <c r="BG18" s="36">
        <v>5</v>
      </c>
      <c r="BH18" s="36">
        <v>4</v>
      </c>
      <c r="BI18" s="36">
        <v>2</v>
      </c>
      <c r="BJ18" s="36">
        <v>6</v>
      </c>
      <c r="BK18" s="36"/>
      <c r="BL18" s="36">
        <v>11</v>
      </c>
      <c r="BM18" s="36">
        <v>12</v>
      </c>
      <c r="BN18" s="36">
        <v>9</v>
      </c>
      <c r="BO18" s="36">
        <v>5</v>
      </c>
      <c r="BP18" s="36">
        <v>1</v>
      </c>
      <c r="BQ18" s="36"/>
      <c r="BR18" s="36">
        <v>2</v>
      </c>
      <c r="BS18" s="36">
        <v>7</v>
      </c>
      <c r="BT18" s="36">
        <v>3</v>
      </c>
      <c r="BU18" s="36">
        <v>5</v>
      </c>
      <c r="BV18" s="36"/>
      <c r="BW18" s="36"/>
      <c r="BX18" s="36">
        <v>6</v>
      </c>
      <c r="BY18" s="36">
        <v>8</v>
      </c>
      <c r="BZ18" s="36">
        <v>3</v>
      </c>
      <c r="CA18" s="36"/>
      <c r="CB18" s="36">
        <v>5</v>
      </c>
      <c r="CC18" s="36">
        <v>1</v>
      </c>
      <c r="CD18" s="36">
        <v>1</v>
      </c>
      <c r="CE18" s="36"/>
      <c r="CF18" s="36">
        <v>2</v>
      </c>
      <c r="CG18" s="36">
        <v>1</v>
      </c>
      <c r="CH18" s="36">
        <v>4</v>
      </c>
      <c r="CI18" s="36"/>
      <c r="CK18" s="4" t="b">
        <f t="shared" si="0"/>
        <v>0</v>
      </c>
    </row>
    <row r="19" spans="1:89" ht="75" customHeight="1">
      <c r="A19" s="32" t="s">
        <v>87</v>
      </c>
      <c r="B19" s="32" t="s">
        <v>120</v>
      </c>
      <c r="C19" s="32" t="s">
        <v>121</v>
      </c>
      <c r="D19" s="34"/>
      <c r="E19" s="34">
        <v>100</v>
      </c>
      <c r="F19" s="34">
        <v>100</v>
      </c>
      <c r="G19" s="34"/>
      <c r="H19" s="34">
        <v>100</v>
      </c>
      <c r="I19" s="34">
        <v>100</v>
      </c>
      <c r="J19" s="34">
        <v>100</v>
      </c>
      <c r="K19" s="34"/>
      <c r="L19" s="34">
        <v>100</v>
      </c>
      <c r="M19" s="34">
        <v>100</v>
      </c>
      <c r="N19" s="34">
        <v>100</v>
      </c>
      <c r="O19" s="34">
        <v>100</v>
      </c>
      <c r="P19" s="34"/>
      <c r="Q19" s="34"/>
      <c r="R19" s="34"/>
      <c r="S19" s="34"/>
      <c r="T19" s="34"/>
      <c r="U19" s="34"/>
      <c r="V19" s="34"/>
      <c r="W19" s="34"/>
      <c r="X19" s="34">
        <v>75</v>
      </c>
      <c r="Y19" s="34"/>
      <c r="Z19" s="34"/>
      <c r="AA19" s="34"/>
      <c r="AB19" s="36">
        <v>2</v>
      </c>
      <c r="AC19" s="36">
        <v>28</v>
      </c>
      <c r="AD19" s="36">
        <v>13</v>
      </c>
      <c r="AE19" s="36">
        <v>23</v>
      </c>
      <c r="AF19" s="36">
        <v>20</v>
      </c>
      <c r="AG19" s="36">
        <v>23</v>
      </c>
      <c r="AH19" s="36">
        <v>35</v>
      </c>
      <c r="AI19" s="36">
        <v>18</v>
      </c>
      <c r="AJ19" s="36">
        <v>17</v>
      </c>
      <c r="AK19" s="36">
        <v>22</v>
      </c>
      <c r="AL19" s="36">
        <v>21</v>
      </c>
      <c r="AM19" s="36">
        <v>22</v>
      </c>
      <c r="AN19" s="36">
        <v>3</v>
      </c>
      <c r="AO19" s="36">
        <v>42</v>
      </c>
      <c r="AP19" s="36">
        <v>22</v>
      </c>
      <c r="AQ19" s="36">
        <v>24</v>
      </c>
      <c r="AR19" s="36">
        <v>25</v>
      </c>
      <c r="AS19" s="36">
        <v>27</v>
      </c>
      <c r="AT19" s="36">
        <v>33</v>
      </c>
      <c r="AU19" s="36">
        <v>28</v>
      </c>
      <c r="AV19" s="36">
        <v>28</v>
      </c>
      <c r="AW19" s="36">
        <v>32</v>
      </c>
      <c r="AX19" s="36">
        <v>29</v>
      </c>
      <c r="AY19" s="36">
        <v>23</v>
      </c>
      <c r="AZ19" s="36"/>
      <c r="BA19" s="36">
        <v>20</v>
      </c>
      <c r="BB19" s="36">
        <v>39</v>
      </c>
      <c r="BC19" s="36">
        <v>20</v>
      </c>
      <c r="BD19" s="36">
        <v>31</v>
      </c>
      <c r="BE19" s="36">
        <v>22</v>
      </c>
      <c r="BF19" s="36">
        <v>33</v>
      </c>
      <c r="BG19" s="36">
        <v>31</v>
      </c>
      <c r="BH19" s="36">
        <v>20</v>
      </c>
      <c r="BI19" s="36">
        <v>11</v>
      </c>
      <c r="BJ19" s="36">
        <v>15</v>
      </c>
      <c r="BK19" s="36">
        <v>22</v>
      </c>
      <c r="BL19" s="36"/>
      <c r="BM19" s="36"/>
      <c r="BN19" s="36">
        <v>2</v>
      </c>
      <c r="BO19" s="36">
        <v>12</v>
      </c>
      <c r="BP19" s="36">
        <v>6</v>
      </c>
      <c r="BQ19" s="36">
        <v>12</v>
      </c>
      <c r="BR19" s="36">
        <v>14</v>
      </c>
      <c r="BS19" s="36">
        <v>9</v>
      </c>
      <c r="BT19" s="36">
        <v>9</v>
      </c>
      <c r="BU19" s="36">
        <v>9</v>
      </c>
      <c r="BV19" s="36">
        <v>12</v>
      </c>
      <c r="BW19" s="36">
        <v>5</v>
      </c>
      <c r="BX19" s="36"/>
      <c r="BY19" s="36"/>
      <c r="BZ19" s="36"/>
      <c r="CA19" s="36"/>
      <c r="CB19" s="36">
        <v>1</v>
      </c>
      <c r="CC19" s="36">
        <v>1</v>
      </c>
      <c r="CD19" s="36">
        <v>1</v>
      </c>
      <c r="CE19" s="36"/>
      <c r="CF19" s="36"/>
      <c r="CG19" s="36">
        <v>1</v>
      </c>
      <c r="CH19" s="36"/>
      <c r="CI19" s="36"/>
      <c r="CK19" s="4" t="b">
        <f t="shared" si="0"/>
        <v>0</v>
      </c>
    </row>
    <row r="20" spans="1:89" ht="60" customHeight="1">
      <c r="A20" s="32" t="s">
        <v>109</v>
      </c>
      <c r="B20" s="32" t="s">
        <v>114</v>
      </c>
      <c r="C20" s="32" t="s">
        <v>122</v>
      </c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  <c r="AA20" s="34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6"/>
      <c r="AM20" s="36"/>
      <c r="AN20" s="36"/>
      <c r="AO20" s="36"/>
      <c r="AP20" s="36"/>
      <c r="AQ20" s="36"/>
      <c r="AR20" s="36"/>
      <c r="AS20" s="36"/>
      <c r="AT20" s="36"/>
      <c r="AU20" s="36"/>
      <c r="AV20" s="36"/>
      <c r="AW20" s="36"/>
      <c r="AX20" s="36"/>
      <c r="AY20" s="36"/>
      <c r="AZ20" s="36"/>
      <c r="BA20" s="36"/>
      <c r="BB20" s="36">
        <v>2</v>
      </c>
      <c r="BC20" s="36"/>
      <c r="BD20" s="36">
        <v>1</v>
      </c>
      <c r="BE20" s="36"/>
      <c r="BF20" s="36"/>
      <c r="BG20" s="36"/>
      <c r="BH20" s="36"/>
      <c r="BI20" s="36">
        <v>1</v>
      </c>
      <c r="BJ20" s="36"/>
      <c r="BK20" s="36"/>
      <c r="BL20" s="36"/>
      <c r="BM20" s="36"/>
      <c r="BN20" s="36"/>
      <c r="BO20" s="36"/>
      <c r="BP20" s="36"/>
      <c r="BQ20" s="36"/>
      <c r="BR20" s="36"/>
      <c r="BS20" s="36"/>
      <c r="BT20" s="36"/>
      <c r="BU20" s="36">
        <v>2</v>
      </c>
      <c r="BV20" s="36"/>
      <c r="BW20" s="36"/>
      <c r="BX20" s="36"/>
      <c r="BY20" s="36"/>
      <c r="BZ20" s="36"/>
      <c r="CA20" s="36"/>
      <c r="CB20" s="36"/>
      <c r="CC20" s="36"/>
      <c r="CD20" s="36"/>
      <c r="CE20" s="36"/>
      <c r="CF20" s="36"/>
      <c r="CG20" s="36">
        <v>3</v>
      </c>
      <c r="CH20" s="36"/>
      <c r="CI20" s="36"/>
      <c r="CK20" s="4" t="b">
        <f t="shared" si="0"/>
        <v>0</v>
      </c>
    </row>
    <row r="21" spans="1:89" ht="60" customHeight="1">
      <c r="A21" s="32" t="s">
        <v>87</v>
      </c>
      <c r="B21" s="32" t="s">
        <v>90</v>
      </c>
      <c r="C21" s="32" t="s">
        <v>123</v>
      </c>
      <c r="D21" s="34">
        <v>100</v>
      </c>
      <c r="E21" s="34"/>
      <c r="F21" s="34">
        <v>100</v>
      </c>
      <c r="G21" s="34">
        <v>100</v>
      </c>
      <c r="H21" s="34">
        <v>100</v>
      </c>
      <c r="I21" s="34">
        <v>100</v>
      </c>
      <c r="J21" s="34">
        <v>100</v>
      </c>
      <c r="K21" s="34">
        <v>100</v>
      </c>
      <c r="L21" s="34">
        <v>100</v>
      </c>
      <c r="M21" s="34">
        <v>100</v>
      </c>
      <c r="N21" s="34">
        <v>100</v>
      </c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  <c r="AA21" s="34"/>
      <c r="AB21" s="36">
        <v>9</v>
      </c>
      <c r="AC21" s="36"/>
      <c r="AD21" s="36">
        <v>25</v>
      </c>
      <c r="AE21" s="36">
        <v>38</v>
      </c>
      <c r="AF21" s="36">
        <v>17</v>
      </c>
      <c r="AG21" s="36">
        <v>16</v>
      </c>
      <c r="AH21" s="36">
        <v>17</v>
      </c>
      <c r="AI21" s="36">
        <v>9</v>
      </c>
      <c r="AJ21" s="36">
        <v>20</v>
      </c>
      <c r="AK21" s="36">
        <v>21</v>
      </c>
      <c r="AL21" s="36">
        <v>11</v>
      </c>
      <c r="AM21" s="36">
        <v>9</v>
      </c>
      <c r="AN21" s="36">
        <v>8</v>
      </c>
      <c r="AO21" s="36"/>
      <c r="AP21" s="36">
        <v>21</v>
      </c>
      <c r="AQ21" s="36">
        <v>35</v>
      </c>
      <c r="AR21" s="36">
        <v>19</v>
      </c>
      <c r="AS21" s="36">
        <v>14</v>
      </c>
      <c r="AT21" s="36">
        <v>6</v>
      </c>
      <c r="AU21" s="36">
        <v>8</v>
      </c>
      <c r="AV21" s="36">
        <v>10</v>
      </c>
      <c r="AW21" s="36">
        <v>19</v>
      </c>
      <c r="AX21" s="36">
        <v>14</v>
      </c>
      <c r="AY21" s="36">
        <v>18</v>
      </c>
      <c r="AZ21" s="36">
        <v>11</v>
      </c>
      <c r="BA21" s="36"/>
      <c r="BB21" s="36">
        <v>12</v>
      </c>
      <c r="BC21" s="36">
        <v>10</v>
      </c>
      <c r="BD21" s="36">
        <v>18</v>
      </c>
      <c r="BE21" s="36">
        <v>14</v>
      </c>
      <c r="BF21" s="36">
        <v>10</v>
      </c>
      <c r="BG21" s="36">
        <v>3</v>
      </c>
      <c r="BH21" s="36">
        <v>25</v>
      </c>
      <c r="BI21" s="36">
        <v>25</v>
      </c>
      <c r="BJ21" s="36">
        <v>21</v>
      </c>
      <c r="BK21" s="36">
        <v>9</v>
      </c>
      <c r="BL21" s="36">
        <v>9</v>
      </c>
      <c r="BM21" s="36"/>
      <c r="BN21" s="36">
        <v>15</v>
      </c>
      <c r="BO21" s="36">
        <v>20</v>
      </c>
      <c r="BP21" s="36">
        <v>5</v>
      </c>
      <c r="BQ21" s="36">
        <v>8</v>
      </c>
      <c r="BR21" s="36">
        <v>14</v>
      </c>
      <c r="BS21" s="36">
        <v>7</v>
      </c>
      <c r="BT21" s="36">
        <v>20</v>
      </c>
      <c r="BU21" s="36"/>
      <c r="BV21" s="36">
        <v>6</v>
      </c>
      <c r="BW21" s="36">
        <v>8</v>
      </c>
      <c r="BX21" s="36">
        <v>10</v>
      </c>
      <c r="BY21" s="36"/>
      <c r="BZ21" s="36">
        <v>7</v>
      </c>
      <c r="CA21" s="36">
        <v>10</v>
      </c>
      <c r="CB21" s="36">
        <v>7</v>
      </c>
      <c r="CC21" s="36">
        <v>4</v>
      </c>
      <c r="CD21" s="36">
        <v>4</v>
      </c>
      <c r="CE21" s="36">
        <v>4</v>
      </c>
      <c r="CF21" s="36">
        <v>10</v>
      </c>
      <c r="CG21" s="36"/>
      <c r="CH21" s="36">
        <v>7</v>
      </c>
      <c r="CI21" s="36">
        <v>14</v>
      </c>
      <c r="CK21" s="4" t="b">
        <f t="shared" si="0"/>
        <v>1</v>
      </c>
    </row>
    <row r="22" spans="1:89" ht="150" customHeight="1">
      <c r="A22" s="32" t="s">
        <v>124</v>
      </c>
      <c r="B22" s="32" t="s">
        <v>125</v>
      </c>
      <c r="C22" s="32" t="s">
        <v>126</v>
      </c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  <c r="AA22" s="34"/>
      <c r="AB22" s="36"/>
      <c r="AC22" s="36"/>
      <c r="AD22" s="36"/>
      <c r="AE22" s="36"/>
      <c r="AF22" s="36"/>
      <c r="AG22" s="36"/>
      <c r="AH22" s="36"/>
      <c r="AI22" s="36"/>
      <c r="AJ22" s="36">
        <v>2</v>
      </c>
      <c r="AK22" s="36"/>
      <c r="AL22" s="36">
        <v>2</v>
      </c>
      <c r="AM22" s="36"/>
      <c r="AN22" s="36"/>
      <c r="AO22" s="36"/>
      <c r="AP22" s="36"/>
      <c r="AQ22" s="36"/>
      <c r="AR22" s="36"/>
      <c r="AS22" s="36"/>
      <c r="AT22" s="36"/>
      <c r="AU22" s="36"/>
      <c r="AV22" s="36">
        <v>2</v>
      </c>
      <c r="AW22" s="36"/>
      <c r="AX22" s="36">
        <v>2</v>
      </c>
      <c r="AY22" s="36"/>
      <c r="AZ22" s="36"/>
      <c r="BA22" s="36"/>
      <c r="BB22" s="36"/>
      <c r="BC22" s="36"/>
      <c r="BD22" s="36"/>
      <c r="BE22" s="36"/>
      <c r="BF22" s="36"/>
      <c r="BG22" s="36">
        <v>15</v>
      </c>
      <c r="BH22" s="36">
        <v>12</v>
      </c>
      <c r="BI22" s="36"/>
      <c r="BJ22" s="36">
        <v>12</v>
      </c>
      <c r="BK22" s="36"/>
      <c r="BL22" s="36"/>
      <c r="BM22" s="36"/>
      <c r="BN22" s="36"/>
      <c r="BO22" s="36"/>
      <c r="BP22" s="36"/>
      <c r="BQ22" s="36"/>
      <c r="BR22" s="36"/>
      <c r="BS22" s="36">
        <v>5</v>
      </c>
      <c r="BT22" s="36">
        <v>2</v>
      </c>
      <c r="BU22" s="36"/>
      <c r="BV22" s="36">
        <v>2</v>
      </c>
      <c r="BW22" s="36"/>
      <c r="BX22" s="36"/>
      <c r="BY22" s="36"/>
      <c r="BZ22" s="36"/>
      <c r="CA22" s="36"/>
      <c r="CB22" s="36"/>
      <c r="CC22" s="36"/>
      <c r="CD22" s="36"/>
      <c r="CE22" s="36">
        <v>7</v>
      </c>
      <c r="CF22" s="36">
        <v>10</v>
      </c>
      <c r="CG22" s="36"/>
      <c r="CH22" s="36">
        <v>10</v>
      </c>
      <c r="CI22" s="36"/>
      <c r="CK22" s="4" t="b">
        <f t="shared" si="0"/>
        <v>0</v>
      </c>
    </row>
    <row r="23" spans="1:89" ht="75" customHeight="1">
      <c r="A23" s="32" t="s">
        <v>109</v>
      </c>
      <c r="B23" s="32" t="s">
        <v>127</v>
      </c>
      <c r="C23" s="32" t="s">
        <v>128</v>
      </c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6"/>
      <c r="AM23" s="36"/>
      <c r="AN23" s="36"/>
      <c r="AO23" s="36"/>
      <c r="AP23" s="36"/>
      <c r="AQ23" s="36"/>
      <c r="AR23" s="36"/>
      <c r="AS23" s="36"/>
      <c r="AT23" s="36"/>
      <c r="AU23" s="36"/>
      <c r="AV23" s="36"/>
      <c r="AW23" s="36"/>
      <c r="AX23" s="36"/>
      <c r="AY23" s="36"/>
      <c r="AZ23" s="36"/>
      <c r="BA23" s="36">
        <v>6</v>
      </c>
      <c r="BB23" s="36">
        <v>10</v>
      </c>
      <c r="BC23" s="36">
        <v>6</v>
      </c>
      <c r="BD23" s="36">
        <v>4</v>
      </c>
      <c r="BE23" s="36"/>
      <c r="BF23" s="36"/>
      <c r="BG23" s="36">
        <v>12</v>
      </c>
      <c r="BH23" s="36">
        <v>4</v>
      </c>
      <c r="BI23" s="36">
        <v>6</v>
      </c>
      <c r="BJ23" s="36">
        <v>5</v>
      </c>
      <c r="BK23" s="36"/>
      <c r="BL23" s="36"/>
      <c r="BM23" s="36">
        <v>1</v>
      </c>
      <c r="BN23" s="36">
        <v>2</v>
      </c>
      <c r="BO23" s="36">
        <v>6</v>
      </c>
      <c r="BP23" s="36">
        <v>2</v>
      </c>
      <c r="BQ23" s="36"/>
      <c r="BR23" s="36"/>
      <c r="BS23" s="36">
        <v>4</v>
      </c>
      <c r="BT23" s="36">
        <v>6</v>
      </c>
      <c r="BU23" s="36">
        <v>2</v>
      </c>
      <c r="BV23" s="36"/>
      <c r="BW23" s="36"/>
      <c r="BX23" s="36"/>
      <c r="BY23" s="36">
        <v>6</v>
      </c>
      <c r="BZ23" s="36"/>
      <c r="CA23" s="36">
        <v>2</v>
      </c>
      <c r="CB23" s="36">
        <v>2</v>
      </c>
      <c r="CC23" s="36"/>
      <c r="CD23" s="36"/>
      <c r="CE23" s="36">
        <v>5</v>
      </c>
      <c r="CF23" s="36">
        <v>4</v>
      </c>
      <c r="CG23" s="36"/>
      <c r="CH23" s="36"/>
      <c r="CI23" s="36"/>
      <c r="CK23" s="4" t="b">
        <f t="shared" si="0"/>
        <v>0</v>
      </c>
    </row>
    <row r="24" spans="1:89" ht="105" customHeight="1">
      <c r="A24" s="32" t="s">
        <v>92</v>
      </c>
      <c r="B24" s="32" t="s">
        <v>129</v>
      </c>
      <c r="C24" s="32" t="s">
        <v>130</v>
      </c>
      <c r="D24" s="34"/>
      <c r="E24" s="34">
        <v>100</v>
      </c>
      <c r="F24" s="34"/>
      <c r="G24" s="34">
        <v>100</v>
      </c>
      <c r="H24" s="34">
        <v>100</v>
      </c>
      <c r="I24" s="34">
        <v>100</v>
      </c>
      <c r="J24" s="34">
        <v>100</v>
      </c>
      <c r="K24" s="34">
        <v>100</v>
      </c>
      <c r="L24" s="34">
        <v>100</v>
      </c>
      <c r="M24" s="34">
        <v>100</v>
      </c>
      <c r="N24" s="34">
        <v>100</v>
      </c>
      <c r="O24" s="34">
        <v>100</v>
      </c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  <c r="AA24" s="34"/>
      <c r="AB24" s="36"/>
      <c r="AC24" s="36">
        <v>8</v>
      </c>
      <c r="AD24" s="36"/>
      <c r="AE24" s="36">
        <v>11</v>
      </c>
      <c r="AF24" s="36">
        <v>11</v>
      </c>
      <c r="AG24" s="36">
        <v>10</v>
      </c>
      <c r="AH24" s="36">
        <v>11</v>
      </c>
      <c r="AI24" s="36">
        <v>9</v>
      </c>
      <c r="AJ24" s="36">
        <v>12</v>
      </c>
      <c r="AK24" s="36">
        <v>20</v>
      </c>
      <c r="AL24" s="36">
        <v>14</v>
      </c>
      <c r="AM24" s="36">
        <v>14</v>
      </c>
      <c r="AN24" s="36"/>
      <c r="AO24" s="36">
        <v>12</v>
      </c>
      <c r="AP24" s="36"/>
      <c r="AQ24" s="36">
        <v>9</v>
      </c>
      <c r="AR24" s="36">
        <v>12</v>
      </c>
      <c r="AS24" s="36">
        <v>11</v>
      </c>
      <c r="AT24" s="36">
        <v>13</v>
      </c>
      <c r="AU24" s="36">
        <v>9</v>
      </c>
      <c r="AV24" s="36">
        <v>11</v>
      </c>
      <c r="AW24" s="36">
        <v>17</v>
      </c>
      <c r="AX24" s="36">
        <v>11</v>
      </c>
      <c r="AY24" s="36">
        <v>11</v>
      </c>
      <c r="AZ24" s="36"/>
      <c r="BA24" s="36">
        <v>3</v>
      </c>
      <c r="BB24" s="36"/>
      <c r="BC24" s="36">
        <v>5</v>
      </c>
      <c r="BD24" s="36">
        <v>9</v>
      </c>
      <c r="BE24" s="36"/>
      <c r="BF24" s="36">
        <v>11</v>
      </c>
      <c r="BG24" s="36">
        <v>14</v>
      </c>
      <c r="BH24" s="36">
        <v>10</v>
      </c>
      <c r="BI24" s="36">
        <v>9</v>
      </c>
      <c r="BJ24" s="36">
        <v>10</v>
      </c>
      <c r="BK24" s="36"/>
      <c r="BL24" s="36"/>
      <c r="BM24" s="36">
        <v>2</v>
      </c>
      <c r="BN24" s="36"/>
      <c r="BO24" s="36">
        <v>2</v>
      </c>
      <c r="BP24" s="36"/>
      <c r="BQ24" s="36">
        <v>3</v>
      </c>
      <c r="BR24" s="36">
        <v>2</v>
      </c>
      <c r="BS24" s="36">
        <v>2</v>
      </c>
      <c r="BT24" s="36">
        <v>3</v>
      </c>
      <c r="BU24" s="36">
        <v>1</v>
      </c>
      <c r="BV24" s="36">
        <v>3</v>
      </c>
      <c r="BW24" s="36">
        <v>4</v>
      </c>
      <c r="BX24" s="36"/>
      <c r="BY24" s="36"/>
      <c r="BZ24" s="36"/>
      <c r="CA24" s="36"/>
      <c r="CB24" s="36"/>
      <c r="CC24" s="36"/>
      <c r="CD24" s="36"/>
      <c r="CE24" s="36"/>
      <c r="CF24" s="36"/>
      <c r="CG24" s="36"/>
      <c r="CH24" s="36"/>
      <c r="CI24" s="36"/>
      <c r="CK24" s="4" t="b">
        <f t="shared" si="0"/>
        <v>0</v>
      </c>
    </row>
    <row r="25" spans="1:89" ht="60" customHeight="1">
      <c r="A25" s="32" t="s">
        <v>87</v>
      </c>
      <c r="B25" s="32" t="s">
        <v>131</v>
      </c>
      <c r="C25" s="32" t="s">
        <v>132</v>
      </c>
      <c r="D25" s="34"/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  <c r="AA25" s="34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T25" s="36"/>
      <c r="AU25" s="36"/>
      <c r="AV25" s="36"/>
      <c r="AW25" s="36"/>
      <c r="AX25" s="36"/>
      <c r="AY25" s="36"/>
      <c r="AZ25" s="36"/>
      <c r="BA25" s="36"/>
      <c r="BB25" s="36"/>
      <c r="BC25" s="36"/>
      <c r="BD25" s="36"/>
      <c r="BE25" s="36">
        <v>4</v>
      </c>
      <c r="BF25" s="36"/>
      <c r="BG25" s="36">
        <v>3</v>
      </c>
      <c r="BH25" s="36"/>
      <c r="BI25" s="36">
        <v>1</v>
      </c>
      <c r="BJ25" s="36"/>
      <c r="BK25" s="36"/>
      <c r="BL25" s="36"/>
      <c r="BM25" s="36"/>
      <c r="BN25" s="36">
        <v>3</v>
      </c>
      <c r="BO25" s="36"/>
      <c r="BP25" s="36"/>
      <c r="BQ25" s="36"/>
      <c r="BR25" s="36"/>
      <c r="BS25" s="36">
        <v>1</v>
      </c>
      <c r="BT25" s="36"/>
      <c r="BU25" s="36">
        <v>3</v>
      </c>
      <c r="BV25" s="36"/>
      <c r="BW25" s="36"/>
      <c r="BX25" s="36"/>
      <c r="BY25" s="36"/>
      <c r="BZ25" s="36"/>
      <c r="CA25" s="36"/>
      <c r="CB25" s="36"/>
      <c r="CC25" s="36"/>
      <c r="CD25" s="36"/>
      <c r="CE25" s="36"/>
      <c r="CF25" s="36"/>
      <c r="CG25" s="36">
        <v>1</v>
      </c>
      <c r="CH25" s="36"/>
      <c r="CI25" s="36"/>
      <c r="CK25" s="4" t="b">
        <f t="shared" si="0"/>
        <v>0</v>
      </c>
    </row>
    <row r="26" spans="1:89" ht="75" customHeight="1">
      <c r="A26" s="32" t="s">
        <v>124</v>
      </c>
      <c r="B26" s="32" t="s">
        <v>133</v>
      </c>
      <c r="C26" s="32" t="s">
        <v>134</v>
      </c>
      <c r="D26" s="34"/>
      <c r="E26" s="34">
        <v>50</v>
      </c>
      <c r="F26" s="34"/>
      <c r="G26" s="34">
        <v>100</v>
      </c>
      <c r="H26" s="34">
        <v>100</v>
      </c>
      <c r="I26" s="34">
        <v>100</v>
      </c>
      <c r="J26" s="34">
        <v>100</v>
      </c>
      <c r="K26" s="34">
        <v>100</v>
      </c>
      <c r="L26" s="34">
        <v>62.5</v>
      </c>
      <c r="M26" s="34"/>
      <c r="N26" s="34">
        <v>100</v>
      </c>
      <c r="O26" s="34">
        <v>100</v>
      </c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>
        <v>100</v>
      </c>
      <c r="AB26" s="36"/>
      <c r="AC26" s="36">
        <v>97</v>
      </c>
      <c r="AD26" s="36"/>
      <c r="AE26" s="36">
        <v>46</v>
      </c>
      <c r="AF26" s="36">
        <v>45</v>
      </c>
      <c r="AG26" s="36">
        <v>55</v>
      </c>
      <c r="AH26" s="36">
        <v>43</v>
      </c>
      <c r="AI26" s="36">
        <v>34</v>
      </c>
      <c r="AJ26" s="36">
        <v>23</v>
      </c>
      <c r="AK26" s="36"/>
      <c r="AL26" s="36">
        <v>35</v>
      </c>
      <c r="AM26" s="36">
        <v>68</v>
      </c>
      <c r="AN26" s="36"/>
      <c r="AO26" s="36">
        <v>560</v>
      </c>
      <c r="AP26" s="36"/>
      <c r="AQ26" s="36">
        <v>59</v>
      </c>
      <c r="AR26" s="36">
        <v>48</v>
      </c>
      <c r="AS26" s="36">
        <v>34</v>
      </c>
      <c r="AT26" s="36">
        <v>41</v>
      </c>
      <c r="AU26" s="36">
        <v>33</v>
      </c>
      <c r="AV26" s="36">
        <v>36</v>
      </c>
      <c r="AW26" s="36"/>
      <c r="AX26" s="36">
        <v>30</v>
      </c>
      <c r="AY26" s="36">
        <v>61</v>
      </c>
      <c r="AZ26" s="36"/>
      <c r="BA26" s="36"/>
      <c r="BB26" s="36"/>
      <c r="BC26" s="36">
        <v>10</v>
      </c>
      <c r="BD26" s="36">
        <v>24</v>
      </c>
      <c r="BE26" s="36">
        <v>9</v>
      </c>
      <c r="BF26" s="36">
        <v>25</v>
      </c>
      <c r="BG26" s="36">
        <v>18</v>
      </c>
      <c r="BH26" s="36">
        <v>15</v>
      </c>
      <c r="BI26" s="36"/>
      <c r="BJ26" s="36">
        <v>15</v>
      </c>
      <c r="BK26" s="36">
        <v>19</v>
      </c>
      <c r="BL26" s="36"/>
      <c r="BM26" s="36"/>
      <c r="BN26" s="36"/>
      <c r="BO26" s="36"/>
      <c r="BP26" s="36"/>
      <c r="BQ26" s="36">
        <v>7</v>
      </c>
      <c r="BR26" s="36"/>
      <c r="BS26" s="36">
        <v>11</v>
      </c>
      <c r="BT26" s="36">
        <v>8</v>
      </c>
      <c r="BU26" s="36"/>
      <c r="BV26" s="36">
        <v>14</v>
      </c>
      <c r="BW26" s="36">
        <v>4</v>
      </c>
      <c r="BX26" s="36"/>
      <c r="BY26" s="36"/>
      <c r="BZ26" s="36"/>
      <c r="CA26" s="36"/>
      <c r="CB26" s="36"/>
      <c r="CC26" s="36"/>
      <c r="CD26" s="36">
        <v>2</v>
      </c>
      <c r="CE26" s="36"/>
      <c r="CF26" s="36"/>
      <c r="CG26" s="36"/>
      <c r="CH26" s="36"/>
      <c r="CI26" s="36"/>
      <c r="CK26" s="4" t="b">
        <f t="shared" si="0"/>
        <v>0</v>
      </c>
    </row>
    <row r="27" spans="1:89" ht="75" customHeight="1">
      <c r="A27" s="32" t="s">
        <v>124</v>
      </c>
      <c r="B27" s="32" t="s">
        <v>135</v>
      </c>
      <c r="C27" s="32" t="s">
        <v>136</v>
      </c>
      <c r="D27" s="34"/>
      <c r="E27" s="34">
        <v>37.5</v>
      </c>
      <c r="F27" s="34">
        <v>100</v>
      </c>
      <c r="G27" s="34">
        <v>100</v>
      </c>
      <c r="H27" s="34">
        <v>100</v>
      </c>
      <c r="I27" s="34">
        <v>100</v>
      </c>
      <c r="J27" s="34">
        <v>100</v>
      </c>
      <c r="K27" s="34">
        <v>100</v>
      </c>
      <c r="L27" s="34">
        <v>100</v>
      </c>
      <c r="M27" s="34">
        <v>100</v>
      </c>
      <c r="N27" s="34">
        <v>100</v>
      </c>
      <c r="O27" s="34">
        <v>100</v>
      </c>
      <c r="P27" s="34"/>
      <c r="Q27" s="34"/>
      <c r="R27" s="34"/>
      <c r="S27" s="34"/>
      <c r="T27" s="34"/>
      <c r="U27" s="34"/>
      <c r="V27" s="34"/>
      <c r="W27" s="34">
        <v>100</v>
      </c>
      <c r="X27" s="34"/>
      <c r="Y27" s="34"/>
      <c r="Z27" s="34"/>
      <c r="AA27" s="34">
        <v>100</v>
      </c>
      <c r="AB27" s="36"/>
      <c r="AC27" s="36">
        <v>33</v>
      </c>
      <c r="AD27" s="36">
        <v>29</v>
      </c>
      <c r="AE27" s="36">
        <v>46</v>
      </c>
      <c r="AF27" s="36">
        <v>43</v>
      </c>
      <c r="AG27" s="36">
        <v>45</v>
      </c>
      <c r="AH27" s="36">
        <v>52</v>
      </c>
      <c r="AI27" s="36">
        <v>25</v>
      </c>
      <c r="AJ27" s="36">
        <v>30</v>
      </c>
      <c r="AK27" s="36">
        <v>26</v>
      </c>
      <c r="AL27" s="36">
        <v>34</v>
      </c>
      <c r="AM27" s="36">
        <v>94</v>
      </c>
      <c r="AN27" s="36"/>
      <c r="AO27" s="36">
        <v>1107</v>
      </c>
      <c r="AP27" s="36">
        <v>17</v>
      </c>
      <c r="AQ27" s="36">
        <v>30</v>
      </c>
      <c r="AR27" s="36">
        <v>43</v>
      </c>
      <c r="AS27" s="36">
        <v>41</v>
      </c>
      <c r="AT27" s="36">
        <v>25</v>
      </c>
      <c r="AU27" s="36">
        <v>34</v>
      </c>
      <c r="AV27" s="36">
        <v>35</v>
      </c>
      <c r="AW27" s="36">
        <v>36</v>
      </c>
      <c r="AX27" s="36">
        <v>23</v>
      </c>
      <c r="AY27" s="36">
        <v>72</v>
      </c>
      <c r="AZ27" s="36"/>
      <c r="BA27" s="36">
        <v>9</v>
      </c>
      <c r="BB27" s="36">
        <v>10</v>
      </c>
      <c r="BC27" s="36">
        <v>18</v>
      </c>
      <c r="BD27" s="36">
        <v>16</v>
      </c>
      <c r="BE27" s="36">
        <v>11</v>
      </c>
      <c r="BF27" s="36">
        <v>13</v>
      </c>
      <c r="BG27" s="36">
        <v>10</v>
      </c>
      <c r="BH27" s="36">
        <v>11</v>
      </c>
      <c r="BI27" s="36">
        <v>11</v>
      </c>
      <c r="BJ27" s="36">
        <v>20</v>
      </c>
      <c r="BK27" s="36">
        <v>10</v>
      </c>
      <c r="BL27" s="36"/>
      <c r="BM27" s="36"/>
      <c r="BN27" s="36"/>
      <c r="BO27" s="36">
        <v>2</v>
      </c>
      <c r="BP27" s="36">
        <v>2</v>
      </c>
      <c r="BQ27" s="36">
        <v>1</v>
      </c>
      <c r="BR27" s="36">
        <v>5</v>
      </c>
      <c r="BS27" s="36">
        <v>2</v>
      </c>
      <c r="BT27" s="36">
        <v>3</v>
      </c>
      <c r="BU27" s="36">
        <v>8</v>
      </c>
      <c r="BV27" s="36">
        <v>2</v>
      </c>
      <c r="BW27" s="36">
        <v>9</v>
      </c>
      <c r="BX27" s="36"/>
      <c r="BY27" s="36"/>
      <c r="BZ27" s="36"/>
      <c r="CA27" s="36"/>
      <c r="CB27" s="36"/>
      <c r="CC27" s="36">
        <v>1</v>
      </c>
      <c r="CD27" s="36"/>
      <c r="CE27" s="36"/>
      <c r="CF27" s="36">
        <v>3</v>
      </c>
      <c r="CG27" s="36"/>
      <c r="CH27" s="36">
        <v>2</v>
      </c>
      <c r="CI27" s="36">
        <v>1</v>
      </c>
      <c r="CK27" s="4" t="b">
        <f t="shared" si="0"/>
        <v>0</v>
      </c>
    </row>
    <row r="28" spans="1:89" ht="60" customHeight="1">
      <c r="A28" s="32" t="s">
        <v>87</v>
      </c>
      <c r="B28" s="32" t="s">
        <v>104</v>
      </c>
      <c r="C28" s="32" t="s">
        <v>137</v>
      </c>
      <c r="D28" s="34"/>
      <c r="E28" s="34">
        <v>50</v>
      </c>
      <c r="F28" s="34">
        <v>112.5</v>
      </c>
      <c r="G28" s="34">
        <v>100</v>
      </c>
      <c r="H28" s="34">
        <v>100</v>
      </c>
      <c r="I28" s="34">
        <v>100</v>
      </c>
      <c r="J28" s="34">
        <v>100</v>
      </c>
      <c r="K28" s="34">
        <v>87.5</v>
      </c>
      <c r="L28" s="34">
        <v>62.5</v>
      </c>
      <c r="M28" s="34">
        <v>225</v>
      </c>
      <c r="N28" s="34">
        <v>112.5</v>
      </c>
      <c r="O28" s="34">
        <v>100</v>
      </c>
      <c r="P28" s="34"/>
      <c r="Q28" s="34">
        <v>116.67</v>
      </c>
      <c r="R28" s="34">
        <v>100</v>
      </c>
      <c r="S28" s="34">
        <v>75</v>
      </c>
      <c r="T28" s="34">
        <v>100</v>
      </c>
      <c r="U28" s="34">
        <v>75</v>
      </c>
      <c r="V28" s="34">
        <v>100</v>
      </c>
      <c r="W28" s="34">
        <v>125</v>
      </c>
      <c r="X28" s="34">
        <v>225</v>
      </c>
      <c r="Y28" s="34">
        <v>225</v>
      </c>
      <c r="Z28" s="34">
        <v>300</v>
      </c>
      <c r="AA28" s="34">
        <v>300</v>
      </c>
      <c r="AB28" s="36"/>
      <c r="AC28" s="36">
        <v>100</v>
      </c>
      <c r="AD28" s="36">
        <v>78</v>
      </c>
      <c r="AE28" s="36">
        <v>74</v>
      </c>
      <c r="AF28" s="36">
        <v>91</v>
      </c>
      <c r="AG28" s="36">
        <v>106</v>
      </c>
      <c r="AH28" s="36">
        <v>95</v>
      </c>
      <c r="AI28" s="36">
        <v>72</v>
      </c>
      <c r="AJ28" s="36">
        <v>75</v>
      </c>
      <c r="AK28" s="36">
        <v>118</v>
      </c>
      <c r="AL28" s="36">
        <v>155</v>
      </c>
      <c r="AM28" s="36">
        <v>92</v>
      </c>
      <c r="AN28" s="36"/>
      <c r="AO28" s="36">
        <v>74</v>
      </c>
      <c r="AP28" s="36">
        <v>78</v>
      </c>
      <c r="AQ28" s="36">
        <v>90</v>
      </c>
      <c r="AR28" s="36">
        <v>99</v>
      </c>
      <c r="AS28" s="36">
        <v>94</v>
      </c>
      <c r="AT28" s="36">
        <v>102</v>
      </c>
      <c r="AU28" s="36">
        <v>108</v>
      </c>
      <c r="AV28" s="36">
        <v>90</v>
      </c>
      <c r="AW28" s="36">
        <v>147</v>
      </c>
      <c r="AX28" s="36">
        <v>122</v>
      </c>
      <c r="AY28" s="36">
        <v>94</v>
      </c>
      <c r="AZ28" s="36"/>
      <c r="BA28" s="36">
        <v>19</v>
      </c>
      <c r="BB28" s="36">
        <v>19</v>
      </c>
      <c r="BC28" s="36">
        <v>26</v>
      </c>
      <c r="BD28" s="36">
        <v>27</v>
      </c>
      <c r="BE28" s="36">
        <v>27</v>
      </c>
      <c r="BF28" s="36">
        <v>20</v>
      </c>
      <c r="BG28" s="36">
        <v>12</v>
      </c>
      <c r="BH28" s="36">
        <v>11</v>
      </c>
      <c r="BI28" s="36">
        <v>9</v>
      </c>
      <c r="BJ28" s="36">
        <v>20</v>
      </c>
      <c r="BK28" s="36">
        <v>17</v>
      </c>
      <c r="BL28" s="36"/>
      <c r="BM28" s="36"/>
      <c r="BN28" s="36"/>
      <c r="BO28" s="36">
        <v>3</v>
      </c>
      <c r="BP28" s="36">
        <v>3</v>
      </c>
      <c r="BQ28" s="36">
        <v>6</v>
      </c>
      <c r="BR28" s="36">
        <v>5</v>
      </c>
      <c r="BS28" s="36">
        <v>8</v>
      </c>
      <c r="BT28" s="36">
        <v>5</v>
      </c>
      <c r="BU28" s="36">
        <v>6</v>
      </c>
      <c r="BV28" s="36">
        <v>3</v>
      </c>
      <c r="BW28" s="36">
        <v>8</v>
      </c>
      <c r="BX28" s="36"/>
      <c r="BY28" s="36"/>
      <c r="BZ28" s="36"/>
      <c r="CA28" s="36"/>
      <c r="CB28" s="36"/>
      <c r="CC28" s="36"/>
      <c r="CD28" s="36">
        <v>1</v>
      </c>
      <c r="CE28" s="36"/>
      <c r="CF28" s="36"/>
      <c r="CG28" s="36"/>
      <c r="CH28" s="36">
        <v>1</v>
      </c>
      <c r="CI28" s="36">
        <v>3</v>
      </c>
      <c r="CK28" s="4" t="b">
        <f t="shared" si="0"/>
        <v>0</v>
      </c>
    </row>
    <row r="29" spans="1:89" ht="75" customHeight="1">
      <c r="A29" s="32" t="s">
        <v>87</v>
      </c>
      <c r="B29" s="32" t="s">
        <v>131</v>
      </c>
      <c r="C29" s="32" t="s">
        <v>138</v>
      </c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  <c r="AA29" s="34"/>
      <c r="AB29" s="36"/>
      <c r="AC29" s="36"/>
      <c r="AD29" s="36"/>
      <c r="AE29" s="36">
        <v>14</v>
      </c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>
        <v>13</v>
      </c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>
        <v>75</v>
      </c>
      <c r="BD29" s="36"/>
      <c r="BE29" s="36"/>
      <c r="BF29" s="36"/>
      <c r="BG29" s="36"/>
      <c r="BH29" s="36"/>
      <c r="BI29" s="36"/>
      <c r="BJ29" s="36"/>
      <c r="BK29" s="36"/>
      <c r="BL29" s="36"/>
      <c r="BM29" s="36"/>
      <c r="BN29" s="36"/>
      <c r="BO29" s="36">
        <v>20</v>
      </c>
      <c r="BP29" s="36"/>
      <c r="BQ29" s="36"/>
      <c r="BR29" s="36"/>
      <c r="BS29" s="36"/>
      <c r="BT29" s="36"/>
      <c r="BU29" s="36"/>
      <c r="BV29" s="36"/>
      <c r="BW29" s="36"/>
      <c r="BX29" s="36"/>
      <c r="BY29" s="36"/>
      <c r="BZ29" s="36"/>
      <c r="CA29" s="36">
        <v>15</v>
      </c>
      <c r="CB29" s="36"/>
      <c r="CC29" s="36"/>
      <c r="CD29" s="36"/>
      <c r="CE29" s="36"/>
      <c r="CF29" s="36"/>
      <c r="CG29" s="36"/>
      <c r="CH29" s="36"/>
      <c r="CI29" s="36"/>
      <c r="CK29" s="4" t="b">
        <f t="shared" si="0"/>
        <v>0</v>
      </c>
    </row>
    <row r="30" spans="1:89" ht="75" customHeight="1">
      <c r="A30" s="32" t="s">
        <v>124</v>
      </c>
      <c r="B30" s="32" t="s">
        <v>139</v>
      </c>
      <c r="C30" s="32" t="s">
        <v>140</v>
      </c>
      <c r="D30" s="34">
        <v>100</v>
      </c>
      <c r="E30" s="34">
        <v>100</v>
      </c>
      <c r="F30" s="34">
        <v>100</v>
      </c>
      <c r="G30" s="34">
        <v>100</v>
      </c>
      <c r="H30" s="34">
        <v>100</v>
      </c>
      <c r="I30" s="34">
        <v>100</v>
      </c>
      <c r="J30" s="34">
        <v>100</v>
      </c>
      <c r="K30" s="34"/>
      <c r="L30" s="34"/>
      <c r="M30" s="34"/>
      <c r="N30" s="34"/>
      <c r="O30" s="34"/>
      <c r="P30" s="34"/>
      <c r="Q30" s="34"/>
      <c r="R30" s="34"/>
      <c r="S30" s="34">
        <v>100</v>
      </c>
      <c r="T30" s="34">
        <v>100</v>
      </c>
      <c r="U30" s="34">
        <v>100</v>
      </c>
      <c r="V30" s="34">
        <v>100</v>
      </c>
      <c r="W30" s="34"/>
      <c r="X30" s="34"/>
      <c r="Y30" s="34"/>
      <c r="Z30" s="34">
        <v>100</v>
      </c>
      <c r="AA30" s="34"/>
      <c r="AB30" s="36">
        <v>18</v>
      </c>
      <c r="AC30" s="36">
        <v>56</v>
      </c>
      <c r="AD30" s="36">
        <v>8</v>
      </c>
      <c r="AE30" s="36">
        <v>15</v>
      </c>
      <c r="AF30" s="36">
        <v>10</v>
      </c>
      <c r="AG30" s="36">
        <v>16</v>
      </c>
      <c r="AH30" s="36">
        <v>12</v>
      </c>
      <c r="AI30" s="36"/>
      <c r="AJ30" s="36"/>
      <c r="AK30" s="36"/>
      <c r="AL30" s="36"/>
      <c r="AM30" s="36"/>
      <c r="AN30" s="36">
        <v>12</v>
      </c>
      <c r="AO30" s="36">
        <v>384</v>
      </c>
      <c r="AP30" s="36"/>
      <c r="AQ30" s="36">
        <v>15</v>
      </c>
      <c r="AR30" s="36">
        <v>8</v>
      </c>
      <c r="AS30" s="36">
        <v>13</v>
      </c>
      <c r="AT30" s="36">
        <v>13</v>
      </c>
      <c r="AU30" s="36"/>
      <c r="AV30" s="36"/>
      <c r="AW30" s="36"/>
      <c r="AX30" s="36">
        <v>11</v>
      </c>
      <c r="AY30" s="36"/>
      <c r="AZ30" s="36">
        <v>7</v>
      </c>
      <c r="BA30" s="36">
        <v>5</v>
      </c>
      <c r="BB30" s="36">
        <v>5</v>
      </c>
      <c r="BC30" s="36">
        <v>8</v>
      </c>
      <c r="BD30" s="36">
        <v>12</v>
      </c>
      <c r="BE30" s="36">
        <v>6</v>
      </c>
      <c r="BF30" s="36">
        <v>8</v>
      </c>
      <c r="BG30" s="36"/>
      <c r="BH30" s="36"/>
      <c r="BI30" s="36"/>
      <c r="BJ30" s="36">
        <v>12</v>
      </c>
      <c r="BK30" s="36"/>
      <c r="BL30" s="36">
        <v>6</v>
      </c>
      <c r="BM30" s="36">
        <v>7</v>
      </c>
      <c r="BN30" s="36">
        <v>7</v>
      </c>
      <c r="BO30" s="36">
        <v>4</v>
      </c>
      <c r="BP30" s="36">
        <v>4</v>
      </c>
      <c r="BQ30" s="36">
        <v>6</v>
      </c>
      <c r="BR30" s="36">
        <v>11</v>
      </c>
      <c r="BS30" s="36"/>
      <c r="BT30" s="36"/>
      <c r="BU30" s="36"/>
      <c r="BV30" s="36">
        <v>5</v>
      </c>
      <c r="BW30" s="36"/>
      <c r="BX30" s="36"/>
      <c r="BY30" s="36">
        <v>2</v>
      </c>
      <c r="BZ30" s="36">
        <v>1</v>
      </c>
      <c r="CA30" s="36"/>
      <c r="CB30" s="36">
        <v>8</v>
      </c>
      <c r="CC30" s="36">
        <v>1</v>
      </c>
      <c r="CD30" s="36"/>
      <c r="CE30" s="36"/>
      <c r="CF30" s="36"/>
      <c r="CG30" s="36"/>
      <c r="CH30" s="36">
        <v>1</v>
      </c>
      <c r="CI30" s="36"/>
      <c r="CK30" s="4" t="b">
        <f t="shared" si="0"/>
        <v>1</v>
      </c>
    </row>
    <row r="31" spans="1:89" ht="60" customHeight="1">
      <c r="A31" s="32" t="s">
        <v>101</v>
      </c>
      <c r="B31" s="32" t="s">
        <v>141</v>
      </c>
      <c r="C31" s="32" t="s">
        <v>142</v>
      </c>
      <c r="D31" s="34"/>
      <c r="E31" s="34">
        <v>50</v>
      </c>
      <c r="F31" s="34">
        <v>100</v>
      </c>
      <c r="G31" s="34">
        <v>100</v>
      </c>
      <c r="H31" s="34">
        <v>100</v>
      </c>
      <c r="I31" s="34">
        <v>100</v>
      </c>
      <c r="J31" s="34">
        <v>100</v>
      </c>
      <c r="K31" s="34">
        <v>100</v>
      </c>
      <c r="L31" s="34">
        <v>75</v>
      </c>
      <c r="M31" s="34">
        <v>100</v>
      </c>
      <c r="N31" s="34">
        <v>100</v>
      </c>
      <c r="O31" s="34">
        <v>100</v>
      </c>
      <c r="P31" s="34"/>
      <c r="Q31" s="34"/>
      <c r="R31" s="34">
        <v>100</v>
      </c>
      <c r="S31" s="34">
        <v>100</v>
      </c>
      <c r="T31" s="34">
        <v>100</v>
      </c>
      <c r="U31" s="34">
        <v>100</v>
      </c>
      <c r="V31" s="34">
        <v>100</v>
      </c>
      <c r="W31" s="34">
        <v>100</v>
      </c>
      <c r="X31" s="34">
        <v>75</v>
      </c>
      <c r="Y31" s="34">
        <v>75</v>
      </c>
      <c r="Z31" s="34">
        <v>100</v>
      </c>
      <c r="AA31" s="34">
        <v>100</v>
      </c>
      <c r="AB31" s="36"/>
      <c r="AC31" s="36">
        <v>35</v>
      </c>
      <c r="AD31" s="36">
        <v>38</v>
      </c>
      <c r="AE31" s="36">
        <v>9</v>
      </c>
      <c r="AF31" s="36">
        <v>36</v>
      </c>
      <c r="AG31" s="36">
        <v>38</v>
      </c>
      <c r="AH31" s="36">
        <v>40</v>
      </c>
      <c r="AI31" s="36">
        <v>29</v>
      </c>
      <c r="AJ31" s="36">
        <v>30</v>
      </c>
      <c r="AK31" s="36">
        <v>44</v>
      </c>
      <c r="AL31" s="36">
        <v>136</v>
      </c>
      <c r="AM31" s="36">
        <v>16</v>
      </c>
      <c r="AN31" s="36"/>
      <c r="AO31" s="36">
        <v>75</v>
      </c>
      <c r="AP31" s="36">
        <v>35</v>
      </c>
      <c r="AQ31" s="36">
        <v>5</v>
      </c>
      <c r="AR31" s="36">
        <v>31</v>
      </c>
      <c r="AS31" s="36">
        <v>36</v>
      </c>
      <c r="AT31" s="36">
        <v>38</v>
      </c>
      <c r="AU31" s="36">
        <v>28</v>
      </c>
      <c r="AV31" s="36">
        <v>22</v>
      </c>
      <c r="AW31" s="36">
        <v>32</v>
      </c>
      <c r="AX31" s="36">
        <v>105</v>
      </c>
      <c r="AY31" s="36">
        <v>28</v>
      </c>
      <c r="AZ31" s="36"/>
      <c r="BA31" s="36">
        <v>4</v>
      </c>
      <c r="BB31" s="36">
        <v>8</v>
      </c>
      <c r="BC31" s="36">
        <v>7</v>
      </c>
      <c r="BD31" s="36">
        <v>19</v>
      </c>
      <c r="BE31" s="36">
        <v>21</v>
      </c>
      <c r="BF31" s="36">
        <v>15</v>
      </c>
      <c r="BG31" s="36">
        <v>10</v>
      </c>
      <c r="BH31" s="36">
        <v>20</v>
      </c>
      <c r="BI31" s="36">
        <v>21</v>
      </c>
      <c r="BJ31" s="36">
        <v>21</v>
      </c>
      <c r="BK31" s="36">
        <v>23</v>
      </c>
      <c r="BL31" s="36"/>
      <c r="BM31" s="36"/>
      <c r="BN31" s="36"/>
      <c r="BO31" s="36">
        <v>4</v>
      </c>
      <c r="BP31" s="36"/>
      <c r="BQ31" s="36"/>
      <c r="BR31" s="36">
        <v>1</v>
      </c>
      <c r="BS31" s="36"/>
      <c r="BT31" s="36"/>
      <c r="BU31" s="36"/>
      <c r="BV31" s="36"/>
      <c r="BW31" s="36"/>
      <c r="BX31" s="36"/>
      <c r="BY31" s="36"/>
      <c r="BZ31" s="36"/>
      <c r="CA31" s="36"/>
      <c r="CB31" s="36"/>
      <c r="CC31" s="36"/>
      <c r="CD31" s="36"/>
      <c r="CE31" s="36"/>
      <c r="CF31" s="36"/>
      <c r="CG31" s="36"/>
      <c r="CH31" s="36"/>
      <c r="CI31" s="36"/>
      <c r="CK31" s="4" t="b">
        <f t="shared" si="0"/>
        <v>0</v>
      </c>
    </row>
    <row r="32" spans="1:89" ht="60" customHeight="1">
      <c r="A32" s="32" t="s">
        <v>87</v>
      </c>
      <c r="B32" s="32" t="s">
        <v>90</v>
      </c>
      <c r="C32" s="32" t="s">
        <v>143</v>
      </c>
      <c r="D32" s="34"/>
      <c r="E32" s="34">
        <v>100</v>
      </c>
      <c r="F32" s="34">
        <v>95.24</v>
      </c>
      <c r="G32" s="34">
        <v>95.24</v>
      </c>
      <c r="H32" s="34"/>
      <c r="I32" s="34"/>
      <c r="J32" s="34">
        <v>85.71</v>
      </c>
      <c r="K32" s="34">
        <v>95.24</v>
      </c>
      <c r="L32" s="34">
        <v>100</v>
      </c>
      <c r="M32" s="34">
        <v>95.24</v>
      </c>
      <c r="N32" s="34">
        <v>85.71</v>
      </c>
      <c r="O32" s="34">
        <v>100</v>
      </c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  <c r="AA32" s="34"/>
      <c r="AB32" s="36">
        <v>185</v>
      </c>
      <c r="AC32" s="36">
        <v>143</v>
      </c>
      <c r="AD32" s="36">
        <v>122</v>
      </c>
      <c r="AE32" s="36">
        <v>112</v>
      </c>
      <c r="AF32" s="36"/>
      <c r="AG32" s="36"/>
      <c r="AH32" s="36">
        <v>95</v>
      </c>
      <c r="AI32" s="36">
        <v>62</v>
      </c>
      <c r="AJ32" s="36">
        <v>63</v>
      </c>
      <c r="AK32" s="36">
        <v>74</v>
      </c>
      <c r="AL32" s="36">
        <v>97</v>
      </c>
      <c r="AM32" s="36">
        <v>82</v>
      </c>
      <c r="AN32" s="36">
        <v>157</v>
      </c>
      <c r="AO32" s="36">
        <v>160</v>
      </c>
      <c r="AP32" s="36">
        <v>138</v>
      </c>
      <c r="AQ32" s="36">
        <v>115</v>
      </c>
      <c r="AR32" s="36"/>
      <c r="AS32" s="36"/>
      <c r="AT32" s="36">
        <v>75</v>
      </c>
      <c r="AU32" s="36">
        <v>96</v>
      </c>
      <c r="AV32" s="36">
        <v>96</v>
      </c>
      <c r="AW32" s="36">
        <v>70</v>
      </c>
      <c r="AX32" s="36">
        <v>92</v>
      </c>
      <c r="AY32" s="36">
        <v>73</v>
      </c>
      <c r="AZ32" s="36"/>
      <c r="BA32" s="36"/>
      <c r="BB32" s="36">
        <v>144</v>
      </c>
      <c r="BC32" s="36">
        <v>75</v>
      </c>
      <c r="BD32" s="36"/>
      <c r="BE32" s="36"/>
      <c r="BF32" s="36">
        <v>65</v>
      </c>
      <c r="BG32" s="36">
        <v>84</v>
      </c>
      <c r="BH32" s="36">
        <v>96</v>
      </c>
      <c r="BI32" s="36">
        <v>116</v>
      </c>
      <c r="BJ32" s="36">
        <v>145</v>
      </c>
      <c r="BK32" s="36"/>
      <c r="BL32" s="36"/>
      <c r="BM32" s="36"/>
      <c r="BN32" s="36">
        <v>64</v>
      </c>
      <c r="BO32" s="36">
        <v>26</v>
      </c>
      <c r="BP32" s="36"/>
      <c r="BQ32" s="36"/>
      <c r="BR32" s="36"/>
      <c r="BS32" s="36"/>
      <c r="BT32" s="36">
        <v>29</v>
      </c>
      <c r="BU32" s="36">
        <v>80</v>
      </c>
      <c r="BV32" s="36"/>
      <c r="BW32" s="36"/>
      <c r="BX32" s="36"/>
      <c r="BY32" s="36"/>
      <c r="BZ32" s="36">
        <v>16</v>
      </c>
      <c r="CA32" s="36">
        <v>11</v>
      </c>
      <c r="CB32" s="36"/>
      <c r="CC32" s="36"/>
      <c r="CD32" s="36"/>
      <c r="CE32" s="36"/>
      <c r="CF32" s="36">
        <v>25</v>
      </c>
      <c r="CG32" s="36">
        <v>42</v>
      </c>
      <c r="CH32" s="36"/>
      <c r="CI32" s="36"/>
      <c r="CK32" s="4" t="b">
        <f t="shared" si="0"/>
        <v>0</v>
      </c>
    </row>
    <row r="33" spans="1:89" ht="75" customHeight="1">
      <c r="A33" s="32" t="s">
        <v>144</v>
      </c>
      <c r="B33" s="32" t="s">
        <v>145</v>
      </c>
      <c r="C33" s="32" t="s">
        <v>146</v>
      </c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4"/>
      <c r="AB33" s="36"/>
      <c r="AC33" s="36"/>
      <c r="AD33" s="36"/>
      <c r="AE33" s="36"/>
      <c r="AF33" s="36"/>
      <c r="AG33" s="36"/>
      <c r="AH33" s="36"/>
      <c r="AI33" s="36"/>
      <c r="AJ33" s="36"/>
      <c r="AK33" s="36"/>
      <c r="AL33" s="36"/>
      <c r="AM33" s="36"/>
      <c r="AN33" s="36"/>
      <c r="AO33" s="36"/>
      <c r="AP33" s="36"/>
      <c r="AQ33" s="36"/>
      <c r="AR33" s="36"/>
      <c r="AS33" s="36"/>
      <c r="AT33" s="36"/>
      <c r="AU33" s="36"/>
      <c r="AV33" s="36"/>
      <c r="AW33" s="36"/>
      <c r="AX33" s="36"/>
      <c r="AY33" s="36"/>
      <c r="AZ33" s="36"/>
      <c r="BA33" s="36"/>
      <c r="BB33" s="36"/>
      <c r="BC33" s="36">
        <v>3</v>
      </c>
      <c r="BD33" s="36">
        <v>3</v>
      </c>
      <c r="BE33" s="36">
        <v>3</v>
      </c>
      <c r="BF33" s="36">
        <v>5</v>
      </c>
      <c r="BG33" s="36"/>
      <c r="BH33" s="36"/>
      <c r="BI33" s="36"/>
      <c r="BJ33" s="36">
        <v>5</v>
      </c>
      <c r="BK33" s="36">
        <v>3</v>
      </c>
      <c r="BL33" s="36"/>
      <c r="BM33" s="36"/>
      <c r="BN33" s="36"/>
      <c r="BO33" s="36">
        <v>1</v>
      </c>
      <c r="BP33" s="36">
        <v>4</v>
      </c>
      <c r="BQ33" s="36">
        <v>2</v>
      </c>
      <c r="BR33" s="36"/>
      <c r="BS33" s="36"/>
      <c r="BT33" s="36"/>
      <c r="BU33" s="36"/>
      <c r="BV33" s="36">
        <v>2</v>
      </c>
      <c r="BW33" s="36">
        <v>4</v>
      </c>
      <c r="BX33" s="36"/>
      <c r="BY33" s="36"/>
      <c r="BZ33" s="36"/>
      <c r="CA33" s="36"/>
      <c r="CB33" s="36"/>
      <c r="CC33" s="36">
        <v>1</v>
      </c>
      <c r="CD33" s="36"/>
      <c r="CE33" s="36"/>
      <c r="CF33" s="36"/>
      <c r="CG33" s="36"/>
      <c r="CH33" s="36"/>
      <c r="CI33" s="36"/>
      <c r="CK33" s="4" t="b">
        <f t="shared" si="0"/>
        <v>0</v>
      </c>
    </row>
    <row r="34" spans="1:89" ht="60" customHeight="1">
      <c r="A34" s="32" t="s">
        <v>92</v>
      </c>
      <c r="B34" s="32" t="s">
        <v>96</v>
      </c>
      <c r="C34" s="32" t="s">
        <v>147</v>
      </c>
      <c r="D34" s="34"/>
      <c r="E34" s="34">
        <v>100</v>
      </c>
      <c r="F34" s="34">
        <v>100</v>
      </c>
      <c r="G34" s="34">
        <v>100</v>
      </c>
      <c r="H34" s="34">
        <v>100</v>
      </c>
      <c r="I34" s="34">
        <v>100</v>
      </c>
      <c r="J34" s="34">
        <v>100</v>
      </c>
      <c r="K34" s="34">
        <v>100</v>
      </c>
      <c r="L34" s="34">
        <v>100</v>
      </c>
      <c r="M34" s="34">
        <v>100</v>
      </c>
      <c r="N34" s="34">
        <v>100</v>
      </c>
      <c r="O34" s="34">
        <v>100</v>
      </c>
      <c r="P34" s="34"/>
      <c r="Q34" s="34">
        <v>25</v>
      </c>
      <c r="R34" s="34">
        <v>100</v>
      </c>
      <c r="S34" s="34">
        <v>100</v>
      </c>
      <c r="T34" s="34">
        <v>100</v>
      </c>
      <c r="U34" s="34">
        <v>100</v>
      </c>
      <c r="V34" s="34">
        <v>100</v>
      </c>
      <c r="W34" s="34">
        <v>80</v>
      </c>
      <c r="X34" s="34">
        <v>100</v>
      </c>
      <c r="Y34" s="34">
        <v>100</v>
      </c>
      <c r="Z34" s="34">
        <v>100</v>
      </c>
      <c r="AA34" s="34">
        <v>100</v>
      </c>
      <c r="AB34" s="36"/>
      <c r="AC34" s="36">
        <v>34</v>
      </c>
      <c r="AD34" s="36">
        <v>31</v>
      </c>
      <c r="AE34" s="36">
        <v>34</v>
      </c>
      <c r="AF34" s="36">
        <v>38</v>
      </c>
      <c r="AG34" s="36">
        <v>40</v>
      </c>
      <c r="AH34" s="36">
        <v>48</v>
      </c>
      <c r="AI34" s="36">
        <v>40</v>
      </c>
      <c r="AJ34" s="36">
        <v>37</v>
      </c>
      <c r="AK34" s="36">
        <v>30</v>
      </c>
      <c r="AL34" s="36">
        <v>29</v>
      </c>
      <c r="AM34" s="36">
        <v>32</v>
      </c>
      <c r="AN34" s="36"/>
      <c r="AO34" s="36">
        <v>30</v>
      </c>
      <c r="AP34" s="36">
        <v>33</v>
      </c>
      <c r="AQ34" s="36">
        <v>36</v>
      </c>
      <c r="AR34" s="36">
        <v>34</v>
      </c>
      <c r="AS34" s="36">
        <v>31</v>
      </c>
      <c r="AT34" s="36">
        <v>45</v>
      </c>
      <c r="AU34" s="36">
        <v>41</v>
      </c>
      <c r="AV34" s="36">
        <v>47</v>
      </c>
      <c r="AW34" s="36">
        <v>43</v>
      </c>
      <c r="AX34" s="36">
        <v>39</v>
      </c>
      <c r="AY34" s="36">
        <v>32</v>
      </c>
      <c r="AZ34" s="36"/>
      <c r="BA34" s="36">
        <v>54</v>
      </c>
      <c r="BB34" s="36">
        <v>24</v>
      </c>
      <c r="BC34" s="36">
        <v>24</v>
      </c>
      <c r="BD34" s="36">
        <v>57</v>
      </c>
      <c r="BE34" s="36">
        <v>28</v>
      </c>
      <c r="BF34" s="36">
        <v>36</v>
      </c>
      <c r="BG34" s="36">
        <v>52</v>
      </c>
      <c r="BH34" s="36">
        <v>34</v>
      </c>
      <c r="BI34" s="36">
        <v>31</v>
      </c>
      <c r="BJ34" s="36">
        <v>40</v>
      </c>
      <c r="BK34" s="36">
        <v>22</v>
      </c>
      <c r="BL34" s="36"/>
      <c r="BM34" s="36">
        <v>24</v>
      </c>
      <c r="BN34" s="36">
        <v>24</v>
      </c>
      <c r="BO34" s="36">
        <v>26</v>
      </c>
      <c r="BP34" s="36">
        <v>17</v>
      </c>
      <c r="BQ34" s="36">
        <v>10</v>
      </c>
      <c r="BR34" s="36">
        <v>16</v>
      </c>
      <c r="BS34" s="36">
        <v>14</v>
      </c>
      <c r="BT34" s="36">
        <v>26</v>
      </c>
      <c r="BU34" s="36">
        <v>26</v>
      </c>
      <c r="BV34" s="36">
        <v>18</v>
      </c>
      <c r="BW34" s="36">
        <v>11</v>
      </c>
      <c r="BX34" s="36"/>
      <c r="BY34" s="36"/>
      <c r="BZ34" s="36"/>
      <c r="CA34" s="36">
        <v>2</v>
      </c>
      <c r="CB34" s="36"/>
      <c r="CC34" s="36">
        <v>2</v>
      </c>
      <c r="CD34" s="36">
        <v>2</v>
      </c>
      <c r="CE34" s="36">
        <v>2</v>
      </c>
      <c r="CF34" s="36"/>
      <c r="CG34" s="36">
        <v>1</v>
      </c>
      <c r="CH34" s="36">
        <v>5</v>
      </c>
      <c r="CI34" s="36">
        <v>2</v>
      </c>
      <c r="CK34" s="4" t="b">
        <f t="shared" si="0"/>
        <v>0</v>
      </c>
    </row>
    <row r="35" spans="1:89" ht="60" customHeight="1">
      <c r="A35" s="32" t="s">
        <v>101</v>
      </c>
      <c r="B35" s="32" t="s">
        <v>148</v>
      </c>
      <c r="C35" s="32" t="s">
        <v>149</v>
      </c>
      <c r="D35" s="34"/>
      <c r="E35" s="34">
        <v>60</v>
      </c>
      <c r="F35" s="34">
        <v>100</v>
      </c>
      <c r="G35" s="34">
        <v>100</v>
      </c>
      <c r="H35" s="34">
        <v>100</v>
      </c>
      <c r="I35" s="34">
        <v>100</v>
      </c>
      <c r="J35" s="34">
        <v>100</v>
      </c>
      <c r="K35" s="34">
        <v>75</v>
      </c>
      <c r="L35" s="34">
        <v>50</v>
      </c>
      <c r="M35" s="34">
        <v>100</v>
      </c>
      <c r="N35" s="34">
        <v>100</v>
      </c>
      <c r="O35" s="34">
        <v>100</v>
      </c>
      <c r="P35" s="34"/>
      <c r="Q35" s="34"/>
      <c r="R35" s="34">
        <v>100</v>
      </c>
      <c r="S35" s="34">
        <v>100</v>
      </c>
      <c r="T35" s="34">
        <v>100</v>
      </c>
      <c r="U35" s="34">
        <v>100</v>
      </c>
      <c r="V35" s="34">
        <v>100</v>
      </c>
      <c r="W35" s="34">
        <v>100</v>
      </c>
      <c r="X35" s="34">
        <v>50</v>
      </c>
      <c r="Y35" s="34">
        <v>100</v>
      </c>
      <c r="Z35" s="34">
        <v>100</v>
      </c>
      <c r="AA35" s="34">
        <v>100</v>
      </c>
      <c r="AB35" s="36"/>
      <c r="AC35" s="36">
        <v>60</v>
      </c>
      <c r="AD35" s="36">
        <v>23</v>
      </c>
      <c r="AE35" s="36">
        <v>23</v>
      </c>
      <c r="AF35" s="36">
        <v>36</v>
      </c>
      <c r="AG35" s="36">
        <v>30</v>
      </c>
      <c r="AH35" s="36">
        <v>28</v>
      </c>
      <c r="AI35" s="36">
        <v>23</v>
      </c>
      <c r="AJ35" s="36">
        <v>15</v>
      </c>
      <c r="AK35" s="36">
        <v>24</v>
      </c>
      <c r="AL35" s="36">
        <v>26</v>
      </c>
      <c r="AM35" s="36">
        <v>37</v>
      </c>
      <c r="AN35" s="36"/>
      <c r="AO35" s="36">
        <v>59</v>
      </c>
      <c r="AP35" s="36">
        <v>21</v>
      </c>
      <c r="AQ35" s="36">
        <v>22</v>
      </c>
      <c r="AR35" s="36">
        <v>35</v>
      </c>
      <c r="AS35" s="36">
        <v>28</v>
      </c>
      <c r="AT35" s="36">
        <v>26</v>
      </c>
      <c r="AU35" s="36">
        <v>21</v>
      </c>
      <c r="AV35" s="36">
        <v>13</v>
      </c>
      <c r="AW35" s="36">
        <v>22</v>
      </c>
      <c r="AX35" s="36">
        <v>24</v>
      </c>
      <c r="AY35" s="36">
        <v>35</v>
      </c>
      <c r="AZ35" s="36"/>
      <c r="BA35" s="36">
        <v>6</v>
      </c>
      <c r="BB35" s="36">
        <v>1</v>
      </c>
      <c r="BC35" s="36">
        <v>4</v>
      </c>
      <c r="BD35" s="36">
        <v>2</v>
      </c>
      <c r="BE35" s="36">
        <v>8</v>
      </c>
      <c r="BF35" s="36">
        <v>10</v>
      </c>
      <c r="BG35" s="36">
        <v>4</v>
      </c>
      <c r="BH35" s="36">
        <v>2</v>
      </c>
      <c r="BI35" s="36">
        <v>2</v>
      </c>
      <c r="BJ35" s="36">
        <v>1</v>
      </c>
      <c r="BK35" s="36">
        <v>10</v>
      </c>
      <c r="BL35" s="36"/>
      <c r="BM35" s="36"/>
      <c r="BN35" s="36"/>
      <c r="BO35" s="36"/>
      <c r="BP35" s="36"/>
      <c r="BQ35" s="36"/>
      <c r="BR35" s="36"/>
      <c r="BS35" s="36"/>
      <c r="BT35" s="36"/>
      <c r="BU35" s="36"/>
      <c r="BV35" s="36">
        <v>1</v>
      </c>
      <c r="BW35" s="36">
        <v>1</v>
      </c>
      <c r="BX35" s="36"/>
      <c r="BY35" s="36"/>
      <c r="BZ35" s="36"/>
      <c r="CA35" s="36"/>
      <c r="CB35" s="36"/>
      <c r="CC35" s="36"/>
      <c r="CD35" s="36"/>
      <c r="CE35" s="36"/>
      <c r="CF35" s="36"/>
      <c r="CG35" s="36"/>
      <c r="CH35" s="36"/>
      <c r="CI35" s="36"/>
      <c r="CK35" s="4" t="b">
        <f t="shared" si="0"/>
        <v>0</v>
      </c>
    </row>
    <row r="36" spans="1:89" ht="90" customHeight="1">
      <c r="A36" s="32" t="s">
        <v>101</v>
      </c>
      <c r="B36" s="32" t="s">
        <v>148</v>
      </c>
      <c r="C36" s="32" t="s">
        <v>150</v>
      </c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  <c r="AA36" s="34"/>
      <c r="AB36" s="36"/>
      <c r="AC36" s="36"/>
      <c r="AD36" s="36"/>
      <c r="AE36" s="36"/>
      <c r="AF36" s="36"/>
      <c r="AG36" s="36"/>
      <c r="AH36" s="36"/>
      <c r="AI36" s="36"/>
      <c r="AJ36" s="36"/>
      <c r="AK36" s="36"/>
      <c r="AL36" s="36"/>
      <c r="AM36" s="36"/>
      <c r="AN36" s="36"/>
      <c r="AO36" s="36"/>
      <c r="AP36" s="36"/>
      <c r="AQ36" s="36"/>
      <c r="AR36" s="36"/>
      <c r="AS36" s="36"/>
      <c r="AT36" s="36"/>
      <c r="AU36" s="36"/>
      <c r="AV36" s="36"/>
      <c r="AW36" s="36"/>
      <c r="AX36" s="36"/>
      <c r="AY36" s="36"/>
      <c r="AZ36" s="36">
        <v>7</v>
      </c>
      <c r="BA36" s="36">
        <v>8</v>
      </c>
      <c r="BB36" s="36">
        <v>2</v>
      </c>
      <c r="BC36" s="36">
        <v>2</v>
      </c>
      <c r="BD36" s="36"/>
      <c r="BE36" s="36"/>
      <c r="BF36" s="36">
        <v>2</v>
      </c>
      <c r="BG36" s="36">
        <v>10</v>
      </c>
      <c r="BH36" s="36">
        <v>10</v>
      </c>
      <c r="BI36" s="36">
        <v>10</v>
      </c>
      <c r="BJ36" s="36">
        <v>6</v>
      </c>
      <c r="BK36" s="36">
        <v>6</v>
      </c>
      <c r="BL36" s="36">
        <v>1</v>
      </c>
      <c r="BM36" s="36"/>
      <c r="BN36" s="36"/>
      <c r="BO36" s="36"/>
      <c r="BP36" s="36">
        <v>1</v>
      </c>
      <c r="BQ36" s="36">
        <v>1</v>
      </c>
      <c r="BR36" s="36"/>
      <c r="BS36" s="36"/>
      <c r="BT36" s="36"/>
      <c r="BU36" s="36"/>
      <c r="BV36" s="36">
        <v>3</v>
      </c>
      <c r="BW36" s="36">
        <v>3</v>
      </c>
      <c r="BX36" s="36"/>
      <c r="BY36" s="36"/>
      <c r="BZ36" s="36"/>
      <c r="CA36" s="36"/>
      <c r="CB36" s="36"/>
      <c r="CC36" s="36"/>
      <c r="CD36" s="36"/>
      <c r="CE36" s="36"/>
      <c r="CF36" s="36"/>
      <c r="CG36" s="36"/>
      <c r="CH36" s="36"/>
      <c r="CI36" s="36"/>
      <c r="CK36" s="4" t="b">
        <f t="shared" si="0"/>
        <v>0</v>
      </c>
    </row>
    <row r="37" spans="1:89" ht="90" customHeight="1">
      <c r="A37" s="32" t="s">
        <v>144</v>
      </c>
      <c r="B37" s="32" t="s">
        <v>151</v>
      </c>
      <c r="C37" s="32" t="s">
        <v>152</v>
      </c>
      <c r="D37" s="34"/>
      <c r="E37" s="34">
        <v>50</v>
      </c>
      <c r="F37" s="34">
        <v>100</v>
      </c>
      <c r="G37" s="34"/>
      <c r="H37" s="34">
        <v>100</v>
      </c>
      <c r="I37" s="34">
        <v>75</v>
      </c>
      <c r="J37" s="34">
        <v>100</v>
      </c>
      <c r="K37" s="34">
        <v>87.5</v>
      </c>
      <c r="L37" s="34">
        <v>100</v>
      </c>
      <c r="M37" s="34">
        <v>50</v>
      </c>
      <c r="N37" s="34">
        <v>100</v>
      </c>
      <c r="O37" s="34">
        <v>100</v>
      </c>
      <c r="P37" s="34"/>
      <c r="Q37" s="34">
        <v>100</v>
      </c>
      <c r="R37" s="34"/>
      <c r="S37" s="34">
        <v>100</v>
      </c>
      <c r="T37" s="34">
        <v>100</v>
      </c>
      <c r="U37" s="34">
        <v>250</v>
      </c>
      <c r="V37" s="34"/>
      <c r="W37" s="34"/>
      <c r="X37" s="34"/>
      <c r="Y37" s="34">
        <v>300</v>
      </c>
      <c r="Z37" s="34"/>
      <c r="AA37" s="34">
        <v>100</v>
      </c>
      <c r="AB37" s="36"/>
      <c r="AC37" s="36">
        <v>20</v>
      </c>
      <c r="AD37" s="36">
        <v>20</v>
      </c>
      <c r="AE37" s="36">
        <v>55</v>
      </c>
      <c r="AF37" s="36">
        <v>38</v>
      </c>
      <c r="AG37" s="36">
        <v>17</v>
      </c>
      <c r="AH37" s="36">
        <v>10</v>
      </c>
      <c r="AI37" s="36">
        <v>15</v>
      </c>
      <c r="AJ37" s="36">
        <v>22</v>
      </c>
      <c r="AK37" s="36">
        <v>19</v>
      </c>
      <c r="AL37" s="36">
        <v>11</v>
      </c>
      <c r="AM37" s="36">
        <v>22</v>
      </c>
      <c r="AN37" s="36"/>
      <c r="AO37" s="36">
        <v>20</v>
      </c>
      <c r="AP37" s="36">
        <v>32</v>
      </c>
      <c r="AQ37" s="36">
        <v>38</v>
      </c>
      <c r="AR37" s="36">
        <v>31</v>
      </c>
      <c r="AS37" s="36">
        <v>5</v>
      </c>
      <c r="AT37" s="36">
        <v>19</v>
      </c>
      <c r="AU37" s="36">
        <v>23</v>
      </c>
      <c r="AV37" s="36">
        <v>19</v>
      </c>
      <c r="AW37" s="36">
        <v>17</v>
      </c>
      <c r="AX37" s="36">
        <v>15</v>
      </c>
      <c r="AY37" s="36">
        <v>11</v>
      </c>
      <c r="AZ37" s="36"/>
      <c r="BA37" s="36">
        <v>28</v>
      </c>
      <c r="BB37" s="36">
        <v>7</v>
      </c>
      <c r="BC37" s="36">
        <v>10</v>
      </c>
      <c r="BD37" s="36">
        <v>6</v>
      </c>
      <c r="BE37" s="36">
        <v>6</v>
      </c>
      <c r="BF37" s="36">
        <v>12</v>
      </c>
      <c r="BG37" s="36">
        <v>14</v>
      </c>
      <c r="BH37" s="36">
        <v>11</v>
      </c>
      <c r="BI37" s="36">
        <v>18</v>
      </c>
      <c r="BJ37" s="36">
        <v>10</v>
      </c>
      <c r="BK37" s="36">
        <v>14</v>
      </c>
      <c r="BL37" s="36"/>
      <c r="BM37" s="36"/>
      <c r="BN37" s="36"/>
      <c r="BO37" s="36">
        <v>3</v>
      </c>
      <c r="BP37" s="36"/>
      <c r="BQ37" s="36">
        <v>6</v>
      </c>
      <c r="BR37" s="36">
        <v>1</v>
      </c>
      <c r="BS37" s="36">
        <v>2</v>
      </c>
      <c r="BT37" s="36">
        <v>1</v>
      </c>
      <c r="BU37" s="36">
        <v>2</v>
      </c>
      <c r="BV37" s="36">
        <v>5</v>
      </c>
      <c r="BW37" s="36">
        <v>2</v>
      </c>
      <c r="BX37" s="36"/>
      <c r="BY37" s="36"/>
      <c r="BZ37" s="36"/>
      <c r="CA37" s="36"/>
      <c r="CB37" s="36">
        <v>25</v>
      </c>
      <c r="CC37" s="36"/>
      <c r="CD37" s="36"/>
      <c r="CE37" s="36"/>
      <c r="CF37" s="36"/>
      <c r="CG37" s="36"/>
      <c r="CH37" s="36"/>
      <c r="CI37" s="36"/>
      <c r="CK37" s="4" t="b">
        <f t="shared" si="0"/>
        <v>0</v>
      </c>
    </row>
    <row r="38" spans="1:89" ht="60" customHeight="1">
      <c r="A38" s="32" t="s">
        <v>92</v>
      </c>
      <c r="B38" s="32" t="s">
        <v>153</v>
      </c>
      <c r="C38" s="32" t="s">
        <v>154</v>
      </c>
      <c r="D38" s="34"/>
      <c r="E38" s="34"/>
      <c r="F38" s="34"/>
      <c r="G38" s="34"/>
      <c r="H38" s="34">
        <v>100</v>
      </c>
      <c r="I38" s="34">
        <v>33.33</v>
      </c>
      <c r="J38" s="34">
        <v>100</v>
      </c>
      <c r="K38" s="34">
        <v>100</v>
      </c>
      <c r="L38" s="34">
        <v>100</v>
      </c>
      <c r="M38" s="34">
        <v>100</v>
      </c>
      <c r="N38" s="34">
        <v>100</v>
      </c>
      <c r="O38" s="34">
        <v>100</v>
      </c>
      <c r="P38" s="34"/>
      <c r="Q38" s="34"/>
      <c r="R38" s="34"/>
      <c r="S38" s="34"/>
      <c r="T38" s="34">
        <v>100</v>
      </c>
      <c r="U38" s="34">
        <v>66.67</v>
      </c>
      <c r="V38" s="34">
        <v>100</v>
      </c>
      <c r="W38" s="34">
        <v>100</v>
      </c>
      <c r="X38" s="34">
        <v>100</v>
      </c>
      <c r="Y38" s="34">
        <v>100</v>
      </c>
      <c r="Z38" s="34">
        <v>100</v>
      </c>
      <c r="AA38" s="34">
        <v>100</v>
      </c>
      <c r="AB38" s="36"/>
      <c r="AC38" s="36">
        <v>35</v>
      </c>
      <c r="AD38" s="36">
        <v>29</v>
      </c>
      <c r="AE38" s="36">
        <v>21</v>
      </c>
      <c r="AF38" s="36">
        <v>25</v>
      </c>
      <c r="AG38" s="36">
        <v>20</v>
      </c>
      <c r="AH38" s="36">
        <v>20</v>
      </c>
      <c r="AI38" s="36">
        <v>11</v>
      </c>
      <c r="AJ38" s="36">
        <v>20</v>
      </c>
      <c r="AK38" s="36">
        <v>16</v>
      </c>
      <c r="AL38" s="36">
        <v>20</v>
      </c>
      <c r="AM38" s="36">
        <v>18</v>
      </c>
      <c r="AN38" s="36"/>
      <c r="AO38" s="36">
        <v>58</v>
      </c>
      <c r="AP38" s="36">
        <v>28</v>
      </c>
      <c r="AQ38" s="36">
        <v>27</v>
      </c>
      <c r="AR38" s="36">
        <v>24</v>
      </c>
      <c r="AS38" s="36">
        <v>17</v>
      </c>
      <c r="AT38" s="36">
        <v>16</v>
      </c>
      <c r="AU38" s="36">
        <v>14</v>
      </c>
      <c r="AV38" s="36">
        <v>26</v>
      </c>
      <c r="AW38" s="36">
        <v>15</v>
      </c>
      <c r="AX38" s="36">
        <v>22</v>
      </c>
      <c r="AY38" s="36">
        <v>14</v>
      </c>
      <c r="AZ38" s="36"/>
      <c r="BA38" s="36"/>
      <c r="BB38" s="36"/>
      <c r="BC38" s="36"/>
      <c r="BD38" s="36">
        <v>26</v>
      </c>
      <c r="BE38" s="36">
        <v>18</v>
      </c>
      <c r="BF38" s="36"/>
      <c r="BG38" s="36">
        <v>8</v>
      </c>
      <c r="BH38" s="36">
        <v>24</v>
      </c>
      <c r="BI38" s="36">
        <v>9</v>
      </c>
      <c r="BJ38" s="36">
        <v>50</v>
      </c>
      <c r="BK38" s="36"/>
      <c r="BL38" s="36"/>
      <c r="BM38" s="36"/>
      <c r="BN38" s="36"/>
      <c r="BO38" s="36"/>
      <c r="BP38" s="36">
        <v>4</v>
      </c>
      <c r="BQ38" s="36">
        <v>13</v>
      </c>
      <c r="BR38" s="36">
        <v>11</v>
      </c>
      <c r="BS38" s="36">
        <v>4</v>
      </c>
      <c r="BT38" s="36">
        <v>15</v>
      </c>
      <c r="BU38" s="36"/>
      <c r="BV38" s="36">
        <v>10</v>
      </c>
      <c r="BW38" s="36"/>
      <c r="BX38" s="36"/>
      <c r="BY38" s="36"/>
      <c r="BZ38" s="36"/>
      <c r="CA38" s="36"/>
      <c r="CB38" s="36">
        <v>6</v>
      </c>
      <c r="CC38" s="36">
        <v>7</v>
      </c>
      <c r="CD38" s="36">
        <v>6</v>
      </c>
      <c r="CE38" s="36"/>
      <c r="CF38" s="36">
        <v>7</v>
      </c>
      <c r="CG38" s="36">
        <v>46</v>
      </c>
      <c r="CH38" s="36"/>
      <c r="CI38" s="36"/>
      <c r="CK38" s="4" t="b">
        <f t="shared" si="0"/>
        <v>0</v>
      </c>
    </row>
    <row r="39" spans="1:89" ht="90" customHeight="1">
      <c r="A39" s="32" t="s">
        <v>87</v>
      </c>
      <c r="B39" s="32" t="s">
        <v>155</v>
      </c>
      <c r="C39" s="32" t="s">
        <v>156</v>
      </c>
      <c r="D39" s="34"/>
      <c r="E39" s="34">
        <v>60</v>
      </c>
      <c r="F39" s="34">
        <v>100</v>
      </c>
      <c r="G39" s="34">
        <v>100</v>
      </c>
      <c r="H39" s="34">
        <v>100</v>
      </c>
      <c r="I39" s="34">
        <v>100</v>
      </c>
      <c r="J39" s="34">
        <v>100</v>
      </c>
      <c r="K39" s="34">
        <v>100</v>
      </c>
      <c r="L39" s="34">
        <v>100</v>
      </c>
      <c r="M39" s="34">
        <v>100</v>
      </c>
      <c r="N39" s="34">
        <v>100</v>
      </c>
      <c r="O39" s="34">
        <v>75</v>
      </c>
      <c r="P39" s="34"/>
      <c r="Q39" s="34"/>
      <c r="R39" s="34"/>
      <c r="S39" s="34">
        <v>50</v>
      </c>
      <c r="T39" s="34">
        <v>25</v>
      </c>
      <c r="U39" s="34">
        <v>75</v>
      </c>
      <c r="V39" s="34">
        <v>50</v>
      </c>
      <c r="W39" s="34"/>
      <c r="X39" s="34">
        <v>75</v>
      </c>
      <c r="Y39" s="34">
        <v>75</v>
      </c>
      <c r="Z39" s="34"/>
      <c r="AA39" s="34"/>
      <c r="AB39" s="36"/>
      <c r="AC39" s="36">
        <v>88</v>
      </c>
      <c r="AD39" s="36">
        <v>28</v>
      </c>
      <c r="AE39" s="36">
        <v>37</v>
      </c>
      <c r="AF39" s="36">
        <v>48</v>
      </c>
      <c r="AG39" s="36">
        <v>62</v>
      </c>
      <c r="AH39" s="36">
        <v>51</v>
      </c>
      <c r="AI39" s="36">
        <v>23</v>
      </c>
      <c r="AJ39" s="36">
        <v>56</v>
      </c>
      <c r="AK39" s="36">
        <v>80</v>
      </c>
      <c r="AL39" s="36">
        <v>51</v>
      </c>
      <c r="AM39" s="36">
        <v>23</v>
      </c>
      <c r="AN39" s="36"/>
      <c r="AO39" s="36">
        <v>78</v>
      </c>
      <c r="AP39" s="36">
        <v>30</v>
      </c>
      <c r="AQ39" s="36">
        <v>37</v>
      </c>
      <c r="AR39" s="36">
        <v>38</v>
      </c>
      <c r="AS39" s="36">
        <v>47</v>
      </c>
      <c r="AT39" s="36">
        <v>53</v>
      </c>
      <c r="AU39" s="36">
        <v>35</v>
      </c>
      <c r="AV39" s="36">
        <v>59</v>
      </c>
      <c r="AW39" s="36">
        <v>36</v>
      </c>
      <c r="AX39" s="36">
        <v>44</v>
      </c>
      <c r="AY39" s="36">
        <v>38</v>
      </c>
      <c r="AZ39" s="36"/>
      <c r="BA39" s="36">
        <v>9</v>
      </c>
      <c r="BB39" s="36">
        <v>54</v>
      </c>
      <c r="BC39" s="36">
        <v>37</v>
      </c>
      <c r="BD39" s="36">
        <v>25</v>
      </c>
      <c r="BE39" s="36">
        <v>5</v>
      </c>
      <c r="BF39" s="36">
        <v>7</v>
      </c>
      <c r="BG39" s="36">
        <v>14</v>
      </c>
      <c r="BH39" s="36">
        <v>20</v>
      </c>
      <c r="BI39" s="36">
        <v>17</v>
      </c>
      <c r="BJ39" s="36">
        <v>20</v>
      </c>
      <c r="BK39" s="36">
        <v>7</v>
      </c>
      <c r="BL39" s="36"/>
      <c r="BM39" s="36"/>
      <c r="BN39" s="36">
        <v>3</v>
      </c>
      <c r="BO39" s="36">
        <v>6</v>
      </c>
      <c r="BP39" s="36">
        <v>13</v>
      </c>
      <c r="BQ39" s="36">
        <v>5</v>
      </c>
      <c r="BR39" s="36">
        <v>9</v>
      </c>
      <c r="BS39" s="36">
        <v>9</v>
      </c>
      <c r="BT39" s="36">
        <v>11</v>
      </c>
      <c r="BU39" s="36">
        <v>8</v>
      </c>
      <c r="BV39" s="36">
        <v>14</v>
      </c>
      <c r="BW39" s="36">
        <v>4</v>
      </c>
      <c r="BX39" s="36"/>
      <c r="BY39" s="36"/>
      <c r="BZ39" s="36"/>
      <c r="CA39" s="36">
        <v>2</v>
      </c>
      <c r="CB39" s="36"/>
      <c r="CC39" s="36"/>
      <c r="CD39" s="36"/>
      <c r="CE39" s="36">
        <v>1</v>
      </c>
      <c r="CF39" s="36">
        <v>3</v>
      </c>
      <c r="CG39" s="36">
        <v>7</v>
      </c>
      <c r="CH39" s="36">
        <v>7</v>
      </c>
      <c r="CI39" s="36">
        <v>3</v>
      </c>
      <c r="CK39" s="4" t="b">
        <f t="shared" si="0"/>
        <v>0</v>
      </c>
    </row>
    <row r="40" spans="1:89" ht="75" customHeight="1">
      <c r="A40" s="32" t="s">
        <v>87</v>
      </c>
      <c r="B40" s="32" t="s">
        <v>90</v>
      </c>
      <c r="C40" s="32" t="s">
        <v>157</v>
      </c>
      <c r="D40" s="34"/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  <c r="AA40" s="34"/>
      <c r="AB40" s="36"/>
      <c r="AC40" s="36"/>
      <c r="AD40" s="36"/>
      <c r="AE40" s="36"/>
      <c r="AF40" s="36">
        <v>18</v>
      </c>
      <c r="AG40" s="36">
        <v>23</v>
      </c>
      <c r="AH40" s="36">
        <v>20</v>
      </c>
      <c r="AI40" s="36">
        <v>18</v>
      </c>
      <c r="AJ40" s="36">
        <v>22</v>
      </c>
      <c r="AK40" s="36">
        <v>22</v>
      </c>
      <c r="AL40" s="36"/>
      <c r="AM40" s="36"/>
      <c r="AN40" s="36"/>
      <c r="AO40" s="36"/>
      <c r="AP40" s="36"/>
      <c r="AQ40" s="36"/>
      <c r="AR40" s="36">
        <v>14</v>
      </c>
      <c r="AS40" s="36">
        <v>19</v>
      </c>
      <c r="AT40" s="36">
        <v>14</v>
      </c>
      <c r="AU40" s="36">
        <v>15</v>
      </c>
      <c r="AV40" s="36">
        <v>17</v>
      </c>
      <c r="AW40" s="36">
        <v>20</v>
      </c>
      <c r="AX40" s="36"/>
      <c r="AY40" s="36"/>
      <c r="AZ40" s="36"/>
      <c r="BA40" s="36"/>
      <c r="BB40" s="36"/>
      <c r="BC40" s="36"/>
      <c r="BD40" s="36">
        <v>1</v>
      </c>
      <c r="BE40" s="36"/>
      <c r="BF40" s="36"/>
      <c r="BG40" s="36">
        <v>1</v>
      </c>
      <c r="BH40" s="36">
        <v>1</v>
      </c>
      <c r="BI40" s="36"/>
      <c r="BJ40" s="36"/>
      <c r="BK40" s="36"/>
      <c r="BL40" s="36"/>
      <c r="BM40" s="36"/>
      <c r="BN40" s="36"/>
      <c r="BO40" s="36"/>
      <c r="BP40" s="36">
        <v>4</v>
      </c>
      <c r="BQ40" s="36">
        <v>4</v>
      </c>
      <c r="BR40" s="36">
        <v>5</v>
      </c>
      <c r="BS40" s="36">
        <v>10</v>
      </c>
      <c r="BT40" s="36"/>
      <c r="BU40" s="36">
        <v>5</v>
      </c>
      <c r="BV40" s="36"/>
      <c r="BW40" s="36"/>
      <c r="BX40" s="36"/>
      <c r="BY40" s="36"/>
      <c r="BZ40" s="36"/>
      <c r="CA40" s="36"/>
      <c r="CB40" s="36">
        <v>2</v>
      </c>
      <c r="CC40" s="36">
        <v>2</v>
      </c>
      <c r="CD40" s="36">
        <v>5</v>
      </c>
      <c r="CE40" s="36">
        <v>5</v>
      </c>
      <c r="CF40" s="36"/>
      <c r="CG40" s="36">
        <v>3</v>
      </c>
      <c r="CH40" s="36"/>
      <c r="CI40" s="36"/>
      <c r="CK40" s="4" t="b">
        <f t="shared" si="0"/>
        <v>0</v>
      </c>
    </row>
    <row r="41" spans="1:89" ht="60" customHeight="1">
      <c r="A41" s="32" t="s">
        <v>109</v>
      </c>
      <c r="B41" s="32" t="s">
        <v>158</v>
      </c>
      <c r="C41" s="32" t="s">
        <v>159</v>
      </c>
      <c r="D41" s="34"/>
      <c r="E41" s="34"/>
      <c r="F41" s="34">
        <v>100</v>
      </c>
      <c r="G41" s="34">
        <v>100</v>
      </c>
      <c r="H41" s="34">
        <v>100</v>
      </c>
      <c r="I41" s="34">
        <v>100</v>
      </c>
      <c r="J41" s="34">
        <v>100</v>
      </c>
      <c r="K41" s="34">
        <v>100</v>
      </c>
      <c r="L41" s="34">
        <v>100</v>
      </c>
      <c r="M41" s="34"/>
      <c r="N41" s="34">
        <v>100</v>
      </c>
      <c r="O41" s="34">
        <v>100</v>
      </c>
      <c r="P41" s="34"/>
      <c r="Q41" s="34"/>
      <c r="R41" s="34">
        <v>66.67</v>
      </c>
      <c r="S41" s="34">
        <v>100</v>
      </c>
      <c r="T41" s="34">
        <v>100</v>
      </c>
      <c r="U41" s="34">
        <v>100</v>
      </c>
      <c r="V41" s="34">
        <v>100</v>
      </c>
      <c r="W41" s="34">
        <v>100</v>
      </c>
      <c r="X41" s="34">
        <v>100</v>
      </c>
      <c r="Y41" s="34"/>
      <c r="Z41" s="34">
        <v>100</v>
      </c>
      <c r="AA41" s="34">
        <v>100</v>
      </c>
      <c r="AB41" s="36"/>
      <c r="AC41" s="36"/>
      <c r="AD41" s="36">
        <v>14</v>
      </c>
      <c r="AE41" s="36">
        <v>13</v>
      </c>
      <c r="AF41" s="36">
        <v>13</v>
      </c>
      <c r="AG41" s="36">
        <v>13</v>
      </c>
      <c r="AH41" s="36">
        <v>14</v>
      </c>
      <c r="AI41" s="36">
        <v>12</v>
      </c>
      <c r="AJ41" s="36">
        <v>14</v>
      </c>
      <c r="AK41" s="36"/>
      <c r="AL41" s="36">
        <v>13</v>
      </c>
      <c r="AM41" s="36">
        <v>12</v>
      </c>
      <c r="AN41" s="36"/>
      <c r="AO41" s="36"/>
      <c r="AP41" s="36">
        <v>14</v>
      </c>
      <c r="AQ41" s="36">
        <v>12</v>
      </c>
      <c r="AR41" s="36">
        <v>14</v>
      </c>
      <c r="AS41" s="36">
        <v>13</v>
      </c>
      <c r="AT41" s="36">
        <v>13</v>
      </c>
      <c r="AU41" s="36">
        <v>13</v>
      </c>
      <c r="AV41" s="36">
        <v>12</v>
      </c>
      <c r="AW41" s="36"/>
      <c r="AX41" s="36">
        <v>13</v>
      </c>
      <c r="AY41" s="36">
        <v>13</v>
      </c>
      <c r="AZ41" s="36"/>
      <c r="BA41" s="36"/>
      <c r="BB41" s="36">
        <v>4</v>
      </c>
      <c r="BC41" s="36">
        <v>5</v>
      </c>
      <c r="BD41" s="36">
        <v>1</v>
      </c>
      <c r="BE41" s="36">
        <v>8</v>
      </c>
      <c r="BF41" s="36">
        <v>5</v>
      </c>
      <c r="BG41" s="36">
        <v>4</v>
      </c>
      <c r="BH41" s="36">
        <v>4</v>
      </c>
      <c r="BI41" s="36"/>
      <c r="BJ41" s="36">
        <v>7</v>
      </c>
      <c r="BK41" s="36">
        <v>10</v>
      </c>
      <c r="BL41" s="36"/>
      <c r="BM41" s="36"/>
      <c r="BN41" s="36"/>
      <c r="BO41" s="36"/>
      <c r="BP41" s="36"/>
      <c r="BQ41" s="36"/>
      <c r="BR41" s="36"/>
      <c r="BS41" s="36"/>
      <c r="BT41" s="36"/>
      <c r="BU41" s="36"/>
      <c r="BV41" s="36"/>
      <c r="BW41" s="36"/>
      <c r="BX41" s="36"/>
      <c r="BY41" s="36"/>
      <c r="BZ41" s="36"/>
      <c r="CA41" s="36"/>
      <c r="CB41" s="36"/>
      <c r="CC41" s="36"/>
      <c r="CD41" s="36"/>
      <c r="CE41" s="36"/>
      <c r="CF41" s="36"/>
      <c r="CG41" s="36"/>
      <c r="CH41" s="36"/>
      <c r="CI41" s="36"/>
      <c r="CK41" s="4" t="b">
        <f t="shared" si="0"/>
        <v>0</v>
      </c>
    </row>
    <row r="42" spans="1:89" ht="60" customHeight="1">
      <c r="A42" s="32" t="s">
        <v>87</v>
      </c>
      <c r="B42" s="32" t="s">
        <v>160</v>
      </c>
      <c r="C42" s="32" t="s">
        <v>161</v>
      </c>
      <c r="D42" s="34">
        <v>100</v>
      </c>
      <c r="E42" s="34">
        <v>100</v>
      </c>
      <c r="F42" s="34"/>
      <c r="G42" s="34"/>
      <c r="H42" s="34">
        <v>100</v>
      </c>
      <c r="I42" s="34">
        <v>100</v>
      </c>
      <c r="J42" s="34">
        <v>100</v>
      </c>
      <c r="K42" s="34">
        <v>100</v>
      </c>
      <c r="L42" s="34">
        <v>100</v>
      </c>
      <c r="M42" s="34">
        <v>100</v>
      </c>
      <c r="N42" s="34">
        <v>100</v>
      </c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  <c r="AA42" s="34"/>
      <c r="AB42" s="36">
        <v>31</v>
      </c>
      <c r="AC42" s="36">
        <v>23</v>
      </c>
      <c r="AD42" s="36"/>
      <c r="AE42" s="36"/>
      <c r="AF42" s="36">
        <v>13</v>
      </c>
      <c r="AG42" s="36">
        <v>20</v>
      </c>
      <c r="AH42" s="36">
        <v>25</v>
      </c>
      <c r="AI42" s="36">
        <v>12</v>
      </c>
      <c r="AJ42" s="36">
        <v>13</v>
      </c>
      <c r="AK42" s="36">
        <v>17</v>
      </c>
      <c r="AL42" s="36">
        <v>16</v>
      </c>
      <c r="AM42" s="36"/>
      <c r="AN42" s="36">
        <v>37</v>
      </c>
      <c r="AO42" s="36">
        <v>19</v>
      </c>
      <c r="AP42" s="36"/>
      <c r="AQ42" s="36"/>
      <c r="AR42" s="36">
        <v>13</v>
      </c>
      <c r="AS42" s="36">
        <v>19</v>
      </c>
      <c r="AT42" s="36">
        <v>25</v>
      </c>
      <c r="AU42" s="36">
        <v>15</v>
      </c>
      <c r="AV42" s="36">
        <v>16</v>
      </c>
      <c r="AW42" s="36">
        <v>17</v>
      </c>
      <c r="AX42" s="36">
        <v>20</v>
      </c>
      <c r="AY42" s="36"/>
      <c r="AZ42" s="36">
        <v>1</v>
      </c>
      <c r="BA42" s="36">
        <v>5</v>
      </c>
      <c r="BB42" s="36"/>
      <c r="BC42" s="36"/>
      <c r="BD42" s="36">
        <v>10</v>
      </c>
      <c r="BE42" s="36">
        <v>2</v>
      </c>
      <c r="BF42" s="36">
        <v>4</v>
      </c>
      <c r="BG42" s="36">
        <v>2</v>
      </c>
      <c r="BH42" s="36">
        <v>4</v>
      </c>
      <c r="BI42" s="36">
        <v>6</v>
      </c>
      <c r="BJ42" s="36">
        <v>1</v>
      </c>
      <c r="BK42" s="36"/>
      <c r="BL42" s="36"/>
      <c r="BM42" s="36">
        <v>2</v>
      </c>
      <c r="BN42" s="36"/>
      <c r="BO42" s="36"/>
      <c r="BP42" s="36"/>
      <c r="BQ42" s="36">
        <v>4</v>
      </c>
      <c r="BR42" s="36">
        <v>1</v>
      </c>
      <c r="BS42" s="36"/>
      <c r="BT42" s="36"/>
      <c r="BU42" s="36"/>
      <c r="BV42" s="36">
        <v>3</v>
      </c>
      <c r="BW42" s="36"/>
      <c r="BX42" s="36"/>
      <c r="BY42" s="36"/>
      <c r="BZ42" s="36"/>
      <c r="CA42" s="36"/>
      <c r="CB42" s="36"/>
      <c r="CC42" s="36">
        <v>5</v>
      </c>
      <c r="CD42" s="36">
        <v>1</v>
      </c>
      <c r="CE42" s="36"/>
      <c r="CF42" s="36"/>
      <c r="CG42" s="36"/>
      <c r="CH42" s="36"/>
      <c r="CI42" s="36"/>
      <c r="CK42" s="4" t="b">
        <f t="shared" si="0"/>
        <v>1</v>
      </c>
    </row>
    <row r="43" spans="1:89" ht="60" customHeight="1">
      <c r="A43" s="32" t="s">
        <v>101</v>
      </c>
      <c r="B43" s="32" t="s">
        <v>162</v>
      </c>
      <c r="C43" s="32" t="s">
        <v>163</v>
      </c>
      <c r="D43" s="34"/>
      <c r="E43" s="34"/>
      <c r="F43" s="34">
        <v>100</v>
      </c>
      <c r="G43" s="34">
        <v>100</v>
      </c>
      <c r="H43" s="34">
        <v>100</v>
      </c>
      <c r="I43" s="34">
        <v>200</v>
      </c>
      <c r="J43" s="34">
        <v>100</v>
      </c>
      <c r="K43" s="34">
        <v>100</v>
      </c>
      <c r="L43" s="34">
        <v>100</v>
      </c>
      <c r="M43" s="34">
        <v>200</v>
      </c>
      <c r="N43" s="34">
        <v>100</v>
      </c>
      <c r="O43" s="34">
        <v>100</v>
      </c>
      <c r="P43" s="34"/>
      <c r="Q43" s="34"/>
      <c r="R43" s="34">
        <v>100</v>
      </c>
      <c r="S43" s="34">
        <v>100</v>
      </c>
      <c r="T43" s="34">
        <v>100</v>
      </c>
      <c r="U43" s="34">
        <v>200</v>
      </c>
      <c r="V43" s="34">
        <v>100</v>
      </c>
      <c r="W43" s="34">
        <v>50</v>
      </c>
      <c r="X43" s="34">
        <v>100</v>
      </c>
      <c r="Y43" s="34">
        <v>200</v>
      </c>
      <c r="Z43" s="34">
        <v>100</v>
      </c>
      <c r="AA43" s="34">
        <v>100</v>
      </c>
      <c r="AB43" s="36"/>
      <c r="AC43" s="36"/>
      <c r="AD43" s="36">
        <v>18</v>
      </c>
      <c r="AE43" s="36">
        <v>17</v>
      </c>
      <c r="AF43" s="36">
        <v>21</v>
      </c>
      <c r="AG43" s="36">
        <v>21</v>
      </c>
      <c r="AH43" s="36">
        <v>18</v>
      </c>
      <c r="AI43" s="36">
        <v>17</v>
      </c>
      <c r="AJ43" s="36">
        <v>16</v>
      </c>
      <c r="AK43" s="36">
        <v>20</v>
      </c>
      <c r="AL43" s="36">
        <v>16</v>
      </c>
      <c r="AM43" s="36">
        <v>17</v>
      </c>
      <c r="AN43" s="36"/>
      <c r="AO43" s="36"/>
      <c r="AP43" s="36">
        <v>20</v>
      </c>
      <c r="AQ43" s="36">
        <v>16</v>
      </c>
      <c r="AR43" s="36">
        <v>21</v>
      </c>
      <c r="AS43" s="36">
        <v>18</v>
      </c>
      <c r="AT43" s="36">
        <v>21</v>
      </c>
      <c r="AU43" s="36">
        <v>20</v>
      </c>
      <c r="AV43" s="36">
        <v>18</v>
      </c>
      <c r="AW43" s="36">
        <v>17</v>
      </c>
      <c r="AX43" s="36">
        <v>16</v>
      </c>
      <c r="AY43" s="36">
        <v>16</v>
      </c>
      <c r="AZ43" s="36"/>
      <c r="BA43" s="36"/>
      <c r="BB43" s="36">
        <v>6</v>
      </c>
      <c r="BC43" s="36">
        <v>23</v>
      </c>
      <c r="BD43" s="36">
        <v>7</v>
      </c>
      <c r="BE43" s="36">
        <v>8</v>
      </c>
      <c r="BF43" s="36">
        <v>6</v>
      </c>
      <c r="BG43" s="36">
        <v>16</v>
      </c>
      <c r="BH43" s="36">
        <v>8</v>
      </c>
      <c r="BI43" s="36">
        <v>7</v>
      </c>
      <c r="BJ43" s="36">
        <v>4</v>
      </c>
      <c r="BK43" s="36">
        <v>9</v>
      </c>
      <c r="BL43" s="36"/>
      <c r="BM43" s="36"/>
      <c r="BN43" s="36"/>
      <c r="BO43" s="36"/>
      <c r="BP43" s="36"/>
      <c r="BQ43" s="36">
        <v>5</v>
      </c>
      <c r="BR43" s="36">
        <v>2</v>
      </c>
      <c r="BS43" s="36">
        <v>3</v>
      </c>
      <c r="BT43" s="36"/>
      <c r="BU43" s="36">
        <v>1</v>
      </c>
      <c r="BV43" s="36">
        <v>2</v>
      </c>
      <c r="BW43" s="36">
        <v>4</v>
      </c>
      <c r="BX43" s="36"/>
      <c r="BY43" s="36"/>
      <c r="BZ43" s="36"/>
      <c r="CA43" s="36"/>
      <c r="CB43" s="36"/>
      <c r="CC43" s="36"/>
      <c r="CD43" s="36">
        <v>6</v>
      </c>
      <c r="CE43" s="36"/>
      <c r="CF43" s="36"/>
      <c r="CG43" s="36"/>
      <c r="CH43" s="36"/>
      <c r="CI43" s="36"/>
      <c r="CK43" s="4" t="b">
        <f t="shared" si="0"/>
        <v>0</v>
      </c>
    </row>
    <row r="44" spans="1:89" ht="60" customHeight="1">
      <c r="A44" s="32" t="s">
        <v>87</v>
      </c>
      <c r="B44" s="32" t="s">
        <v>120</v>
      </c>
      <c r="C44" s="32" t="s">
        <v>164</v>
      </c>
      <c r="D44" s="34"/>
      <c r="E44" s="34">
        <v>25</v>
      </c>
      <c r="F44" s="34">
        <v>50</v>
      </c>
      <c r="G44" s="34">
        <v>50</v>
      </c>
      <c r="H44" s="34">
        <v>75</v>
      </c>
      <c r="I44" s="34">
        <v>50</v>
      </c>
      <c r="J44" s="34">
        <v>25</v>
      </c>
      <c r="K44" s="34">
        <v>50</v>
      </c>
      <c r="L44" s="34">
        <v>50</v>
      </c>
      <c r="M44" s="34">
        <v>50</v>
      </c>
      <c r="N44" s="34">
        <v>75</v>
      </c>
      <c r="O44" s="34">
        <v>25</v>
      </c>
      <c r="P44" s="34"/>
      <c r="Q44" s="34"/>
      <c r="R44" s="34">
        <v>25</v>
      </c>
      <c r="S44" s="34">
        <v>50</v>
      </c>
      <c r="T44" s="34">
        <v>25</v>
      </c>
      <c r="U44" s="34">
        <v>25</v>
      </c>
      <c r="V44" s="34">
        <v>25</v>
      </c>
      <c r="W44" s="34">
        <v>50</v>
      </c>
      <c r="X44" s="34">
        <v>25</v>
      </c>
      <c r="Y44" s="34">
        <v>50</v>
      </c>
      <c r="Z44" s="34"/>
      <c r="AA44" s="34">
        <v>25</v>
      </c>
      <c r="AB44" s="36"/>
      <c r="AC44" s="36"/>
      <c r="AD44" s="36">
        <v>14</v>
      </c>
      <c r="AE44" s="36">
        <v>7</v>
      </c>
      <c r="AF44" s="36">
        <v>13</v>
      </c>
      <c r="AG44" s="36">
        <v>13</v>
      </c>
      <c r="AH44" s="36">
        <v>6</v>
      </c>
      <c r="AI44" s="36">
        <v>13</v>
      </c>
      <c r="AJ44" s="36">
        <v>13</v>
      </c>
      <c r="AK44" s="36">
        <v>18</v>
      </c>
      <c r="AL44" s="36">
        <v>14</v>
      </c>
      <c r="AM44" s="36">
        <v>5</v>
      </c>
      <c r="AN44" s="36"/>
      <c r="AO44" s="36"/>
      <c r="AP44" s="36">
        <v>7</v>
      </c>
      <c r="AQ44" s="36">
        <v>22</v>
      </c>
      <c r="AR44" s="36">
        <v>20</v>
      </c>
      <c r="AS44" s="36">
        <v>6</v>
      </c>
      <c r="AT44" s="36">
        <v>7</v>
      </c>
      <c r="AU44" s="36">
        <v>12</v>
      </c>
      <c r="AV44" s="36">
        <v>10</v>
      </c>
      <c r="AW44" s="36">
        <v>32</v>
      </c>
      <c r="AX44" s="36">
        <v>16</v>
      </c>
      <c r="AY44" s="36">
        <v>7</v>
      </c>
      <c r="AZ44" s="36"/>
      <c r="BA44" s="36">
        <v>3</v>
      </c>
      <c r="BB44" s="36">
        <v>5</v>
      </c>
      <c r="BC44" s="36">
        <v>6</v>
      </c>
      <c r="BD44" s="36">
        <v>7</v>
      </c>
      <c r="BE44" s="36">
        <v>3</v>
      </c>
      <c r="BF44" s="36">
        <v>7</v>
      </c>
      <c r="BG44" s="36">
        <v>8</v>
      </c>
      <c r="BH44" s="36">
        <v>3</v>
      </c>
      <c r="BI44" s="36">
        <v>6</v>
      </c>
      <c r="BJ44" s="36">
        <v>4</v>
      </c>
      <c r="BK44" s="36">
        <v>3</v>
      </c>
      <c r="BL44" s="36"/>
      <c r="BM44" s="36">
        <v>1</v>
      </c>
      <c r="BN44" s="36"/>
      <c r="BO44" s="36"/>
      <c r="BP44" s="36"/>
      <c r="BQ44" s="36">
        <v>1</v>
      </c>
      <c r="BR44" s="36"/>
      <c r="BS44" s="36">
        <v>2</v>
      </c>
      <c r="BT44" s="36">
        <v>1</v>
      </c>
      <c r="BU44" s="36">
        <v>2</v>
      </c>
      <c r="BV44" s="36">
        <v>2</v>
      </c>
      <c r="BW44" s="36">
        <v>2</v>
      </c>
      <c r="BX44" s="36"/>
      <c r="BY44" s="36"/>
      <c r="BZ44" s="36"/>
      <c r="CA44" s="36"/>
      <c r="CB44" s="36"/>
      <c r="CC44" s="36"/>
      <c r="CD44" s="36"/>
      <c r="CE44" s="36"/>
      <c r="CF44" s="36"/>
      <c r="CG44" s="36"/>
      <c r="CH44" s="36"/>
      <c r="CI44" s="36"/>
      <c r="CK44" s="4" t="b">
        <f t="shared" si="0"/>
        <v>0</v>
      </c>
    </row>
    <row r="45" spans="1:89" ht="90" customHeight="1">
      <c r="A45" s="32" t="s">
        <v>109</v>
      </c>
      <c r="B45" s="32" t="s">
        <v>114</v>
      </c>
      <c r="C45" s="32" t="s">
        <v>165</v>
      </c>
      <c r="D45" s="34">
        <v>100</v>
      </c>
      <c r="E45" s="34">
        <v>100</v>
      </c>
      <c r="F45" s="34">
        <v>100</v>
      </c>
      <c r="G45" s="34">
        <v>100</v>
      </c>
      <c r="H45" s="34">
        <v>100</v>
      </c>
      <c r="I45" s="34">
        <v>100</v>
      </c>
      <c r="J45" s="34">
        <v>100</v>
      </c>
      <c r="K45" s="34">
        <v>100</v>
      </c>
      <c r="L45" s="34">
        <v>100</v>
      </c>
      <c r="M45" s="34"/>
      <c r="N45" s="34"/>
      <c r="O45" s="34">
        <v>100</v>
      </c>
      <c r="P45" s="34"/>
      <c r="Q45" s="34">
        <v>100</v>
      </c>
      <c r="R45" s="34">
        <v>100</v>
      </c>
      <c r="S45" s="34"/>
      <c r="T45" s="34"/>
      <c r="U45" s="34"/>
      <c r="V45" s="34"/>
      <c r="W45" s="34"/>
      <c r="X45" s="34"/>
      <c r="Y45" s="34"/>
      <c r="Z45" s="34"/>
      <c r="AA45" s="34"/>
      <c r="AB45" s="36">
        <v>5</v>
      </c>
      <c r="AC45" s="36">
        <v>20</v>
      </c>
      <c r="AD45" s="36">
        <v>7</v>
      </c>
      <c r="AE45" s="36">
        <v>8</v>
      </c>
      <c r="AF45" s="36"/>
      <c r="AG45" s="36">
        <v>7</v>
      </c>
      <c r="AH45" s="36">
        <v>6</v>
      </c>
      <c r="AI45" s="36">
        <v>9</v>
      </c>
      <c r="AJ45" s="36">
        <v>10</v>
      </c>
      <c r="AK45" s="36">
        <v>6</v>
      </c>
      <c r="AL45" s="36"/>
      <c r="AM45" s="36">
        <v>3</v>
      </c>
      <c r="AN45" s="36">
        <v>7</v>
      </c>
      <c r="AO45" s="36">
        <v>8</v>
      </c>
      <c r="AP45" s="36">
        <v>10</v>
      </c>
      <c r="AQ45" s="36">
        <v>10</v>
      </c>
      <c r="AR45" s="36">
        <v>9</v>
      </c>
      <c r="AS45" s="36">
        <v>5</v>
      </c>
      <c r="AT45" s="36">
        <v>7</v>
      </c>
      <c r="AU45" s="36">
        <v>8</v>
      </c>
      <c r="AV45" s="36">
        <v>6</v>
      </c>
      <c r="AW45" s="36">
        <v>10</v>
      </c>
      <c r="AX45" s="36"/>
      <c r="AY45" s="36">
        <v>5</v>
      </c>
      <c r="AZ45" s="36">
        <v>15</v>
      </c>
      <c r="BA45" s="36">
        <v>4</v>
      </c>
      <c r="BB45" s="36">
        <v>7</v>
      </c>
      <c r="BC45" s="36">
        <v>7</v>
      </c>
      <c r="BD45" s="36">
        <v>8</v>
      </c>
      <c r="BE45" s="36">
        <v>2</v>
      </c>
      <c r="BF45" s="36">
        <v>2</v>
      </c>
      <c r="BG45" s="36">
        <v>18</v>
      </c>
      <c r="BH45" s="36">
        <v>24</v>
      </c>
      <c r="BI45" s="36">
        <v>26</v>
      </c>
      <c r="BJ45" s="36"/>
      <c r="BK45" s="36">
        <v>5</v>
      </c>
      <c r="BL45" s="36">
        <v>1</v>
      </c>
      <c r="BM45" s="36">
        <v>6</v>
      </c>
      <c r="BN45" s="36">
        <v>2</v>
      </c>
      <c r="BO45" s="36"/>
      <c r="BP45" s="36">
        <v>1</v>
      </c>
      <c r="BQ45" s="36">
        <v>3</v>
      </c>
      <c r="BR45" s="36"/>
      <c r="BS45" s="36">
        <v>4</v>
      </c>
      <c r="BT45" s="36">
        <v>3</v>
      </c>
      <c r="BU45" s="36">
        <v>1</v>
      </c>
      <c r="BV45" s="36"/>
      <c r="BW45" s="36">
        <v>5</v>
      </c>
      <c r="BX45" s="36">
        <v>15</v>
      </c>
      <c r="BY45" s="36"/>
      <c r="BZ45" s="36">
        <v>1</v>
      </c>
      <c r="CA45" s="36">
        <v>17</v>
      </c>
      <c r="CB45" s="36"/>
      <c r="CC45" s="36"/>
      <c r="CD45" s="36">
        <v>7</v>
      </c>
      <c r="CE45" s="36"/>
      <c r="CF45" s="36"/>
      <c r="CG45" s="36"/>
      <c r="CH45" s="36"/>
      <c r="CI45" s="36"/>
      <c r="CK45" s="4" t="b">
        <f t="shared" si="0"/>
        <v>1</v>
      </c>
    </row>
    <row r="46" spans="1:89" ht="60" customHeight="1">
      <c r="A46" s="32" t="s">
        <v>144</v>
      </c>
      <c r="B46" s="32" t="s">
        <v>151</v>
      </c>
      <c r="C46" s="32" t="s">
        <v>166</v>
      </c>
      <c r="D46" s="34">
        <v>100</v>
      </c>
      <c r="E46" s="34">
        <v>100</v>
      </c>
      <c r="F46" s="34">
        <v>100</v>
      </c>
      <c r="G46" s="34">
        <v>100</v>
      </c>
      <c r="H46" s="34">
        <v>100</v>
      </c>
      <c r="I46" s="34">
        <v>100</v>
      </c>
      <c r="J46" s="34">
        <v>100</v>
      </c>
      <c r="K46" s="34">
        <v>61.9</v>
      </c>
      <c r="L46" s="34">
        <v>100</v>
      </c>
      <c r="M46" s="34">
        <v>100</v>
      </c>
      <c r="N46" s="34">
        <v>100</v>
      </c>
      <c r="O46" s="34">
        <v>100</v>
      </c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  <c r="AA46" s="34"/>
      <c r="AB46" s="36">
        <v>289</v>
      </c>
      <c r="AC46" s="36">
        <v>265</v>
      </c>
      <c r="AD46" s="36">
        <v>119</v>
      </c>
      <c r="AE46" s="36">
        <v>146</v>
      </c>
      <c r="AF46" s="36">
        <v>96</v>
      </c>
      <c r="AG46" s="36">
        <v>120</v>
      </c>
      <c r="AH46" s="36">
        <v>111</v>
      </c>
      <c r="AI46" s="36">
        <v>48</v>
      </c>
      <c r="AJ46" s="36">
        <v>64</v>
      </c>
      <c r="AK46" s="36">
        <v>82</v>
      </c>
      <c r="AL46" s="36">
        <v>112</v>
      </c>
      <c r="AM46" s="36">
        <v>80</v>
      </c>
      <c r="AN46" s="36">
        <v>240</v>
      </c>
      <c r="AO46" s="36">
        <v>241</v>
      </c>
      <c r="AP46" s="36">
        <v>171</v>
      </c>
      <c r="AQ46" s="36">
        <v>130</v>
      </c>
      <c r="AR46" s="36">
        <v>99</v>
      </c>
      <c r="AS46" s="36">
        <v>110</v>
      </c>
      <c r="AT46" s="36">
        <v>76</v>
      </c>
      <c r="AU46" s="36">
        <v>65</v>
      </c>
      <c r="AV46" s="36">
        <v>82</v>
      </c>
      <c r="AW46" s="36">
        <v>84</v>
      </c>
      <c r="AX46" s="36">
        <v>79</v>
      </c>
      <c r="AY46" s="36">
        <v>58</v>
      </c>
      <c r="AZ46" s="36">
        <v>131</v>
      </c>
      <c r="BA46" s="36">
        <v>126</v>
      </c>
      <c r="BB46" s="36">
        <v>159</v>
      </c>
      <c r="BC46" s="36">
        <v>159</v>
      </c>
      <c r="BD46" s="36">
        <v>238</v>
      </c>
      <c r="BE46" s="36">
        <v>128</v>
      </c>
      <c r="BF46" s="36">
        <v>56</v>
      </c>
      <c r="BG46" s="36"/>
      <c r="BH46" s="36">
        <v>112</v>
      </c>
      <c r="BI46" s="36">
        <v>155</v>
      </c>
      <c r="BJ46" s="36">
        <v>137</v>
      </c>
      <c r="BK46" s="36">
        <v>215</v>
      </c>
      <c r="BL46" s="36">
        <v>80</v>
      </c>
      <c r="BM46" s="36">
        <v>59</v>
      </c>
      <c r="BN46" s="36">
        <v>94</v>
      </c>
      <c r="BO46" s="36">
        <v>93</v>
      </c>
      <c r="BP46" s="36">
        <v>94</v>
      </c>
      <c r="BQ46" s="36">
        <v>55</v>
      </c>
      <c r="BR46" s="36">
        <v>84</v>
      </c>
      <c r="BS46" s="36">
        <v>76</v>
      </c>
      <c r="BT46" s="36">
        <v>61</v>
      </c>
      <c r="BU46" s="36">
        <v>44</v>
      </c>
      <c r="BV46" s="36">
        <v>44</v>
      </c>
      <c r="BW46" s="36">
        <v>46</v>
      </c>
      <c r="BX46" s="36">
        <v>80</v>
      </c>
      <c r="BY46" s="36">
        <v>5</v>
      </c>
      <c r="BZ46" s="36">
        <v>6</v>
      </c>
      <c r="CA46" s="36">
        <v>8</v>
      </c>
      <c r="CB46" s="36">
        <v>9</v>
      </c>
      <c r="CC46" s="36">
        <v>9</v>
      </c>
      <c r="CD46" s="36">
        <v>3</v>
      </c>
      <c r="CE46" s="36"/>
      <c r="CF46" s="36">
        <v>3</v>
      </c>
      <c r="CG46" s="36">
        <v>6</v>
      </c>
      <c r="CH46" s="36">
        <v>4</v>
      </c>
      <c r="CI46" s="36">
        <v>7</v>
      </c>
      <c r="CK46" s="4" t="b">
        <f t="shared" si="0"/>
        <v>1</v>
      </c>
    </row>
    <row r="47" spans="1:89" ht="75" customHeight="1">
      <c r="A47" s="32" t="s">
        <v>144</v>
      </c>
      <c r="B47" s="32" t="s">
        <v>167</v>
      </c>
      <c r="C47" s="32" t="s">
        <v>168</v>
      </c>
      <c r="D47" s="34"/>
      <c r="E47" s="34">
        <v>50</v>
      </c>
      <c r="F47" s="34">
        <v>100</v>
      </c>
      <c r="G47" s="34">
        <v>100</v>
      </c>
      <c r="H47" s="34">
        <v>100</v>
      </c>
      <c r="I47" s="34">
        <v>100</v>
      </c>
      <c r="J47" s="34">
        <v>88.89</v>
      </c>
      <c r="K47" s="34">
        <v>77.78</v>
      </c>
      <c r="L47" s="34">
        <v>100</v>
      </c>
      <c r="M47" s="34">
        <v>100</v>
      </c>
      <c r="N47" s="34">
        <v>100</v>
      </c>
      <c r="O47" s="34">
        <v>87.5</v>
      </c>
      <c r="P47" s="34"/>
      <c r="Q47" s="34">
        <v>350</v>
      </c>
      <c r="R47" s="34">
        <v>50</v>
      </c>
      <c r="S47" s="34"/>
      <c r="T47" s="34"/>
      <c r="U47" s="34">
        <v>50</v>
      </c>
      <c r="V47" s="34"/>
      <c r="W47" s="34"/>
      <c r="X47" s="34"/>
      <c r="Y47" s="34"/>
      <c r="Z47" s="34">
        <v>50</v>
      </c>
      <c r="AA47" s="34">
        <v>350</v>
      </c>
      <c r="AB47" s="36"/>
      <c r="AC47" s="36">
        <v>81</v>
      </c>
      <c r="AD47" s="36">
        <v>19</v>
      </c>
      <c r="AE47" s="36">
        <v>28</v>
      </c>
      <c r="AF47" s="36">
        <v>33</v>
      </c>
      <c r="AG47" s="36">
        <v>43</v>
      </c>
      <c r="AH47" s="36">
        <v>28</v>
      </c>
      <c r="AI47" s="36">
        <v>46</v>
      </c>
      <c r="AJ47" s="36">
        <v>36</v>
      </c>
      <c r="AK47" s="36">
        <v>34</v>
      </c>
      <c r="AL47" s="36">
        <v>32</v>
      </c>
      <c r="AM47" s="36">
        <v>65</v>
      </c>
      <c r="AN47" s="36"/>
      <c r="AO47" s="36">
        <v>57</v>
      </c>
      <c r="AP47" s="36">
        <v>24</v>
      </c>
      <c r="AQ47" s="36">
        <v>30</v>
      </c>
      <c r="AR47" s="36">
        <v>30</v>
      </c>
      <c r="AS47" s="36">
        <v>32</v>
      </c>
      <c r="AT47" s="36">
        <v>32</v>
      </c>
      <c r="AU47" s="36">
        <v>36</v>
      </c>
      <c r="AV47" s="36">
        <v>47</v>
      </c>
      <c r="AW47" s="36">
        <v>43</v>
      </c>
      <c r="AX47" s="36">
        <v>48</v>
      </c>
      <c r="AY47" s="36">
        <v>78</v>
      </c>
      <c r="AZ47" s="36"/>
      <c r="BA47" s="36">
        <v>40</v>
      </c>
      <c r="BB47" s="36">
        <v>42</v>
      </c>
      <c r="BC47" s="36">
        <v>52</v>
      </c>
      <c r="BD47" s="36">
        <v>40</v>
      </c>
      <c r="BE47" s="36">
        <v>36</v>
      </c>
      <c r="BF47" s="36">
        <v>44</v>
      </c>
      <c r="BG47" s="36">
        <v>31</v>
      </c>
      <c r="BH47" s="36">
        <v>24</v>
      </c>
      <c r="BI47" s="36">
        <v>35</v>
      </c>
      <c r="BJ47" s="36">
        <v>40</v>
      </c>
      <c r="BK47" s="36">
        <v>29</v>
      </c>
      <c r="BL47" s="36"/>
      <c r="BM47" s="36"/>
      <c r="BN47" s="36"/>
      <c r="BO47" s="36">
        <v>2</v>
      </c>
      <c r="BP47" s="36">
        <v>25</v>
      </c>
      <c r="BQ47" s="36">
        <v>21</v>
      </c>
      <c r="BR47" s="36">
        <v>22</v>
      </c>
      <c r="BS47" s="36">
        <v>14</v>
      </c>
      <c r="BT47" s="36">
        <v>20</v>
      </c>
      <c r="BU47" s="36">
        <v>16</v>
      </c>
      <c r="BV47" s="36">
        <v>22</v>
      </c>
      <c r="BW47" s="36">
        <v>13</v>
      </c>
      <c r="BX47" s="36"/>
      <c r="BY47" s="36"/>
      <c r="BZ47" s="36"/>
      <c r="CA47" s="36"/>
      <c r="CB47" s="36"/>
      <c r="CC47" s="36"/>
      <c r="CD47" s="36"/>
      <c r="CE47" s="36"/>
      <c r="CF47" s="36"/>
      <c r="CG47" s="36"/>
      <c r="CH47" s="36">
        <v>1</v>
      </c>
      <c r="CI47" s="36"/>
      <c r="CK47" s="4" t="b">
        <f t="shared" si="0"/>
        <v>0</v>
      </c>
    </row>
    <row r="48" spans="1:89" ht="60" customHeight="1">
      <c r="A48" s="32" t="s">
        <v>144</v>
      </c>
      <c r="B48" s="32" t="s">
        <v>169</v>
      </c>
      <c r="C48" s="32" t="s">
        <v>170</v>
      </c>
      <c r="D48" s="34"/>
      <c r="E48" s="34">
        <v>80</v>
      </c>
      <c r="F48" s="34">
        <v>100</v>
      </c>
      <c r="G48" s="34"/>
      <c r="H48" s="34"/>
      <c r="I48" s="34">
        <v>100</v>
      </c>
      <c r="J48" s="34">
        <v>100</v>
      </c>
      <c r="K48" s="34">
        <v>100</v>
      </c>
      <c r="L48" s="34">
        <v>100</v>
      </c>
      <c r="M48" s="34">
        <v>100</v>
      </c>
      <c r="N48" s="34">
        <v>100</v>
      </c>
      <c r="O48" s="34">
        <v>100</v>
      </c>
      <c r="P48" s="34"/>
      <c r="Q48" s="34">
        <v>100</v>
      </c>
      <c r="R48" s="34">
        <v>50</v>
      </c>
      <c r="S48" s="34"/>
      <c r="T48" s="34">
        <v>50</v>
      </c>
      <c r="U48" s="34">
        <v>100</v>
      </c>
      <c r="V48" s="34">
        <v>100</v>
      </c>
      <c r="W48" s="34"/>
      <c r="X48" s="34">
        <v>100</v>
      </c>
      <c r="Y48" s="34">
        <v>100</v>
      </c>
      <c r="Z48" s="34">
        <v>100</v>
      </c>
      <c r="AA48" s="34">
        <v>100</v>
      </c>
      <c r="AB48" s="36"/>
      <c r="AC48" s="36">
        <v>173</v>
      </c>
      <c r="AD48" s="36">
        <v>70</v>
      </c>
      <c r="AE48" s="36">
        <v>98</v>
      </c>
      <c r="AF48" s="36">
        <v>127</v>
      </c>
      <c r="AG48" s="36">
        <v>94</v>
      </c>
      <c r="AH48" s="36">
        <v>106</v>
      </c>
      <c r="AI48" s="36">
        <v>106</v>
      </c>
      <c r="AJ48" s="36">
        <v>94</v>
      </c>
      <c r="AK48" s="36">
        <v>91</v>
      </c>
      <c r="AL48" s="36">
        <v>101</v>
      </c>
      <c r="AM48" s="36">
        <v>214</v>
      </c>
      <c r="AN48" s="36"/>
      <c r="AO48" s="36">
        <v>323</v>
      </c>
      <c r="AP48" s="36">
        <v>69</v>
      </c>
      <c r="AQ48" s="36">
        <v>68</v>
      </c>
      <c r="AR48" s="36">
        <v>97</v>
      </c>
      <c r="AS48" s="36">
        <v>88</v>
      </c>
      <c r="AT48" s="36">
        <v>123</v>
      </c>
      <c r="AU48" s="36">
        <v>105</v>
      </c>
      <c r="AV48" s="36">
        <v>92</v>
      </c>
      <c r="AW48" s="36">
        <v>106</v>
      </c>
      <c r="AX48" s="36">
        <v>109</v>
      </c>
      <c r="AY48" s="36">
        <v>210</v>
      </c>
      <c r="AZ48" s="36"/>
      <c r="BA48" s="36">
        <v>36</v>
      </c>
      <c r="BB48" s="36">
        <v>95</v>
      </c>
      <c r="BC48" s="36">
        <v>85</v>
      </c>
      <c r="BD48" s="36">
        <v>85</v>
      </c>
      <c r="BE48" s="36">
        <v>77</v>
      </c>
      <c r="BF48" s="36">
        <v>76</v>
      </c>
      <c r="BG48" s="36">
        <v>107</v>
      </c>
      <c r="BH48" s="36">
        <v>89</v>
      </c>
      <c r="BI48" s="36">
        <v>69</v>
      </c>
      <c r="BJ48" s="36">
        <v>90</v>
      </c>
      <c r="BK48" s="36">
        <v>131</v>
      </c>
      <c r="BL48" s="36"/>
      <c r="BM48" s="36">
        <v>21</v>
      </c>
      <c r="BN48" s="36">
        <v>50</v>
      </c>
      <c r="BO48" s="36">
        <v>41</v>
      </c>
      <c r="BP48" s="36">
        <v>42</v>
      </c>
      <c r="BQ48" s="36">
        <v>40</v>
      </c>
      <c r="BR48" s="36">
        <v>46</v>
      </c>
      <c r="BS48" s="36">
        <v>47</v>
      </c>
      <c r="BT48" s="36">
        <v>31</v>
      </c>
      <c r="BU48" s="36">
        <v>47</v>
      </c>
      <c r="BV48" s="36">
        <v>48</v>
      </c>
      <c r="BW48" s="36">
        <v>35</v>
      </c>
      <c r="BX48" s="36"/>
      <c r="BY48" s="36">
        <v>1</v>
      </c>
      <c r="BZ48" s="36">
        <v>6</v>
      </c>
      <c r="CA48" s="36">
        <v>3</v>
      </c>
      <c r="CB48" s="36">
        <v>10</v>
      </c>
      <c r="CC48" s="36">
        <v>7</v>
      </c>
      <c r="CD48" s="36">
        <v>2</v>
      </c>
      <c r="CE48" s="36">
        <v>4</v>
      </c>
      <c r="CF48" s="36">
        <v>2</v>
      </c>
      <c r="CG48" s="36">
        <v>3</v>
      </c>
      <c r="CH48" s="36">
        <v>6</v>
      </c>
      <c r="CI48" s="36">
        <v>5</v>
      </c>
      <c r="CK48" s="4" t="b">
        <f t="shared" si="0"/>
        <v>0</v>
      </c>
    </row>
    <row r="49" spans="1:89" ht="60" customHeight="1">
      <c r="A49" s="32" t="s">
        <v>87</v>
      </c>
      <c r="B49" s="32" t="s">
        <v>104</v>
      </c>
      <c r="C49" s="32" t="s">
        <v>171</v>
      </c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  <c r="AA49" s="34"/>
      <c r="AB49" s="36">
        <v>9</v>
      </c>
      <c r="AC49" s="36"/>
      <c r="AD49" s="36">
        <v>12</v>
      </c>
      <c r="AE49" s="36">
        <v>7</v>
      </c>
      <c r="AF49" s="36">
        <v>14</v>
      </c>
      <c r="AG49" s="36">
        <v>14</v>
      </c>
      <c r="AH49" s="36">
        <v>21</v>
      </c>
      <c r="AI49" s="36">
        <v>9</v>
      </c>
      <c r="AJ49" s="36">
        <v>10</v>
      </c>
      <c r="AK49" s="36">
        <v>15</v>
      </c>
      <c r="AL49" s="36">
        <v>10</v>
      </c>
      <c r="AM49" s="36">
        <v>11</v>
      </c>
      <c r="AN49" s="36">
        <v>8</v>
      </c>
      <c r="AO49" s="36"/>
      <c r="AP49" s="36">
        <v>15</v>
      </c>
      <c r="AQ49" s="36">
        <v>13</v>
      </c>
      <c r="AR49" s="36">
        <v>11</v>
      </c>
      <c r="AS49" s="36">
        <v>4</v>
      </c>
      <c r="AT49" s="36">
        <v>8</v>
      </c>
      <c r="AU49" s="36">
        <v>13</v>
      </c>
      <c r="AV49" s="36">
        <v>20</v>
      </c>
      <c r="AW49" s="36">
        <v>9</v>
      </c>
      <c r="AX49" s="36">
        <v>9</v>
      </c>
      <c r="AY49" s="36">
        <v>14</v>
      </c>
      <c r="AZ49" s="36">
        <v>15</v>
      </c>
      <c r="BA49" s="36"/>
      <c r="BB49" s="36">
        <v>9</v>
      </c>
      <c r="BC49" s="36">
        <v>12</v>
      </c>
      <c r="BD49" s="36">
        <v>9</v>
      </c>
      <c r="BE49" s="36">
        <v>6</v>
      </c>
      <c r="BF49" s="36">
        <v>14</v>
      </c>
      <c r="BG49" s="36">
        <v>6</v>
      </c>
      <c r="BH49" s="36">
        <v>8</v>
      </c>
      <c r="BI49" s="36">
        <v>5</v>
      </c>
      <c r="BJ49" s="36">
        <v>10</v>
      </c>
      <c r="BK49" s="36">
        <v>10</v>
      </c>
      <c r="BL49" s="36">
        <v>2</v>
      </c>
      <c r="BM49" s="36"/>
      <c r="BN49" s="36">
        <v>3</v>
      </c>
      <c r="BO49" s="36">
        <v>3</v>
      </c>
      <c r="BP49" s="36">
        <v>4</v>
      </c>
      <c r="BQ49" s="36">
        <v>7</v>
      </c>
      <c r="BR49" s="36"/>
      <c r="BS49" s="36">
        <v>3</v>
      </c>
      <c r="BT49" s="36">
        <v>2</v>
      </c>
      <c r="BU49" s="36">
        <v>2</v>
      </c>
      <c r="BV49" s="36">
        <v>8</v>
      </c>
      <c r="BW49" s="36"/>
      <c r="BX49" s="36">
        <v>13</v>
      </c>
      <c r="BY49" s="36"/>
      <c r="BZ49" s="36">
        <v>2</v>
      </c>
      <c r="CA49" s="36">
        <v>1</v>
      </c>
      <c r="CB49" s="36">
        <v>1</v>
      </c>
      <c r="CC49" s="36">
        <v>3</v>
      </c>
      <c r="CD49" s="36"/>
      <c r="CE49" s="36"/>
      <c r="CF49" s="36"/>
      <c r="CG49" s="36">
        <v>3</v>
      </c>
      <c r="CH49" s="36"/>
      <c r="CI49" s="36"/>
      <c r="CK49" s="4" t="b">
        <f t="shared" si="0"/>
        <v>0</v>
      </c>
    </row>
    <row r="50" spans="1:89" ht="60" customHeight="1">
      <c r="A50" s="32" t="s">
        <v>87</v>
      </c>
      <c r="B50" s="32" t="s">
        <v>104</v>
      </c>
      <c r="C50" s="32" t="s">
        <v>172</v>
      </c>
      <c r="D50" s="34">
        <v>100</v>
      </c>
      <c r="E50" s="34">
        <v>100</v>
      </c>
      <c r="F50" s="34">
        <v>100</v>
      </c>
      <c r="G50" s="34"/>
      <c r="H50" s="34">
        <v>100</v>
      </c>
      <c r="I50" s="34">
        <v>100</v>
      </c>
      <c r="J50" s="34">
        <v>100</v>
      </c>
      <c r="K50" s="34">
        <v>100</v>
      </c>
      <c r="L50" s="34">
        <v>100</v>
      </c>
      <c r="M50" s="34"/>
      <c r="N50" s="34">
        <v>100</v>
      </c>
      <c r="O50" s="34">
        <v>100</v>
      </c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  <c r="AA50" s="34"/>
      <c r="AB50" s="36">
        <v>28</v>
      </c>
      <c r="AC50" s="36">
        <v>28</v>
      </c>
      <c r="AD50" s="36">
        <v>45</v>
      </c>
      <c r="AE50" s="36">
        <v>18</v>
      </c>
      <c r="AF50" s="36">
        <v>25</v>
      </c>
      <c r="AG50" s="36">
        <v>22</v>
      </c>
      <c r="AH50" s="36">
        <v>26</v>
      </c>
      <c r="AI50" s="36">
        <v>18</v>
      </c>
      <c r="AJ50" s="36">
        <v>25</v>
      </c>
      <c r="AK50" s="36"/>
      <c r="AL50" s="36">
        <v>17</v>
      </c>
      <c r="AM50" s="36">
        <v>27</v>
      </c>
      <c r="AN50" s="36">
        <v>26</v>
      </c>
      <c r="AO50" s="36">
        <v>25</v>
      </c>
      <c r="AP50" s="36">
        <v>43</v>
      </c>
      <c r="AQ50" s="36">
        <v>15</v>
      </c>
      <c r="AR50" s="36">
        <v>29</v>
      </c>
      <c r="AS50" s="36">
        <v>28</v>
      </c>
      <c r="AT50" s="36">
        <v>25</v>
      </c>
      <c r="AU50" s="36">
        <v>24</v>
      </c>
      <c r="AV50" s="36">
        <v>22</v>
      </c>
      <c r="AW50" s="36"/>
      <c r="AX50" s="36">
        <v>30</v>
      </c>
      <c r="AY50" s="36">
        <v>42</v>
      </c>
      <c r="AZ50" s="36">
        <v>18</v>
      </c>
      <c r="BA50" s="36">
        <v>17</v>
      </c>
      <c r="BB50" s="36">
        <v>21</v>
      </c>
      <c r="BC50" s="36">
        <v>26</v>
      </c>
      <c r="BD50" s="36">
        <v>19</v>
      </c>
      <c r="BE50" s="36">
        <v>18</v>
      </c>
      <c r="BF50" s="36">
        <v>16</v>
      </c>
      <c r="BG50" s="36">
        <v>19</v>
      </c>
      <c r="BH50" s="36">
        <v>23</v>
      </c>
      <c r="BI50" s="36"/>
      <c r="BJ50" s="36">
        <v>17</v>
      </c>
      <c r="BK50" s="36">
        <v>15</v>
      </c>
      <c r="BL50" s="36">
        <v>19</v>
      </c>
      <c r="BM50" s="36">
        <v>38</v>
      </c>
      <c r="BN50" s="36">
        <v>20</v>
      </c>
      <c r="BO50" s="36">
        <v>22</v>
      </c>
      <c r="BP50" s="36">
        <v>85</v>
      </c>
      <c r="BQ50" s="36">
        <v>60</v>
      </c>
      <c r="BR50" s="36">
        <v>25</v>
      </c>
      <c r="BS50" s="36">
        <v>35</v>
      </c>
      <c r="BT50" s="36">
        <v>35</v>
      </c>
      <c r="BU50" s="36"/>
      <c r="BV50" s="36">
        <v>12</v>
      </c>
      <c r="BW50" s="36">
        <v>41</v>
      </c>
      <c r="BX50" s="36">
        <v>16</v>
      </c>
      <c r="BY50" s="36">
        <v>25</v>
      </c>
      <c r="BZ50" s="36">
        <v>8</v>
      </c>
      <c r="CA50" s="36">
        <v>10</v>
      </c>
      <c r="CB50" s="36">
        <v>38</v>
      </c>
      <c r="CC50" s="36">
        <v>32</v>
      </c>
      <c r="CD50" s="36">
        <v>18</v>
      </c>
      <c r="CE50" s="36">
        <v>25</v>
      </c>
      <c r="CF50" s="36">
        <v>30</v>
      </c>
      <c r="CG50" s="36"/>
      <c r="CH50" s="36">
        <v>9</v>
      </c>
      <c r="CI50" s="36">
        <v>80</v>
      </c>
      <c r="CK50" s="4" t="b">
        <f t="shared" si="0"/>
        <v>1</v>
      </c>
    </row>
    <row r="51" spans="1:89" ht="60" customHeight="1">
      <c r="A51" s="32" t="s">
        <v>109</v>
      </c>
      <c r="B51" s="32" t="s">
        <v>127</v>
      </c>
      <c r="C51" s="32" t="s">
        <v>173</v>
      </c>
      <c r="D51" s="34"/>
      <c r="E51" s="34"/>
      <c r="F51" s="34">
        <v>100</v>
      </c>
      <c r="G51" s="34">
        <v>100</v>
      </c>
      <c r="H51" s="34">
        <v>100</v>
      </c>
      <c r="I51" s="34">
        <v>100</v>
      </c>
      <c r="J51" s="34">
        <v>100</v>
      </c>
      <c r="K51" s="34">
        <v>100</v>
      </c>
      <c r="L51" s="34">
        <v>75</v>
      </c>
      <c r="M51" s="34">
        <v>100</v>
      </c>
      <c r="N51" s="34">
        <v>100</v>
      </c>
      <c r="O51" s="34">
        <v>100</v>
      </c>
      <c r="P51" s="34"/>
      <c r="Q51" s="34"/>
      <c r="R51" s="34">
        <v>100</v>
      </c>
      <c r="S51" s="34">
        <v>100</v>
      </c>
      <c r="T51" s="34">
        <v>100</v>
      </c>
      <c r="U51" s="34">
        <v>100</v>
      </c>
      <c r="V51" s="34">
        <v>100</v>
      </c>
      <c r="W51" s="34"/>
      <c r="X51" s="34">
        <v>50</v>
      </c>
      <c r="Y51" s="34">
        <v>100</v>
      </c>
      <c r="Z51" s="34">
        <v>100</v>
      </c>
      <c r="AA51" s="34">
        <v>100</v>
      </c>
      <c r="AB51" s="36"/>
      <c r="AC51" s="36"/>
      <c r="AD51" s="36">
        <v>16</v>
      </c>
      <c r="AE51" s="36">
        <v>31</v>
      </c>
      <c r="AF51" s="36">
        <v>33</v>
      </c>
      <c r="AG51" s="36">
        <v>36</v>
      </c>
      <c r="AH51" s="36">
        <v>38</v>
      </c>
      <c r="AI51" s="36">
        <v>39</v>
      </c>
      <c r="AJ51" s="36">
        <v>29</v>
      </c>
      <c r="AK51" s="36">
        <v>49</v>
      </c>
      <c r="AL51" s="36">
        <v>40</v>
      </c>
      <c r="AM51" s="36">
        <v>42</v>
      </c>
      <c r="AN51" s="36"/>
      <c r="AO51" s="36"/>
      <c r="AP51" s="36">
        <v>19</v>
      </c>
      <c r="AQ51" s="36">
        <v>29</v>
      </c>
      <c r="AR51" s="36">
        <v>32</v>
      </c>
      <c r="AS51" s="36">
        <v>35</v>
      </c>
      <c r="AT51" s="36">
        <v>35</v>
      </c>
      <c r="AU51" s="36">
        <v>35</v>
      </c>
      <c r="AV51" s="36">
        <v>22</v>
      </c>
      <c r="AW51" s="36">
        <v>38</v>
      </c>
      <c r="AX51" s="36">
        <v>41</v>
      </c>
      <c r="AY51" s="36">
        <v>44</v>
      </c>
      <c r="AZ51" s="36"/>
      <c r="BA51" s="36"/>
      <c r="BB51" s="36">
        <v>9</v>
      </c>
      <c r="BC51" s="36">
        <v>10</v>
      </c>
      <c r="BD51" s="36">
        <v>1</v>
      </c>
      <c r="BE51" s="36">
        <v>20</v>
      </c>
      <c r="BF51" s="36">
        <v>4</v>
      </c>
      <c r="BG51" s="36">
        <v>3</v>
      </c>
      <c r="BH51" s="36">
        <v>5</v>
      </c>
      <c r="BI51" s="36">
        <v>6</v>
      </c>
      <c r="BJ51" s="36">
        <v>2</v>
      </c>
      <c r="BK51" s="36">
        <v>5</v>
      </c>
      <c r="BL51" s="36"/>
      <c r="BM51" s="36"/>
      <c r="BN51" s="36"/>
      <c r="BO51" s="36"/>
      <c r="BP51" s="36"/>
      <c r="BQ51" s="36">
        <v>2</v>
      </c>
      <c r="BR51" s="36"/>
      <c r="BS51" s="36"/>
      <c r="BT51" s="36"/>
      <c r="BU51" s="36">
        <v>1</v>
      </c>
      <c r="BV51" s="36">
        <v>2</v>
      </c>
      <c r="BW51" s="36">
        <v>2</v>
      </c>
      <c r="BX51" s="36"/>
      <c r="BY51" s="36"/>
      <c r="BZ51" s="36"/>
      <c r="CA51" s="36"/>
      <c r="CB51" s="36"/>
      <c r="CC51" s="36"/>
      <c r="CD51" s="36"/>
      <c r="CE51" s="36"/>
      <c r="CF51" s="36"/>
      <c r="CG51" s="36"/>
      <c r="CH51" s="36"/>
      <c r="CI51" s="36"/>
      <c r="CK51" s="4" t="b">
        <f t="shared" si="0"/>
        <v>0</v>
      </c>
    </row>
    <row r="52" spans="1:89" ht="90" customHeight="1">
      <c r="A52" s="32" t="s">
        <v>124</v>
      </c>
      <c r="B52" s="32" t="s">
        <v>174</v>
      </c>
      <c r="C52" s="32" t="s">
        <v>175</v>
      </c>
      <c r="D52" s="34"/>
      <c r="E52" s="34"/>
      <c r="F52" s="34"/>
      <c r="G52" s="34"/>
      <c r="H52" s="34"/>
      <c r="I52" s="34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  <c r="AA52" s="34"/>
      <c r="AB52" s="36"/>
      <c r="AC52" s="36"/>
      <c r="AD52" s="36"/>
      <c r="AE52" s="36"/>
      <c r="AF52" s="36"/>
      <c r="AG52" s="36"/>
      <c r="AH52" s="36"/>
      <c r="AI52" s="36"/>
      <c r="AJ52" s="36"/>
      <c r="AK52" s="36"/>
      <c r="AL52" s="36"/>
      <c r="AM52" s="36"/>
      <c r="AN52" s="36"/>
      <c r="AO52" s="36"/>
      <c r="AP52" s="36"/>
      <c r="AQ52" s="36"/>
      <c r="AR52" s="36"/>
      <c r="AS52" s="36"/>
      <c r="AT52" s="36"/>
      <c r="AU52" s="36"/>
      <c r="AV52" s="36"/>
      <c r="AW52" s="36"/>
      <c r="AX52" s="36"/>
      <c r="AY52" s="36"/>
      <c r="AZ52" s="36"/>
      <c r="BA52" s="36"/>
      <c r="BB52" s="36"/>
      <c r="BC52" s="36"/>
      <c r="BD52" s="36"/>
      <c r="BE52" s="36"/>
      <c r="BF52" s="36"/>
      <c r="BG52" s="36"/>
      <c r="BH52" s="36"/>
      <c r="BI52" s="36">
        <v>15</v>
      </c>
      <c r="BJ52" s="36">
        <v>26</v>
      </c>
      <c r="BK52" s="36">
        <v>8</v>
      </c>
      <c r="BL52" s="36"/>
      <c r="BM52" s="36"/>
      <c r="BN52" s="36"/>
      <c r="BO52" s="36"/>
      <c r="BP52" s="36"/>
      <c r="BQ52" s="36"/>
      <c r="BR52" s="36"/>
      <c r="BS52" s="36"/>
      <c r="BT52" s="36">
        <v>4</v>
      </c>
      <c r="BU52" s="36">
        <v>1</v>
      </c>
      <c r="BV52" s="36">
        <v>2</v>
      </c>
      <c r="BW52" s="36">
        <v>2</v>
      </c>
      <c r="BX52" s="36"/>
      <c r="BY52" s="36"/>
      <c r="BZ52" s="36"/>
      <c r="CA52" s="36"/>
      <c r="CB52" s="36"/>
      <c r="CC52" s="36"/>
      <c r="CD52" s="36"/>
      <c r="CE52" s="36"/>
      <c r="CF52" s="36">
        <v>2</v>
      </c>
      <c r="CG52" s="36">
        <v>1</v>
      </c>
      <c r="CH52" s="36">
        <v>4</v>
      </c>
      <c r="CI52" s="36">
        <v>1</v>
      </c>
      <c r="CK52" s="4" t="b">
        <f t="shared" si="0"/>
        <v>0</v>
      </c>
    </row>
    <row r="53" spans="1:89" ht="60" customHeight="1">
      <c r="A53" s="32" t="s">
        <v>101</v>
      </c>
      <c r="B53" s="32" t="s">
        <v>162</v>
      </c>
      <c r="C53" s="32" t="s">
        <v>176</v>
      </c>
      <c r="D53" s="34"/>
      <c r="E53" s="34">
        <v>100</v>
      </c>
      <c r="F53" s="34">
        <v>100</v>
      </c>
      <c r="G53" s="34">
        <v>100</v>
      </c>
      <c r="H53" s="34">
        <v>100</v>
      </c>
      <c r="I53" s="34">
        <v>193.33</v>
      </c>
      <c r="J53" s="34">
        <v>100</v>
      </c>
      <c r="K53" s="34">
        <v>100</v>
      </c>
      <c r="L53" s="34">
        <v>100</v>
      </c>
      <c r="M53" s="34">
        <v>100</v>
      </c>
      <c r="N53" s="34">
        <v>100</v>
      </c>
      <c r="O53" s="34">
        <v>100</v>
      </c>
      <c r="P53" s="34"/>
      <c r="Q53" s="34">
        <v>100</v>
      </c>
      <c r="R53" s="34"/>
      <c r="S53" s="34">
        <v>100</v>
      </c>
      <c r="T53" s="34">
        <v>100</v>
      </c>
      <c r="U53" s="34">
        <v>133.02000000000001</v>
      </c>
      <c r="V53" s="34">
        <v>100</v>
      </c>
      <c r="W53" s="34">
        <v>100</v>
      </c>
      <c r="X53" s="34">
        <v>100</v>
      </c>
      <c r="Y53" s="34">
        <v>100</v>
      </c>
      <c r="Z53" s="34">
        <v>100</v>
      </c>
      <c r="AA53" s="34">
        <v>100</v>
      </c>
      <c r="AB53" s="36"/>
      <c r="AC53" s="36">
        <v>10</v>
      </c>
      <c r="AD53" s="36">
        <v>11</v>
      </c>
      <c r="AE53" s="36">
        <v>11</v>
      </c>
      <c r="AF53" s="36">
        <v>9</v>
      </c>
      <c r="AG53" s="36">
        <v>9</v>
      </c>
      <c r="AH53" s="36">
        <v>9</v>
      </c>
      <c r="AI53" s="36">
        <v>9</v>
      </c>
      <c r="AJ53" s="36">
        <v>10</v>
      </c>
      <c r="AK53" s="36">
        <v>10</v>
      </c>
      <c r="AL53" s="36">
        <v>11</v>
      </c>
      <c r="AM53" s="36">
        <v>12</v>
      </c>
      <c r="AN53" s="36"/>
      <c r="AO53" s="36">
        <v>60</v>
      </c>
      <c r="AP53" s="36">
        <v>10</v>
      </c>
      <c r="AQ53" s="36">
        <v>11</v>
      </c>
      <c r="AR53" s="36">
        <v>9</v>
      </c>
      <c r="AS53" s="36">
        <v>10</v>
      </c>
      <c r="AT53" s="36">
        <v>10</v>
      </c>
      <c r="AU53" s="36">
        <v>9</v>
      </c>
      <c r="AV53" s="36">
        <v>11</v>
      </c>
      <c r="AW53" s="36">
        <v>9</v>
      </c>
      <c r="AX53" s="36">
        <v>10</v>
      </c>
      <c r="AY53" s="36">
        <v>12</v>
      </c>
      <c r="AZ53" s="36"/>
      <c r="BA53" s="36">
        <v>7</v>
      </c>
      <c r="BB53" s="36">
        <v>3</v>
      </c>
      <c r="BC53" s="36">
        <v>5</v>
      </c>
      <c r="BD53" s="36">
        <v>4</v>
      </c>
      <c r="BE53" s="36">
        <v>5</v>
      </c>
      <c r="BF53" s="36">
        <v>6</v>
      </c>
      <c r="BG53" s="36">
        <v>4</v>
      </c>
      <c r="BH53" s="36">
        <v>3</v>
      </c>
      <c r="BI53" s="36">
        <v>2</v>
      </c>
      <c r="BJ53" s="36">
        <v>2</v>
      </c>
      <c r="BK53" s="36">
        <v>3</v>
      </c>
      <c r="BL53" s="36"/>
      <c r="BM53" s="36"/>
      <c r="BN53" s="36"/>
      <c r="BO53" s="36"/>
      <c r="BP53" s="36"/>
      <c r="BQ53" s="36"/>
      <c r="BR53" s="36"/>
      <c r="BS53" s="36"/>
      <c r="BT53" s="36"/>
      <c r="BU53" s="36"/>
      <c r="BV53" s="36"/>
      <c r="BW53" s="36"/>
      <c r="BX53" s="36"/>
      <c r="BY53" s="36"/>
      <c r="BZ53" s="36"/>
      <c r="CA53" s="36"/>
      <c r="CB53" s="36"/>
      <c r="CC53" s="36"/>
      <c r="CD53" s="36"/>
      <c r="CE53" s="36"/>
      <c r="CF53" s="36"/>
      <c r="CG53" s="36"/>
      <c r="CH53" s="36"/>
      <c r="CI53" s="36"/>
      <c r="CK53" s="4" t="b">
        <f t="shared" si="0"/>
        <v>0</v>
      </c>
    </row>
    <row r="54" spans="1:89" ht="90" customHeight="1">
      <c r="A54" s="32" t="s">
        <v>144</v>
      </c>
      <c r="B54" s="32" t="s">
        <v>169</v>
      </c>
      <c r="C54" s="32" t="s">
        <v>177</v>
      </c>
      <c r="D54" s="34"/>
      <c r="E54" s="34">
        <v>100</v>
      </c>
      <c r="F54" s="34">
        <v>100</v>
      </c>
      <c r="G54" s="34">
        <v>100</v>
      </c>
      <c r="H54" s="34">
        <v>100</v>
      </c>
      <c r="I54" s="34">
        <v>100</v>
      </c>
      <c r="J54" s="34">
        <v>100</v>
      </c>
      <c r="K54" s="34">
        <v>100</v>
      </c>
      <c r="L54" s="34">
        <v>100</v>
      </c>
      <c r="M54" s="34">
        <v>100</v>
      </c>
      <c r="N54" s="34">
        <v>100</v>
      </c>
      <c r="O54" s="34">
        <v>100</v>
      </c>
      <c r="P54" s="34"/>
      <c r="Q54" s="34"/>
      <c r="R54" s="34"/>
      <c r="S54" s="34"/>
      <c r="T54" s="34"/>
      <c r="U54" s="34"/>
      <c r="V54" s="34"/>
      <c r="W54" s="34"/>
      <c r="X54" s="34">
        <v>100</v>
      </c>
      <c r="Y54" s="34"/>
      <c r="Z54" s="34"/>
      <c r="AA54" s="34">
        <v>100</v>
      </c>
      <c r="AB54" s="36"/>
      <c r="AC54" s="36">
        <v>21</v>
      </c>
      <c r="AD54" s="36">
        <v>5</v>
      </c>
      <c r="AE54" s="36">
        <v>9</v>
      </c>
      <c r="AF54" s="36">
        <v>9</v>
      </c>
      <c r="AG54" s="36">
        <v>7</v>
      </c>
      <c r="AH54" s="36">
        <v>9</v>
      </c>
      <c r="AI54" s="36">
        <v>10</v>
      </c>
      <c r="AJ54" s="36">
        <v>18</v>
      </c>
      <c r="AK54" s="36">
        <v>10</v>
      </c>
      <c r="AL54" s="36">
        <v>7</v>
      </c>
      <c r="AM54" s="36">
        <v>11</v>
      </c>
      <c r="AN54" s="36"/>
      <c r="AO54" s="36">
        <v>23</v>
      </c>
      <c r="AP54" s="36">
        <v>9</v>
      </c>
      <c r="AQ54" s="36">
        <v>12</v>
      </c>
      <c r="AR54" s="36">
        <v>10</v>
      </c>
      <c r="AS54" s="36">
        <v>9</v>
      </c>
      <c r="AT54" s="36">
        <v>12</v>
      </c>
      <c r="AU54" s="36">
        <v>5</v>
      </c>
      <c r="AV54" s="36">
        <v>7</v>
      </c>
      <c r="AW54" s="36">
        <v>12</v>
      </c>
      <c r="AX54" s="36">
        <v>11</v>
      </c>
      <c r="AY54" s="36">
        <v>8</v>
      </c>
      <c r="AZ54" s="36"/>
      <c r="BA54" s="36">
        <v>8</v>
      </c>
      <c r="BB54" s="36">
        <v>8</v>
      </c>
      <c r="BC54" s="36">
        <v>1</v>
      </c>
      <c r="BD54" s="36">
        <v>4</v>
      </c>
      <c r="BE54" s="36">
        <v>3</v>
      </c>
      <c r="BF54" s="36">
        <v>9</v>
      </c>
      <c r="BG54" s="36">
        <v>5</v>
      </c>
      <c r="BH54" s="36">
        <v>4</v>
      </c>
      <c r="BI54" s="36">
        <v>5</v>
      </c>
      <c r="BJ54" s="36">
        <v>9</v>
      </c>
      <c r="BK54" s="36">
        <v>6</v>
      </c>
      <c r="BL54" s="36"/>
      <c r="BM54" s="36"/>
      <c r="BN54" s="36"/>
      <c r="BO54" s="36"/>
      <c r="BP54" s="36">
        <v>3</v>
      </c>
      <c r="BQ54" s="36">
        <v>1</v>
      </c>
      <c r="BR54" s="36">
        <v>1</v>
      </c>
      <c r="BS54" s="36"/>
      <c r="BT54" s="36">
        <v>1</v>
      </c>
      <c r="BU54" s="36">
        <v>3</v>
      </c>
      <c r="BV54" s="36"/>
      <c r="BW54" s="36"/>
      <c r="BX54" s="36"/>
      <c r="BY54" s="36"/>
      <c r="BZ54" s="36"/>
      <c r="CA54" s="36"/>
      <c r="CB54" s="36"/>
      <c r="CC54" s="36"/>
      <c r="CD54" s="36"/>
      <c r="CE54" s="36"/>
      <c r="CF54" s="36"/>
      <c r="CG54" s="36"/>
      <c r="CH54" s="36"/>
      <c r="CI54" s="36"/>
      <c r="CK54" s="4" t="b">
        <f t="shared" si="0"/>
        <v>0</v>
      </c>
    </row>
    <row r="55" spans="1:89" ht="60" customHeight="1">
      <c r="A55" s="32" t="s">
        <v>87</v>
      </c>
      <c r="B55" s="32" t="s">
        <v>106</v>
      </c>
      <c r="C55" s="32" t="s">
        <v>178</v>
      </c>
      <c r="D55" s="34"/>
      <c r="E55" s="34"/>
      <c r="F55" s="34"/>
      <c r="G55" s="34"/>
      <c r="H55" s="34"/>
      <c r="I55" s="34"/>
      <c r="J55" s="34"/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  <c r="AA55" s="34"/>
      <c r="AB55" s="36">
        <v>8</v>
      </c>
      <c r="AC55" s="36">
        <v>10</v>
      </c>
      <c r="AD55" s="36"/>
      <c r="AE55" s="36"/>
      <c r="AF55" s="36"/>
      <c r="AG55" s="36">
        <v>7</v>
      </c>
      <c r="AH55" s="36">
        <v>6</v>
      </c>
      <c r="AI55" s="36">
        <v>10</v>
      </c>
      <c r="AJ55" s="36">
        <v>9</v>
      </c>
      <c r="AK55" s="36">
        <v>9</v>
      </c>
      <c r="AL55" s="36">
        <v>13</v>
      </c>
      <c r="AM55" s="36">
        <v>10</v>
      </c>
      <c r="AN55" s="36">
        <v>11</v>
      </c>
      <c r="AO55" s="36">
        <v>14</v>
      </c>
      <c r="AP55" s="36"/>
      <c r="AQ55" s="36"/>
      <c r="AR55" s="36"/>
      <c r="AS55" s="36">
        <v>11</v>
      </c>
      <c r="AT55" s="36">
        <v>7</v>
      </c>
      <c r="AU55" s="36">
        <v>10</v>
      </c>
      <c r="AV55" s="36">
        <v>11</v>
      </c>
      <c r="AW55" s="36">
        <v>11</v>
      </c>
      <c r="AX55" s="36">
        <v>13</v>
      </c>
      <c r="AY55" s="36">
        <v>12</v>
      </c>
      <c r="AZ55" s="36">
        <v>9</v>
      </c>
      <c r="BA55" s="36">
        <v>3</v>
      </c>
      <c r="BB55" s="36"/>
      <c r="BC55" s="36"/>
      <c r="BD55" s="36"/>
      <c r="BE55" s="36">
        <v>2</v>
      </c>
      <c r="BF55" s="36"/>
      <c r="BG55" s="36">
        <v>3</v>
      </c>
      <c r="BH55" s="36">
        <v>1</v>
      </c>
      <c r="BI55" s="36">
        <v>1</v>
      </c>
      <c r="BJ55" s="36">
        <v>4</v>
      </c>
      <c r="BK55" s="36">
        <v>3</v>
      </c>
      <c r="BL55" s="36"/>
      <c r="BM55" s="36"/>
      <c r="BN55" s="36"/>
      <c r="BO55" s="36"/>
      <c r="BP55" s="36"/>
      <c r="BQ55" s="36"/>
      <c r="BR55" s="36"/>
      <c r="BS55" s="36"/>
      <c r="BT55" s="36"/>
      <c r="BU55" s="36"/>
      <c r="BV55" s="36"/>
      <c r="BW55" s="36"/>
      <c r="BX55" s="36"/>
      <c r="BY55" s="36"/>
      <c r="BZ55" s="36"/>
      <c r="CA55" s="36"/>
      <c r="CB55" s="36"/>
      <c r="CC55" s="36"/>
      <c r="CD55" s="36"/>
      <c r="CE55" s="36"/>
      <c r="CF55" s="36"/>
      <c r="CG55" s="36"/>
      <c r="CH55" s="36"/>
      <c r="CI55" s="36"/>
      <c r="CK55" s="4" t="b">
        <f t="shared" si="0"/>
        <v>0</v>
      </c>
    </row>
    <row r="56" spans="1:89" ht="75" customHeight="1">
      <c r="A56" s="32" t="s">
        <v>124</v>
      </c>
      <c r="B56" s="32" t="s">
        <v>179</v>
      </c>
      <c r="C56" s="32" t="s">
        <v>180</v>
      </c>
      <c r="D56" s="34"/>
      <c r="E56" s="34">
        <v>50</v>
      </c>
      <c r="F56" s="34">
        <v>75</v>
      </c>
      <c r="G56" s="34">
        <v>50</v>
      </c>
      <c r="H56" s="34">
        <v>75</v>
      </c>
      <c r="I56" s="34">
        <v>75</v>
      </c>
      <c r="J56" s="34">
        <v>50</v>
      </c>
      <c r="K56" s="34">
        <v>75</v>
      </c>
      <c r="L56" s="34">
        <v>50</v>
      </c>
      <c r="M56" s="34">
        <v>100</v>
      </c>
      <c r="N56" s="34">
        <v>100</v>
      </c>
      <c r="O56" s="34">
        <v>100</v>
      </c>
      <c r="P56" s="34"/>
      <c r="Q56" s="34">
        <v>25</v>
      </c>
      <c r="R56" s="34">
        <v>25</v>
      </c>
      <c r="S56" s="34">
        <v>25</v>
      </c>
      <c r="T56" s="34">
        <v>50</v>
      </c>
      <c r="U56" s="34">
        <v>50</v>
      </c>
      <c r="V56" s="34">
        <v>50</v>
      </c>
      <c r="W56" s="34">
        <v>75</v>
      </c>
      <c r="X56" s="34">
        <v>50</v>
      </c>
      <c r="Y56" s="34">
        <v>50</v>
      </c>
      <c r="Z56" s="34">
        <v>75</v>
      </c>
      <c r="AA56" s="34">
        <v>75</v>
      </c>
      <c r="AB56" s="36"/>
      <c r="AC56" s="36">
        <v>13</v>
      </c>
      <c r="AD56" s="36">
        <v>22</v>
      </c>
      <c r="AE56" s="36">
        <v>8</v>
      </c>
      <c r="AF56" s="36">
        <v>10</v>
      </c>
      <c r="AG56" s="36">
        <v>13</v>
      </c>
      <c r="AH56" s="36">
        <v>4</v>
      </c>
      <c r="AI56" s="36">
        <v>16</v>
      </c>
      <c r="AJ56" s="36">
        <v>8</v>
      </c>
      <c r="AK56" s="36">
        <v>20</v>
      </c>
      <c r="AL56" s="36">
        <v>25</v>
      </c>
      <c r="AM56" s="36">
        <v>10</v>
      </c>
      <c r="AN56" s="36"/>
      <c r="AO56" s="36">
        <v>11</v>
      </c>
      <c r="AP56" s="36">
        <v>26</v>
      </c>
      <c r="AQ56" s="36">
        <v>15</v>
      </c>
      <c r="AR56" s="36">
        <v>11</v>
      </c>
      <c r="AS56" s="36">
        <v>13</v>
      </c>
      <c r="AT56" s="36">
        <v>4</v>
      </c>
      <c r="AU56" s="36">
        <v>14</v>
      </c>
      <c r="AV56" s="36">
        <v>12</v>
      </c>
      <c r="AW56" s="36">
        <v>20</v>
      </c>
      <c r="AX56" s="36">
        <v>27</v>
      </c>
      <c r="AY56" s="36">
        <v>25</v>
      </c>
      <c r="AZ56" s="36"/>
      <c r="BA56" s="36"/>
      <c r="BB56" s="36">
        <v>2</v>
      </c>
      <c r="BC56" s="36">
        <v>2</v>
      </c>
      <c r="BD56" s="36">
        <v>2</v>
      </c>
      <c r="BE56" s="36">
        <v>3</v>
      </c>
      <c r="BF56" s="36">
        <v>1</v>
      </c>
      <c r="BG56" s="36">
        <v>5</v>
      </c>
      <c r="BH56" s="36">
        <v>7</v>
      </c>
      <c r="BI56" s="36">
        <v>12</v>
      </c>
      <c r="BJ56" s="36">
        <v>17</v>
      </c>
      <c r="BK56" s="36">
        <v>21</v>
      </c>
      <c r="BL56" s="36"/>
      <c r="BM56" s="36">
        <v>8</v>
      </c>
      <c r="BN56" s="36">
        <v>15</v>
      </c>
      <c r="BO56" s="36">
        <v>8</v>
      </c>
      <c r="BP56" s="36">
        <v>2</v>
      </c>
      <c r="BQ56" s="36">
        <v>10</v>
      </c>
      <c r="BR56" s="36">
        <v>3</v>
      </c>
      <c r="BS56" s="36">
        <v>6</v>
      </c>
      <c r="BT56" s="36">
        <v>11</v>
      </c>
      <c r="BU56" s="36">
        <v>8</v>
      </c>
      <c r="BV56" s="36">
        <v>8</v>
      </c>
      <c r="BW56" s="36">
        <v>15</v>
      </c>
      <c r="BX56" s="36"/>
      <c r="BY56" s="36"/>
      <c r="BZ56" s="36"/>
      <c r="CA56" s="36"/>
      <c r="CB56" s="36"/>
      <c r="CC56" s="36"/>
      <c r="CD56" s="36"/>
      <c r="CE56" s="36"/>
      <c r="CF56" s="36"/>
      <c r="CG56" s="36"/>
      <c r="CH56" s="36"/>
      <c r="CI56" s="36"/>
      <c r="CK56" s="4" t="b">
        <f t="shared" si="0"/>
        <v>0</v>
      </c>
    </row>
    <row r="57" spans="1:89" ht="75" customHeight="1">
      <c r="A57" s="32" t="s">
        <v>87</v>
      </c>
      <c r="B57" s="32" t="s">
        <v>181</v>
      </c>
      <c r="C57" s="32" t="s">
        <v>182</v>
      </c>
      <c r="D57" s="34"/>
      <c r="E57" s="34">
        <v>50</v>
      </c>
      <c r="F57" s="34">
        <v>100</v>
      </c>
      <c r="G57" s="34">
        <v>100</v>
      </c>
      <c r="H57" s="34">
        <v>100</v>
      </c>
      <c r="I57" s="34">
        <v>100</v>
      </c>
      <c r="J57" s="34">
        <v>100</v>
      </c>
      <c r="K57" s="34">
        <v>100</v>
      </c>
      <c r="L57" s="34">
        <v>75</v>
      </c>
      <c r="M57" s="34">
        <v>100</v>
      </c>
      <c r="N57" s="34">
        <v>100</v>
      </c>
      <c r="O57" s="34">
        <v>100</v>
      </c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  <c r="AA57" s="34"/>
      <c r="AB57" s="36"/>
      <c r="AC57" s="36">
        <v>16</v>
      </c>
      <c r="AD57" s="36">
        <v>22</v>
      </c>
      <c r="AE57" s="36">
        <v>21</v>
      </c>
      <c r="AF57" s="36">
        <v>13</v>
      </c>
      <c r="AG57" s="36">
        <v>9</v>
      </c>
      <c r="AH57" s="36">
        <v>10</v>
      </c>
      <c r="AI57" s="36">
        <v>9</v>
      </c>
      <c r="AJ57" s="36">
        <v>2</v>
      </c>
      <c r="AK57" s="36">
        <v>8</v>
      </c>
      <c r="AL57" s="36">
        <v>8</v>
      </c>
      <c r="AM57" s="36">
        <v>6</v>
      </c>
      <c r="AN57" s="36"/>
      <c r="AO57" s="36">
        <v>13</v>
      </c>
      <c r="AP57" s="36">
        <v>26</v>
      </c>
      <c r="AQ57" s="36">
        <v>25</v>
      </c>
      <c r="AR57" s="36">
        <v>20</v>
      </c>
      <c r="AS57" s="36">
        <v>11</v>
      </c>
      <c r="AT57" s="36">
        <v>7</v>
      </c>
      <c r="AU57" s="36">
        <v>15</v>
      </c>
      <c r="AV57" s="36">
        <v>5</v>
      </c>
      <c r="AW57" s="36">
        <v>7</v>
      </c>
      <c r="AX57" s="36">
        <v>7</v>
      </c>
      <c r="AY57" s="36">
        <v>7</v>
      </c>
      <c r="AZ57" s="36"/>
      <c r="BA57" s="36">
        <v>8</v>
      </c>
      <c r="BB57" s="36">
        <v>9</v>
      </c>
      <c r="BC57" s="36">
        <v>12</v>
      </c>
      <c r="BD57" s="36">
        <v>10</v>
      </c>
      <c r="BE57" s="36">
        <v>8</v>
      </c>
      <c r="BF57" s="36">
        <v>4</v>
      </c>
      <c r="BG57" s="36">
        <v>17</v>
      </c>
      <c r="BH57" s="36">
        <v>13</v>
      </c>
      <c r="BI57" s="36">
        <v>8</v>
      </c>
      <c r="BJ57" s="36">
        <v>9</v>
      </c>
      <c r="BK57" s="36">
        <v>9</v>
      </c>
      <c r="BL57" s="36"/>
      <c r="BM57" s="36"/>
      <c r="BN57" s="36"/>
      <c r="BO57" s="36"/>
      <c r="BP57" s="36"/>
      <c r="BQ57" s="36"/>
      <c r="BR57" s="36"/>
      <c r="BS57" s="36"/>
      <c r="BT57" s="36">
        <v>4</v>
      </c>
      <c r="BU57" s="36">
        <v>5</v>
      </c>
      <c r="BV57" s="36">
        <v>6</v>
      </c>
      <c r="BW57" s="36">
        <v>3</v>
      </c>
      <c r="BX57" s="36"/>
      <c r="BY57" s="36"/>
      <c r="BZ57" s="36"/>
      <c r="CA57" s="36"/>
      <c r="CB57" s="36"/>
      <c r="CC57" s="36"/>
      <c r="CD57" s="36"/>
      <c r="CE57" s="36"/>
      <c r="CF57" s="36"/>
      <c r="CG57" s="36"/>
      <c r="CH57" s="36"/>
      <c r="CI57" s="36"/>
      <c r="CK57" s="4" t="b">
        <f t="shared" si="0"/>
        <v>0</v>
      </c>
    </row>
    <row r="58" spans="1:89" ht="60" customHeight="1">
      <c r="A58" s="32" t="s">
        <v>109</v>
      </c>
      <c r="B58" s="32" t="s">
        <v>127</v>
      </c>
      <c r="C58" s="32" t="s">
        <v>183</v>
      </c>
      <c r="D58" s="34"/>
      <c r="E58" s="34">
        <v>75</v>
      </c>
      <c r="F58" s="34">
        <v>100</v>
      </c>
      <c r="G58" s="34">
        <v>100</v>
      </c>
      <c r="H58" s="34">
        <v>100</v>
      </c>
      <c r="I58" s="34">
        <v>100</v>
      </c>
      <c r="J58" s="34">
        <v>100</v>
      </c>
      <c r="K58" s="34">
        <v>100</v>
      </c>
      <c r="L58" s="34">
        <v>100</v>
      </c>
      <c r="M58" s="34">
        <v>100</v>
      </c>
      <c r="N58" s="34">
        <v>100</v>
      </c>
      <c r="O58" s="34"/>
      <c r="P58" s="34"/>
      <c r="Q58" s="34"/>
      <c r="R58" s="34">
        <v>100</v>
      </c>
      <c r="S58" s="34"/>
      <c r="T58" s="34">
        <v>100</v>
      </c>
      <c r="U58" s="34">
        <v>100</v>
      </c>
      <c r="V58" s="34"/>
      <c r="W58" s="34">
        <v>100</v>
      </c>
      <c r="X58" s="34">
        <v>100</v>
      </c>
      <c r="Y58" s="34"/>
      <c r="Z58" s="34"/>
      <c r="AA58" s="34"/>
      <c r="AB58" s="36"/>
      <c r="AC58" s="36">
        <v>26</v>
      </c>
      <c r="AD58" s="36">
        <v>32</v>
      </c>
      <c r="AE58" s="36">
        <v>45</v>
      </c>
      <c r="AF58" s="36">
        <v>53</v>
      </c>
      <c r="AG58" s="36"/>
      <c r="AH58" s="36">
        <v>41</v>
      </c>
      <c r="AI58" s="36">
        <v>40</v>
      </c>
      <c r="AJ58" s="36">
        <v>23</v>
      </c>
      <c r="AK58" s="36">
        <v>38</v>
      </c>
      <c r="AL58" s="36">
        <v>37</v>
      </c>
      <c r="AM58" s="36">
        <v>38</v>
      </c>
      <c r="AN58" s="36"/>
      <c r="AO58" s="36">
        <v>26</v>
      </c>
      <c r="AP58" s="36">
        <v>41</v>
      </c>
      <c r="AQ58" s="36">
        <v>36</v>
      </c>
      <c r="AR58" s="36">
        <v>35</v>
      </c>
      <c r="AS58" s="36">
        <v>48</v>
      </c>
      <c r="AT58" s="36">
        <v>45</v>
      </c>
      <c r="AU58" s="36">
        <v>51</v>
      </c>
      <c r="AV58" s="36">
        <v>28</v>
      </c>
      <c r="AW58" s="36">
        <v>40</v>
      </c>
      <c r="AX58" s="36">
        <v>35</v>
      </c>
      <c r="AY58" s="36">
        <v>34</v>
      </c>
      <c r="AZ58" s="36"/>
      <c r="BA58" s="36">
        <v>31</v>
      </c>
      <c r="BB58" s="36">
        <v>42</v>
      </c>
      <c r="BC58" s="36">
        <v>20</v>
      </c>
      <c r="BD58" s="36">
        <v>14</v>
      </c>
      <c r="BE58" s="36">
        <v>24</v>
      </c>
      <c r="BF58" s="36">
        <v>23</v>
      </c>
      <c r="BG58" s="36">
        <v>34</v>
      </c>
      <c r="BH58" s="36">
        <v>24</v>
      </c>
      <c r="BI58" s="36">
        <v>27</v>
      </c>
      <c r="BJ58" s="36"/>
      <c r="BK58" s="36">
        <v>21</v>
      </c>
      <c r="BL58" s="36"/>
      <c r="BM58" s="36">
        <v>1</v>
      </c>
      <c r="BN58" s="36">
        <v>9</v>
      </c>
      <c r="BO58" s="36">
        <v>10</v>
      </c>
      <c r="BP58" s="36">
        <v>18</v>
      </c>
      <c r="BQ58" s="36">
        <v>12</v>
      </c>
      <c r="BR58" s="36">
        <v>14</v>
      </c>
      <c r="BS58" s="36">
        <v>11</v>
      </c>
      <c r="BT58" s="36">
        <v>11</v>
      </c>
      <c r="BU58" s="36">
        <v>13</v>
      </c>
      <c r="BV58" s="36">
        <v>20</v>
      </c>
      <c r="BW58" s="36">
        <v>15</v>
      </c>
      <c r="BX58" s="36"/>
      <c r="BY58" s="36"/>
      <c r="BZ58" s="36"/>
      <c r="CA58" s="36"/>
      <c r="CB58" s="36"/>
      <c r="CC58" s="36"/>
      <c r="CD58" s="36">
        <v>1</v>
      </c>
      <c r="CE58" s="36">
        <v>6</v>
      </c>
      <c r="CF58" s="36"/>
      <c r="CG58" s="36">
        <v>4</v>
      </c>
      <c r="CH58" s="36">
        <v>7</v>
      </c>
      <c r="CI58" s="36">
        <v>4</v>
      </c>
      <c r="CK58" s="4" t="b">
        <f t="shared" si="0"/>
        <v>0</v>
      </c>
    </row>
    <row r="59" spans="1:89" ht="75" customHeight="1">
      <c r="A59" s="32" t="s">
        <v>101</v>
      </c>
      <c r="B59" s="32" t="s">
        <v>184</v>
      </c>
      <c r="C59" s="32" t="s">
        <v>185</v>
      </c>
      <c r="D59" s="34"/>
      <c r="E59" s="34">
        <v>100</v>
      </c>
      <c r="F59" s="34">
        <v>100</v>
      </c>
      <c r="G59" s="34"/>
      <c r="H59" s="34">
        <v>100</v>
      </c>
      <c r="I59" s="34">
        <v>100</v>
      </c>
      <c r="J59" s="34">
        <v>100</v>
      </c>
      <c r="K59" s="34">
        <v>100</v>
      </c>
      <c r="L59" s="34">
        <v>100</v>
      </c>
      <c r="M59" s="34">
        <v>100</v>
      </c>
      <c r="N59" s="34">
        <v>100</v>
      </c>
      <c r="O59" s="34">
        <v>100</v>
      </c>
      <c r="P59" s="34"/>
      <c r="Q59" s="34">
        <v>100</v>
      </c>
      <c r="R59" s="34">
        <v>100</v>
      </c>
      <c r="S59" s="34"/>
      <c r="T59" s="34">
        <v>100</v>
      </c>
      <c r="U59" s="34">
        <v>100</v>
      </c>
      <c r="V59" s="34">
        <v>100</v>
      </c>
      <c r="W59" s="34">
        <v>100</v>
      </c>
      <c r="X59" s="34">
        <v>100</v>
      </c>
      <c r="Y59" s="34">
        <v>100</v>
      </c>
      <c r="Z59" s="34">
        <v>100</v>
      </c>
      <c r="AA59" s="34">
        <v>100</v>
      </c>
      <c r="AB59" s="36"/>
      <c r="AC59" s="36">
        <v>16</v>
      </c>
      <c r="AD59" s="36">
        <v>18</v>
      </c>
      <c r="AE59" s="36">
        <v>20</v>
      </c>
      <c r="AF59" s="36">
        <v>21</v>
      </c>
      <c r="AG59" s="36">
        <v>22</v>
      </c>
      <c r="AH59" s="36">
        <v>18</v>
      </c>
      <c r="AI59" s="36">
        <v>18</v>
      </c>
      <c r="AJ59" s="36">
        <v>17</v>
      </c>
      <c r="AK59" s="36">
        <v>16</v>
      </c>
      <c r="AL59" s="36">
        <v>15</v>
      </c>
      <c r="AM59" s="36">
        <v>16</v>
      </c>
      <c r="AN59" s="36"/>
      <c r="AO59" s="36">
        <v>16</v>
      </c>
      <c r="AP59" s="36">
        <v>20</v>
      </c>
      <c r="AQ59" s="36">
        <v>16</v>
      </c>
      <c r="AR59" s="36">
        <v>22</v>
      </c>
      <c r="AS59" s="36">
        <v>20</v>
      </c>
      <c r="AT59" s="36">
        <v>21</v>
      </c>
      <c r="AU59" s="36">
        <v>17</v>
      </c>
      <c r="AV59" s="36">
        <v>16</v>
      </c>
      <c r="AW59" s="36">
        <v>14</v>
      </c>
      <c r="AX59" s="36">
        <v>14</v>
      </c>
      <c r="AY59" s="36">
        <v>14</v>
      </c>
      <c r="AZ59" s="36"/>
      <c r="BA59" s="36"/>
      <c r="BB59" s="36">
        <v>2</v>
      </c>
      <c r="BC59" s="36">
        <v>3</v>
      </c>
      <c r="BD59" s="36">
        <v>3</v>
      </c>
      <c r="BE59" s="36">
        <v>3</v>
      </c>
      <c r="BF59" s="36">
        <v>5</v>
      </c>
      <c r="BG59" s="36">
        <v>1</v>
      </c>
      <c r="BH59" s="36"/>
      <c r="BI59" s="36">
        <v>3</v>
      </c>
      <c r="BJ59" s="36">
        <v>3</v>
      </c>
      <c r="BK59" s="36">
        <v>5</v>
      </c>
      <c r="BL59" s="36"/>
      <c r="BM59" s="36">
        <v>2</v>
      </c>
      <c r="BN59" s="36">
        <v>4</v>
      </c>
      <c r="BO59" s="36">
        <v>3</v>
      </c>
      <c r="BP59" s="36">
        <v>5</v>
      </c>
      <c r="BQ59" s="36">
        <v>4</v>
      </c>
      <c r="BR59" s="36">
        <v>3</v>
      </c>
      <c r="BS59" s="36">
        <v>1</v>
      </c>
      <c r="BT59" s="36">
        <v>1</v>
      </c>
      <c r="BU59" s="36">
        <v>2</v>
      </c>
      <c r="BV59" s="36">
        <v>2</v>
      </c>
      <c r="BW59" s="36">
        <v>6</v>
      </c>
      <c r="BX59" s="36"/>
      <c r="BY59" s="36">
        <v>1</v>
      </c>
      <c r="BZ59" s="36">
        <v>2</v>
      </c>
      <c r="CA59" s="36">
        <v>4</v>
      </c>
      <c r="CB59" s="36">
        <v>3</v>
      </c>
      <c r="CC59" s="36">
        <v>2</v>
      </c>
      <c r="CD59" s="36">
        <v>2</v>
      </c>
      <c r="CE59" s="36"/>
      <c r="CF59" s="36"/>
      <c r="CG59" s="36"/>
      <c r="CH59" s="36"/>
      <c r="CI59" s="36">
        <v>5</v>
      </c>
      <c r="CK59" s="4" t="b">
        <f t="shared" si="0"/>
        <v>0</v>
      </c>
    </row>
    <row r="60" spans="1:89" ht="75" customHeight="1">
      <c r="A60" s="32" t="s">
        <v>87</v>
      </c>
      <c r="B60" s="32" t="s">
        <v>181</v>
      </c>
      <c r="C60" s="32" t="s">
        <v>186</v>
      </c>
      <c r="D60" s="34"/>
      <c r="E60" s="34">
        <v>100</v>
      </c>
      <c r="F60" s="34"/>
      <c r="G60" s="34"/>
      <c r="H60" s="34">
        <v>100</v>
      </c>
      <c r="I60" s="34">
        <v>100</v>
      </c>
      <c r="J60" s="34"/>
      <c r="K60" s="34"/>
      <c r="L60" s="34"/>
      <c r="M60" s="34">
        <v>100</v>
      </c>
      <c r="N60" s="34"/>
      <c r="O60" s="34">
        <v>100</v>
      </c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  <c r="AA60" s="34"/>
      <c r="AB60" s="36">
        <v>23</v>
      </c>
      <c r="AC60" s="36">
        <v>17</v>
      </c>
      <c r="AD60" s="36">
        <v>10</v>
      </c>
      <c r="AE60" s="36">
        <v>3</v>
      </c>
      <c r="AF60" s="36">
        <v>10</v>
      </c>
      <c r="AG60" s="36">
        <v>6</v>
      </c>
      <c r="AH60" s="36"/>
      <c r="AI60" s="36">
        <v>11</v>
      </c>
      <c r="AJ60" s="36">
        <v>4</v>
      </c>
      <c r="AK60" s="36">
        <v>10</v>
      </c>
      <c r="AL60" s="36">
        <v>11</v>
      </c>
      <c r="AM60" s="36">
        <v>6</v>
      </c>
      <c r="AN60" s="36">
        <v>13</v>
      </c>
      <c r="AO60" s="36">
        <v>15</v>
      </c>
      <c r="AP60" s="36">
        <v>20</v>
      </c>
      <c r="AQ60" s="36">
        <v>6</v>
      </c>
      <c r="AR60" s="36">
        <v>12</v>
      </c>
      <c r="AS60" s="36">
        <v>1</v>
      </c>
      <c r="AT60" s="36"/>
      <c r="AU60" s="36">
        <v>5</v>
      </c>
      <c r="AV60" s="36">
        <v>14</v>
      </c>
      <c r="AW60" s="36">
        <v>10</v>
      </c>
      <c r="AX60" s="36">
        <v>9</v>
      </c>
      <c r="AY60" s="36">
        <v>7</v>
      </c>
      <c r="AZ60" s="36">
        <v>13</v>
      </c>
      <c r="BA60" s="36">
        <v>5</v>
      </c>
      <c r="BB60" s="36">
        <v>9</v>
      </c>
      <c r="BC60" s="36">
        <v>12</v>
      </c>
      <c r="BD60" s="36">
        <v>15</v>
      </c>
      <c r="BE60" s="36">
        <v>12</v>
      </c>
      <c r="BF60" s="36"/>
      <c r="BG60" s="36">
        <v>12</v>
      </c>
      <c r="BH60" s="36">
        <v>5</v>
      </c>
      <c r="BI60" s="36">
        <v>13</v>
      </c>
      <c r="BJ60" s="36">
        <v>17</v>
      </c>
      <c r="BK60" s="36">
        <v>20</v>
      </c>
      <c r="BL60" s="36">
        <v>13</v>
      </c>
      <c r="BM60" s="36">
        <v>1</v>
      </c>
      <c r="BN60" s="36">
        <v>10</v>
      </c>
      <c r="BO60" s="36">
        <v>10</v>
      </c>
      <c r="BP60" s="36">
        <v>5</v>
      </c>
      <c r="BQ60" s="36">
        <v>8</v>
      </c>
      <c r="BR60" s="36"/>
      <c r="BS60" s="36">
        <v>14</v>
      </c>
      <c r="BT60" s="36">
        <v>5</v>
      </c>
      <c r="BU60" s="36">
        <v>13</v>
      </c>
      <c r="BV60" s="36">
        <v>9</v>
      </c>
      <c r="BW60" s="36">
        <v>18</v>
      </c>
      <c r="BX60" s="36">
        <v>4</v>
      </c>
      <c r="BY60" s="36">
        <v>60</v>
      </c>
      <c r="BZ60" s="36">
        <v>5</v>
      </c>
      <c r="CA60" s="36">
        <v>4</v>
      </c>
      <c r="CB60" s="36">
        <v>7</v>
      </c>
      <c r="CC60" s="36">
        <v>4</v>
      </c>
      <c r="CD60" s="36"/>
      <c r="CE60" s="36">
        <v>8</v>
      </c>
      <c r="CF60" s="36">
        <v>75</v>
      </c>
      <c r="CG60" s="36">
        <v>4</v>
      </c>
      <c r="CH60" s="36">
        <v>9</v>
      </c>
      <c r="CI60" s="36">
        <v>5</v>
      </c>
      <c r="CK60" s="4" t="b">
        <f t="shared" si="0"/>
        <v>0</v>
      </c>
    </row>
    <row r="61" spans="1:89" ht="75" customHeight="1">
      <c r="A61" s="32" t="s">
        <v>87</v>
      </c>
      <c r="B61" s="32" t="s">
        <v>131</v>
      </c>
      <c r="C61" s="32" t="s">
        <v>187</v>
      </c>
      <c r="D61" s="34"/>
      <c r="E61" s="34"/>
      <c r="F61" s="34"/>
      <c r="G61" s="34"/>
      <c r="H61" s="34"/>
      <c r="I61" s="34"/>
      <c r="J61" s="34"/>
      <c r="K61" s="34"/>
      <c r="L61" s="34"/>
      <c r="M61" s="34"/>
      <c r="N61" s="34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  <c r="AA61" s="34"/>
      <c r="AB61" s="36"/>
      <c r="AC61" s="36"/>
      <c r="AD61" s="36"/>
      <c r="AE61" s="36"/>
      <c r="AF61" s="36"/>
      <c r="AG61" s="36"/>
      <c r="AH61" s="36">
        <v>11</v>
      </c>
      <c r="AI61" s="36"/>
      <c r="AJ61" s="36"/>
      <c r="AK61" s="36"/>
      <c r="AL61" s="36"/>
      <c r="AM61" s="36"/>
      <c r="AN61" s="36"/>
      <c r="AO61" s="36"/>
      <c r="AP61" s="36"/>
      <c r="AQ61" s="36"/>
      <c r="AR61" s="36"/>
      <c r="AS61" s="36"/>
      <c r="AT61" s="36">
        <v>9</v>
      </c>
      <c r="AU61" s="36"/>
      <c r="AV61" s="36"/>
      <c r="AW61" s="36"/>
      <c r="AX61" s="36"/>
      <c r="AY61" s="36"/>
      <c r="AZ61" s="36"/>
      <c r="BA61" s="36"/>
      <c r="BB61" s="36"/>
      <c r="BC61" s="36"/>
      <c r="BD61" s="36"/>
      <c r="BE61" s="36"/>
      <c r="BF61" s="36">
        <v>9</v>
      </c>
      <c r="BG61" s="36"/>
      <c r="BH61" s="36"/>
      <c r="BI61" s="36"/>
      <c r="BJ61" s="36"/>
      <c r="BK61" s="36"/>
      <c r="BL61" s="36"/>
      <c r="BM61" s="36"/>
      <c r="BN61" s="36"/>
      <c r="BO61" s="36"/>
      <c r="BP61" s="36"/>
      <c r="BQ61" s="36"/>
      <c r="BR61" s="36">
        <v>12</v>
      </c>
      <c r="BS61" s="36"/>
      <c r="BT61" s="36"/>
      <c r="BU61" s="36"/>
      <c r="BV61" s="36"/>
      <c r="BW61" s="36"/>
      <c r="BX61" s="36"/>
      <c r="BY61" s="36"/>
      <c r="BZ61" s="36"/>
      <c r="CA61" s="36"/>
      <c r="CB61" s="36"/>
      <c r="CC61" s="36"/>
      <c r="CD61" s="36">
        <v>3</v>
      </c>
      <c r="CE61" s="36"/>
      <c r="CF61" s="36"/>
      <c r="CG61" s="36"/>
      <c r="CH61" s="36"/>
      <c r="CI61" s="36"/>
      <c r="CK61" s="4" t="b">
        <f t="shared" si="0"/>
        <v>0</v>
      </c>
    </row>
    <row r="62" spans="1:89" ht="105" customHeight="1">
      <c r="A62" s="32" t="s">
        <v>87</v>
      </c>
      <c r="B62" s="32" t="s">
        <v>188</v>
      </c>
      <c r="C62" s="32" t="s">
        <v>189</v>
      </c>
      <c r="D62" s="34"/>
      <c r="E62" s="34"/>
      <c r="F62" s="34"/>
      <c r="G62" s="34"/>
      <c r="H62" s="34"/>
      <c r="I62" s="34"/>
      <c r="J62" s="34"/>
      <c r="K62" s="34"/>
      <c r="L62" s="34"/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  <c r="AA62" s="34"/>
      <c r="AB62" s="36"/>
      <c r="AC62" s="36"/>
      <c r="AD62" s="36"/>
      <c r="AE62" s="36"/>
      <c r="AF62" s="36"/>
      <c r="AG62" s="36"/>
      <c r="AH62" s="36"/>
      <c r="AI62" s="36"/>
      <c r="AJ62" s="36"/>
      <c r="AK62" s="36"/>
      <c r="AL62" s="36"/>
      <c r="AM62" s="36"/>
      <c r="AN62" s="36"/>
      <c r="AO62" s="36"/>
      <c r="AP62" s="36"/>
      <c r="AQ62" s="36"/>
      <c r="AR62" s="36"/>
      <c r="AS62" s="36"/>
      <c r="AT62" s="36"/>
      <c r="AU62" s="36"/>
      <c r="AV62" s="36"/>
      <c r="AW62" s="36"/>
      <c r="AX62" s="36"/>
      <c r="AY62" s="36"/>
      <c r="AZ62" s="36"/>
      <c r="BA62" s="36"/>
      <c r="BB62" s="36"/>
      <c r="BC62" s="36"/>
      <c r="BD62" s="36"/>
      <c r="BE62" s="36"/>
      <c r="BF62" s="36"/>
      <c r="BG62" s="36"/>
      <c r="BH62" s="36"/>
      <c r="BI62" s="36">
        <v>10</v>
      </c>
      <c r="BJ62" s="36"/>
      <c r="BK62" s="36"/>
      <c r="BL62" s="36"/>
      <c r="BM62" s="36"/>
      <c r="BN62" s="36"/>
      <c r="BO62" s="36"/>
      <c r="BP62" s="36"/>
      <c r="BQ62" s="36"/>
      <c r="BR62" s="36"/>
      <c r="BS62" s="36"/>
      <c r="BT62" s="36"/>
      <c r="BU62" s="36">
        <v>2</v>
      </c>
      <c r="BV62" s="36"/>
      <c r="BW62" s="36"/>
      <c r="BX62" s="36"/>
      <c r="BY62" s="36"/>
      <c r="BZ62" s="36"/>
      <c r="CA62" s="36"/>
      <c r="CB62" s="36"/>
      <c r="CC62" s="36"/>
      <c r="CD62" s="36"/>
      <c r="CE62" s="36"/>
      <c r="CF62" s="36"/>
      <c r="CG62" s="36"/>
      <c r="CH62" s="36"/>
      <c r="CI62" s="36"/>
      <c r="CK62" s="4" t="b">
        <f t="shared" si="0"/>
        <v>0</v>
      </c>
    </row>
    <row r="63" spans="1:89" ht="60" customHeight="1">
      <c r="A63" s="32" t="s">
        <v>87</v>
      </c>
      <c r="B63" s="32" t="s">
        <v>90</v>
      </c>
      <c r="C63" s="32" t="s">
        <v>190</v>
      </c>
      <c r="D63" s="34"/>
      <c r="E63" s="34"/>
      <c r="F63" s="34">
        <v>100</v>
      </c>
      <c r="G63" s="34"/>
      <c r="H63" s="34"/>
      <c r="I63" s="34"/>
      <c r="J63" s="34"/>
      <c r="K63" s="34"/>
      <c r="L63" s="34">
        <v>100</v>
      </c>
      <c r="M63" s="34"/>
      <c r="N63" s="34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  <c r="AA63" s="34"/>
      <c r="AB63" s="36"/>
      <c r="AC63" s="36"/>
      <c r="AD63" s="36">
        <v>4</v>
      </c>
      <c r="AE63" s="36"/>
      <c r="AF63" s="36"/>
      <c r="AG63" s="36"/>
      <c r="AH63" s="36"/>
      <c r="AI63" s="36">
        <v>5</v>
      </c>
      <c r="AJ63" s="36">
        <v>8</v>
      </c>
      <c r="AK63" s="36"/>
      <c r="AL63" s="36">
        <v>6</v>
      </c>
      <c r="AM63" s="36"/>
      <c r="AN63" s="36"/>
      <c r="AO63" s="36"/>
      <c r="AP63" s="36"/>
      <c r="AQ63" s="36"/>
      <c r="AR63" s="36"/>
      <c r="AS63" s="36"/>
      <c r="AT63" s="36"/>
      <c r="AU63" s="36">
        <v>9</v>
      </c>
      <c r="AV63" s="36">
        <v>3</v>
      </c>
      <c r="AW63" s="36"/>
      <c r="AX63" s="36">
        <v>8</v>
      </c>
      <c r="AY63" s="36"/>
      <c r="AZ63" s="36"/>
      <c r="BA63" s="36"/>
      <c r="BB63" s="36"/>
      <c r="BC63" s="36"/>
      <c r="BD63" s="36"/>
      <c r="BE63" s="36"/>
      <c r="BF63" s="36"/>
      <c r="BG63" s="36"/>
      <c r="BH63" s="36"/>
      <c r="BI63" s="36"/>
      <c r="BJ63" s="36"/>
      <c r="BK63" s="36"/>
      <c r="BL63" s="36"/>
      <c r="BM63" s="36"/>
      <c r="BN63" s="36"/>
      <c r="BO63" s="36"/>
      <c r="BP63" s="36"/>
      <c r="BQ63" s="36"/>
      <c r="BR63" s="36"/>
      <c r="BS63" s="36"/>
      <c r="BT63" s="36"/>
      <c r="BU63" s="36"/>
      <c r="BV63" s="36"/>
      <c r="BW63" s="36"/>
      <c r="BX63" s="36"/>
      <c r="BY63" s="36"/>
      <c r="BZ63" s="36"/>
      <c r="CA63" s="36"/>
      <c r="CB63" s="36"/>
      <c r="CC63" s="36"/>
      <c r="CD63" s="36"/>
      <c r="CE63" s="36"/>
      <c r="CF63" s="36"/>
      <c r="CG63" s="36"/>
      <c r="CH63" s="36"/>
      <c r="CI63" s="36"/>
      <c r="CK63" s="4" t="b">
        <f t="shared" si="0"/>
        <v>0</v>
      </c>
    </row>
    <row r="64" spans="1:89" ht="105" customHeight="1">
      <c r="A64" s="32" t="s">
        <v>101</v>
      </c>
      <c r="B64" s="32" t="s">
        <v>148</v>
      </c>
      <c r="C64" s="32" t="s">
        <v>191</v>
      </c>
      <c r="D64" s="34"/>
      <c r="E64" s="34"/>
      <c r="F64" s="34">
        <v>100</v>
      </c>
      <c r="G64" s="34">
        <v>100</v>
      </c>
      <c r="H64" s="34">
        <v>100</v>
      </c>
      <c r="I64" s="34">
        <v>100</v>
      </c>
      <c r="J64" s="34">
        <v>100</v>
      </c>
      <c r="K64" s="34">
        <v>100</v>
      </c>
      <c r="L64" s="34">
        <v>100</v>
      </c>
      <c r="M64" s="34">
        <v>100</v>
      </c>
      <c r="N64" s="34">
        <v>100</v>
      </c>
      <c r="O64" s="34">
        <v>100</v>
      </c>
      <c r="P64" s="34"/>
      <c r="Q64" s="34"/>
      <c r="R64" s="34">
        <v>100</v>
      </c>
      <c r="S64" s="34">
        <v>50</v>
      </c>
      <c r="T64" s="34">
        <v>100</v>
      </c>
      <c r="U64" s="34">
        <v>100</v>
      </c>
      <c r="V64" s="34">
        <v>100</v>
      </c>
      <c r="W64" s="34">
        <v>100</v>
      </c>
      <c r="X64" s="34">
        <v>100</v>
      </c>
      <c r="Y64" s="34">
        <v>100</v>
      </c>
      <c r="Z64" s="34"/>
      <c r="AA64" s="34">
        <v>100</v>
      </c>
      <c r="AB64" s="36"/>
      <c r="AC64" s="36">
        <v>64</v>
      </c>
      <c r="AD64" s="36">
        <v>88</v>
      </c>
      <c r="AE64" s="36">
        <v>71</v>
      </c>
      <c r="AF64" s="36">
        <v>74</v>
      </c>
      <c r="AG64" s="36">
        <v>65</v>
      </c>
      <c r="AH64" s="36">
        <v>48</v>
      </c>
      <c r="AI64" s="36">
        <v>75</v>
      </c>
      <c r="AJ64" s="36">
        <v>65</v>
      </c>
      <c r="AK64" s="36">
        <v>80</v>
      </c>
      <c r="AL64" s="36">
        <v>88</v>
      </c>
      <c r="AM64" s="36">
        <v>65</v>
      </c>
      <c r="AN64" s="36"/>
      <c r="AO64" s="36">
        <v>56</v>
      </c>
      <c r="AP64" s="36">
        <v>77</v>
      </c>
      <c r="AQ64" s="36">
        <v>55</v>
      </c>
      <c r="AR64" s="36">
        <v>64</v>
      </c>
      <c r="AS64" s="36">
        <v>55</v>
      </c>
      <c r="AT64" s="36">
        <v>38</v>
      </c>
      <c r="AU64" s="36">
        <v>70</v>
      </c>
      <c r="AV64" s="36">
        <v>68</v>
      </c>
      <c r="AW64" s="36">
        <v>75</v>
      </c>
      <c r="AX64" s="36">
        <v>75</v>
      </c>
      <c r="AY64" s="36">
        <v>54</v>
      </c>
      <c r="AZ64" s="36"/>
      <c r="BA64" s="36">
        <v>34</v>
      </c>
      <c r="BB64" s="36">
        <v>70</v>
      </c>
      <c r="BC64" s="36">
        <v>36</v>
      </c>
      <c r="BD64" s="36">
        <v>32</v>
      </c>
      <c r="BE64" s="36">
        <v>31</v>
      </c>
      <c r="BF64" s="36">
        <v>31</v>
      </c>
      <c r="BG64" s="36">
        <v>37</v>
      </c>
      <c r="BH64" s="36">
        <v>24</v>
      </c>
      <c r="BI64" s="36">
        <v>36</v>
      </c>
      <c r="BJ64" s="36">
        <v>83</v>
      </c>
      <c r="BK64" s="36">
        <v>20</v>
      </c>
      <c r="BL64" s="36"/>
      <c r="BM64" s="36"/>
      <c r="BN64" s="36">
        <v>2</v>
      </c>
      <c r="BO64" s="36">
        <v>10</v>
      </c>
      <c r="BP64" s="36">
        <v>33</v>
      </c>
      <c r="BQ64" s="36">
        <v>28</v>
      </c>
      <c r="BR64" s="36">
        <v>20</v>
      </c>
      <c r="BS64" s="36">
        <v>15</v>
      </c>
      <c r="BT64" s="36">
        <v>14</v>
      </c>
      <c r="BU64" s="36">
        <v>21</v>
      </c>
      <c r="BV64" s="36">
        <v>37</v>
      </c>
      <c r="BW64" s="36">
        <v>15</v>
      </c>
      <c r="BX64" s="36"/>
      <c r="BY64" s="36"/>
      <c r="BZ64" s="36"/>
      <c r="CA64" s="36"/>
      <c r="CB64" s="36"/>
      <c r="CC64" s="36">
        <v>2</v>
      </c>
      <c r="CD64" s="36">
        <v>1</v>
      </c>
      <c r="CE64" s="36">
        <v>3</v>
      </c>
      <c r="CF64" s="36">
        <v>2</v>
      </c>
      <c r="CG64" s="36">
        <v>2</v>
      </c>
      <c r="CH64" s="36">
        <v>7</v>
      </c>
      <c r="CI64" s="36">
        <v>2</v>
      </c>
      <c r="CK64" s="4" t="b">
        <f t="shared" si="0"/>
        <v>0</v>
      </c>
    </row>
    <row r="65" spans="1:89" ht="60" customHeight="1">
      <c r="A65" s="32" t="s">
        <v>101</v>
      </c>
      <c r="B65" s="32" t="s">
        <v>192</v>
      </c>
      <c r="C65" s="32" t="s">
        <v>193</v>
      </c>
      <c r="D65" s="34"/>
      <c r="E65" s="34"/>
      <c r="F65" s="34">
        <v>100</v>
      </c>
      <c r="G65" s="34">
        <v>100</v>
      </c>
      <c r="H65" s="34">
        <v>100</v>
      </c>
      <c r="I65" s="34">
        <v>100</v>
      </c>
      <c r="J65" s="34">
        <v>100</v>
      </c>
      <c r="K65" s="34">
        <v>75</v>
      </c>
      <c r="L65" s="34">
        <v>100</v>
      </c>
      <c r="M65" s="34">
        <v>100</v>
      </c>
      <c r="N65" s="34">
        <v>100</v>
      </c>
      <c r="O65" s="34">
        <v>100</v>
      </c>
      <c r="P65" s="34"/>
      <c r="Q65" s="34"/>
      <c r="R65" s="34">
        <v>50</v>
      </c>
      <c r="S65" s="34">
        <v>75</v>
      </c>
      <c r="T65" s="34">
        <v>100</v>
      </c>
      <c r="U65" s="34">
        <v>100</v>
      </c>
      <c r="V65" s="34">
        <v>100</v>
      </c>
      <c r="W65" s="34"/>
      <c r="X65" s="34">
        <v>100</v>
      </c>
      <c r="Y65" s="34"/>
      <c r="Z65" s="34"/>
      <c r="AA65" s="34"/>
      <c r="AB65" s="36"/>
      <c r="AC65" s="36">
        <v>30</v>
      </c>
      <c r="AD65" s="36">
        <v>14</v>
      </c>
      <c r="AE65" s="36">
        <v>37</v>
      </c>
      <c r="AF65" s="36">
        <v>86</v>
      </c>
      <c r="AG65" s="36">
        <v>37</v>
      </c>
      <c r="AH65" s="36">
        <v>9</v>
      </c>
      <c r="AI65" s="36">
        <v>34</v>
      </c>
      <c r="AJ65" s="36">
        <v>53</v>
      </c>
      <c r="AK65" s="36">
        <v>44</v>
      </c>
      <c r="AL65" s="36">
        <v>45</v>
      </c>
      <c r="AM65" s="36">
        <v>48</v>
      </c>
      <c r="AN65" s="36"/>
      <c r="AO65" s="36">
        <v>7</v>
      </c>
      <c r="AP65" s="36">
        <v>15</v>
      </c>
      <c r="AQ65" s="36">
        <v>39</v>
      </c>
      <c r="AR65" s="36">
        <v>82</v>
      </c>
      <c r="AS65" s="36">
        <v>40</v>
      </c>
      <c r="AT65" s="36">
        <v>9</v>
      </c>
      <c r="AU65" s="36">
        <v>8</v>
      </c>
      <c r="AV65" s="36">
        <v>44</v>
      </c>
      <c r="AW65" s="36">
        <v>45</v>
      </c>
      <c r="AX65" s="36">
        <v>44</v>
      </c>
      <c r="AY65" s="36">
        <v>37</v>
      </c>
      <c r="AZ65" s="36"/>
      <c r="BA65" s="36">
        <v>21</v>
      </c>
      <c r="BB65" s="36">
        <v>28</v>
      </c>
      <c r="BC65" s="36">
        <v>23</v>
      </c>
      <c r="BD65" s="36">
        <v>72</v>
      </c>
      <c r="BE65" s="36">
        <v>24</v>
      </c>
      <c r="BF65" s="36">
        <v>24</v>
      </c>
      <c r="BG65" s="36">
        <v>23</v>
      </c>
      <c r="BH65" s="36">
        <v>18</v>
      </c>
      <c r="BI65" s="36">
        <v>24</v>
      </c>
      <c r="BJ65" s="36">
        <v>23</v>
      </c>
      <c r="BK65" s="36">
        <v>14</v>
      </c>
      <c r="BL65" s="36"/>
      <c r="BM65" s="36">
        <v>2</v>
      </c>
      <c r="BN65" s="36">
        <v>1</v>
      </c>
      <c r="BO65" s="36">
        <v>5</v>
      </c>
      <c r="BP65" s="36">
        <v>12</v>
      </c>
      <c r="BQ65" s="36">
        <v>15</v>
      </c>
      <c r="BR65" s="36">
        <v>4</v>
      </c>
      <c r="BS65" s="36">
        <v>6</v>
      </c>
      <c r="BT65" s="36">
        <v>8</v>
      </c>
      <c r="BU65" s="36">
        <v>19</v>
      </c>
      <c r="BV65" s="36">
        <v>18</v>
      </c>
      <c r="BW65" s="36">
        <v>4</v>
      </c>
      <c r="BX65" s="36"/>
      <c r="BY65" s="36"/>
      <c r="BZ65" s="36"/>
      <c r="CA65" s="36"/>
      <c r="CB65" s="36"/>
      <c r="CC65" s="36">
        <v>1</v>
      </c>
      <c r="CD65" s="36">
        <v>1</v>
      </c>
      <c r="CE65" s="36">
        <v>1</v>
      </c>
      <c r="CF65" s="36"/>
      <c r="CG65" s="36">
        <v>2</v>
      </c>
      <c r="CH65" s="36">
        <v>3</v>
      </c>
      <c r="CI65" s="36"/>
      <c r="CK65" s="4" t="b">
        <f t="shared" si="0"/>
        <v>0</v>
      </c>
    </row>
    <row r="66" spans="1:89" ht="60" customHeight="1">
      <c r="A66" s="32" t="s">
        <v>109</v>
      </c>
      <c r="B66" s="32" t="s">
        <v>194</v>
      </c>
      <c r="C66" s="32" t="s">
        <v>195</v>
      </c>
      <c r="D66" s="34"/>
      <c r="E66" s="34">
        <v>100</v>
      </c>
      <c r="F66" s="34">
        <v>50</v>
      </c>
      <c r="G66" s="34">
        <v>100</v>
      </c>
      <c r="H66" s="34">
        <v>100</v>
      </c>
      <c r="I66" s="34">
        <v>100</v>
      </c>
      <c r="J66" s="34">
        <v>100</v>
      </c>
      <c r="K66" s="34">
        <v>75</v>
      </c>
      <c r="L66" s="34">
        <v>100</v>
      </c>
      <c r="M66" s="34"/>
      <c r="N66" s="34">
        <v>100</v>
      </c>
      <c r="O66" s="34"/>
      <c r="P66" s="34"/>
      <c r="Q66" s="34">
        <v>100</v>
      </c>
      <c r="R66" s="34"/>
      <c r="S66" s="34"/>
      <c r="T66" s="34"/>
      <c r="U66" s="34"/>
      <c r="V66" s="34"/>
      <c r="W66" s="34"/>
      <c r="X66" s="34">
        <v>100</v>
      </c>
      <c r="Y66" s="34"/>
      <c r="Z66" s="34"/>
      <c r="AA66" s="34"/>
      <c r="AB66" s="36"/>
      <c r="AC66" s="36">
        <v>53</v>
      </c>
      <c r="AD66" s="36">
        <v>16</v>
      </c>
      <c r="AE66" s="36">
        <v>15</v>
      </c>
      <c r="AF66" s="36">
        <v>25</v>
      </c>
      <c r="AG66" s="36">
        <v>33</v>
      </c>
      <c r="AH66" s="36">
        <v>18</v>
      </c>
      <c r="AI66" s="36">
        <v>13</v>
      </c>
      <c r="AJ66" s="36">
        <v>18</v>
      </c>
      <c r="AK66" s="36"/>
      <c r="AL66" s="36">
        <v>12</v>
      </c>
      <c r="AM66" s="36"/>
      <c r="AN66" s="36"/>
      <c r="AO66" s="36">
        <v>52</v>
      </c>
      <c r="AP66" s="36">
        <v>19</v>
      </c>
      <c r="AQ66" s="36">
        <v>25</v>
      </c>
      <c r="AR66" s="36">
        <v>16</v>
      </c>
      <c r="AS66" s="36">
        <v>29</v>
      </c>
      <c r="AT66" s="36">
        <v>18</v>
      </c>
      <c r="AU66" s="36">
        <v>13</v>
      </c>
      <c r="AV66" s="36">
        <v>19</v>
      </c>
      <c r="AW66" s="36"/>
      <c r="AX66" s="36">
        <v>18</v>
      </c>
      <c r="AY66" s="36"/>
      <c r="AZ66" s="36"/>
      <c r="BA66" s="36">
        <v>2</v>
      </c>
      <c r="BB66" s="36">
        <v>1</v>
      </c>
      <c r="BC66" s="36">
        <v>4</v>
      </c>
      <c r="BD66" s="36">
        <v>8</v>
      </c>
      <c r="BE66" s="36">
        <v>5</v>
      </c>
      <c r="BF66" s="36">
        <v>8</v>
      </c>
      <c r="BG66" s="36"/>
      <c r="BH66" s="36">
        <v>5</v>
      </c>
      <c r="BI66" s="36"/>
      <c r="BJ66" s="36">
        <v>6</v>
      </c>
      <c r="BK66" s="36"/>
      <c r="BL66" s="36"/>
      <c r="BM66" s="36"/>
      <c r="BN66" s="36"/>
      <c r="BO66" s="36"/>
      <c r="BP66" s="36"/>
      <c r="BQ66" s="36">
        <v>3</v>
      </c>
      <c r="BR66" s="36"/>
      <c r="BS66" s="36"/>
      <c r="BT66" s="36">
        <v>1</v>
      </c>
      <c r="BU66" s="36"/>
      <c r="BV66" s="36"/>
      <c r="BW66" s="36"/>
      <c r="BX66" s="36"/>
      <c r="BY66" s="36"/>
      <c r="BZ66" s="36"/>
      <c r="CA66" s="36"/>
      <c r="CB66" s="36"/>
      <c r="CC66" s="36"/>
      <c r="CD66" s="36"/>
      <c r="CE66" s="36"/>
      <c r="CF66" s="36"/>
      <c r="CG66" s="36"/>
      <c r="CH66" s="36"/>
      <c r="CI66" s="36"/>
      <c r="CK66" s="4" t="b">
        <f t="shared" si="0"/>
        <v>0</v>
      </c>
    </row>
    <row r="67" spans="1:89" ht="75" customHeight="1">
      <c r="A67" s="32" t="s">
        <v>124</v>
      </c>
      <c r="B67" s="32" t="s">
        <v>135</v>
      </c>
      <c r="C67" s="32" t="s">
        <v>196</v>
      </c>
      <c r="D67" s="34"/>
      <c r="E67" s="34"/>
      <c r="F67" s="34">
        <v>75</v>
      </c>
      <c r="G67" s="34">
        <v>100</v>
      </c>
      <c r="H67" s="34">
        <v>100</v>
      </c>
      <c r="I67" s="34">
        <v>100</v>
      </c>
      <c r="J67" s="34">
        <v>100</v>
      </c>
      <c r="K67" s="34">
        <v>75</v>
      </c>
      <c r="L67" s="34"/>
      <c r="M67" s="34">
        <v>88.89</v>
      </c>
      <c r="N67" s="34">
        <v>100</v>
      </c>
      <c r="O67" s="34">
        <v>87.5</v>
      </c>
      <c r="P67" s="34"/>
      <c r="Q67" s="34"/>
      <c r="R67" s="34">
        <v>75</v>
      </c>
      <c r="S67" s="34"/>
      <c r="T67" s="34">
        <v>100</v>
      </c>
      <c r="U67" s="34">
        <v>100</v>
      </c>
      <c r="V67" s="34">
        <v>100</v>
      </c>
      <c r="W67" s="34">
        <v>75</v>
      </c>
      <c r="X67" s="34"/>
      <c r="Y67" s="34">
        <v>100</v>
      </c>
      <c r="Z67" s="34">
        <v>100</v>
      </c>
      <c r="AA67" s="34">
        <v>100</v>
      </c>
      <c r="AB67" s="36"/>
      <c r="AC67" s="36">
        <v>64</v>
      </c>
      <c r="AD67" s="36">
        <v>26</v>
      </c>
      <c r="AE67" s="36">
        <v>37</v>
      </c>
      <c r="AF67" s="36">
        <v>44</v>
      </c>
      <c r="AG67" s="36">
        <v>42</v>
      </c>
      <c r="AH67" s="36">
        <v>32</v>
      </c>
      <c r="AI67" s="36">
        <v>21</v>
      </c>
      <c r="AJ67" s="36"/>
      <c r="AK67" s="36">
        <v>39</v>
      </c>
      <c r="AL67" s="36">
        <v>29</v>
      </c>
      <c r="AM67" s="36">
        <v>53</v>
      </c>
      <c r="AN67" s="36"/>
      <c r="AO67" s="36">
        <v>2801</v>
      </c>
      <c r="AP67" s="36">
        <v>25</v>
      </c>
      <c r="AQ67" s="36">
        <v>40</v>
      </c>
      <c r="AR67" s="36">
        <v>46</v>
      </c>
      <c r="AS67" s="36">
        <v>27</v>
      </c>
      <c r="AT67" s="36">
        <v>40</v>
      </c>
      <c r="AU67" s="36">
        <v>30</v>
      </c>
      <c r="AV67" s="36"/>
      <c r="AW67" s="36">
        <v>37</v>
      </c>
      <c r="AX67" s="36">
        <v>26</v>
      </c>
      <c r="AY67" s="36">
        <v>45</v>
      </c>
      <c r="AZ67" s="36"/>
      <c r="BA67" s="36">
        <v>29</v>
      </c>
      <c r="BB67" s="36">
        <v>24</v>
      </c>
      <c r="BC67" s="36">
        <v>21</v>
      </c>
      <c r="BD67" s="36">
        <v>20</v>
      </c>
      <c r="BE67" s="36">
        <v>21</v>
      </c>
      <c r="BF67" s="36">
        <v>13</v>
      </c>
      <c r="BG67" s="36">
        <v>17</v>
      </c>
      <c r="BH67" s="36"/>
      <c r="BI67" s="36">
        <v>14</v>
      </c>
      <c r="BJ67" s="36">
        <v>22</v>
      </c>
      <c r="BK67" s="36">
        <v>22</v>
      </c>
      <c r="BL67" s="36"/>
      <c r="BM67" s="36"/>
      <c r="BN67" s="36">
        <v>2</v>
      </c>
      <c r="BO67" s="36">
        <v>3</v>
      </c>
      <c r="BP67" s="36">
        <v>11</v>
      </c>
      <c r="BQ67" s="36">
        <v>12</v>
      </c>
      <c r="BR67" s="36">
        <v>11</v>
      </c>
      <c r="BS67" s="36">
        <v>5</v>
      </c>
      <c r="BT67" s="36"/>
      <c r="BU67" s="36">
        <v>10</v>
      </c>
      <c r="BV67" s="36">
        <v>10</v>
      </c>
      <c r="BW67" s="36">
        <v>10</v>
      </c>
      <c r="BX67" s="36"/>
      <c r="BY67" s="36"/>
      <c r="BZ67" s="36"/>
      <c r="CA67" s="36"/>
      <c r="CB67" s="36"/>
      <c r="CC67" s="36">
        <v>2</v>
      </c>
      <c r="CD67" s="36"/>
      <c r="CE67" s="36">
        <v>1</v>
      </c>
      <c r="CF67" s="36"/>
      <c r="CG67" s="36">
        <v>5</v>
      </c>
      <c r="CH67" s="36">
        <v>4</v>
      </c>
      <c r="CI67" s="36">
        <v>22</v>
      </c>
      <c r="CK67" s="4" t="b">
        <f t="shared" si="0"/>
        <v>0</v>
      </c>
    </row>
    <row r="68" spans="1:89" ht="75" customHeight="1">
      <c r="A68" s="32" t="s">
        <v>87</v>
      </c>
      <c r="B68" s="32" t="s">
        <v>155</v>
      </c>
      <c r="C68" s="32" t="s">
        <v>197</v>
      </c>
      <c r="D68" s="34"/>
      <c r="E68" s="34"/>
      <c r="F68" s="34">
        <v>100</v>
      </c>
      <c r="G68" s="34">
        <v>100</v>
      </c>
      <c r="H68" s="34">
        <v>200</v>
      </c>
      <c r="I68" s="34">
        <v>100</v>
      </c>
      <c r="J68" s="34"/>
      <c r="K68" s="34">
        <v>75</v>
      </c>
      <c r="L68" s="34">
        <v>100</v>
      </c>
      <c r="M68" s="34">
        <v>100</v>
      </c>
      <c r="N68" s="34">
        <v>100</v>
      </c>
      <c r="O68" s="34">
        <v>100</v>
      </c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  <c r="AA68" s="34"/>
      <c r="AB68" s="36"/>
      <c r="AC68" s="36">
        <v>91</v>
      </c>
      <c r="AD68" s="36">
        <v>16</v>
      </c>
      <c r="AE68" s="36">
        <v>12</v>
      </c>
      <c r="AF68" s="36">
        <v>50</v>
      </c>
      <c r="AG68" s="36">
        <v>16</v>
      </c>
      <c r="AH68" s="36"/>
      <c r="AI68" s="36">
        <v>20</v>
      </c>
      <c r="AJ68" s="36">
        <v>21</v>
      </c>
      <c r="AK68" s="36">
        <v>14</v>
      </c>
      <c r="AL68" s="36">
        <v>32</v>
      </c>
      <c r="AM68" s="36">
        <v>15</v>
      </c>
      <c r="AN68" s="36"/>
      <c r="AO68" s="36">
        <v>96</v>
      </c>
      <c r="AP68" s="36">
        <v>17</v>
      </c>
      <c r="AQ68" s="36">
        <v>29</v>
      </c>
      <c r="AR68" s="36">
        <v>42</v>
      </c>
      <c r="AS68" s="36">
        <v>12</v>
      </c>
      <c r="AT68" s="36"/>
      <c r="AU68" s="36">
        <v>16</v>
      </c>
      <c r="AV68" s="36">
        <v>24</v>
      </c>
      <c r="AW68" s="36">
        <v>20</v>
      </c>
      <c r="AX68" s="36">
        <v>21</v>
      </c>
      <c r="AY68" s="36">
        <v>12</v>
      </c>
      <c r="AZ68" s="36"/>
      <c r="BA68" s="36">
        <v>43</v>
      </c>
      <c r="BB68" s="36">
        <v>12</v>
      </c>
      <c r="BC68" s="36">
        <v>13</v>
      </c>
      <c r="BD68" s="36">
        <v>4</v>
      </c>
      <c r="BE68" s="36">
        <v>12</v>
      </c>
      <c r="BF68" s="36"/>
      <c r="BG68" s="36">
        <v>8</v>
      </c>
      <c r="BH68" s="36">
        <v>7</v>
      </c>
      <c r="BI68" s="36">
        <v>9</v>
      </c>
      <c r="BJ68" s="36">
        <v>10</v>
      </c>
      <c r="BK68" s="36">
        <v>12</v>
      </c>
      <c r="BL68" s="36"/>
      <c r="BM68" s="36"/>
      <c r="BN68" s="36">
        <v>1</v>
      </c>
      <c r="BO68" s="36">
        <v>2</v>
      </c>
      <c r="BP68" s="36">
        <v>6</v>
      </c>
      <c r="BQ68" s="36">
        <v>4</v>
      </c>
      <c r="BR68" s="36"/>
      <c r="BS68" s="36">
        <v>2</v>
      </c>
      <c r="BT68" s="36">
        <v>3</v>
      </c>
      <c r="BU68" s="36">
        <v>5</v>
      </c>
      <c r="BV68" s="36">
        <v>4</v>
      </c>
      <c r="BW68" s="36">
        <v>2</v>
      </c>
      <c r="BX68" s="36"/>
      <c r="BY68" s="36"/>
      <c r="BZ68" s="36"/>
      <c r="CA68" s="36"/>
      <c r="CB68" s="36"/>
      <c r="CC68" s="36"/>
      <c r="CD68" s="36"/>
      <c r="CE68" s="36"/>
      <c r="CF68" s="36"/>
      <c r="CG68" s="36"/>
      <c r="CH68" s="36"/>
      <c r="CI68" s="36">
        <v>1</v>
      </c>
      <c r="CK68" s="4" t="b">
        <f t="shared" ref="CK68:CK131" si="1">ISNUMBER(D68)</f>
        <v>0</v>
      </c>
    </row>
    <row r="69" spans="1:89" ht="60" customHeight="1">
      <c r="A69" s="32" t="s">
        <v>144</v>
      </c>
      <c r="B69" s="32" t="s">
        <v>198</v>
      </c>
      <c r="C69" s="32" t="s">
        <v>199</v>
      </c>
      <c r="D69" s="34"/>
      <c r="E69" s="34">
        <v>40</v>
      </c>
      <c r="F69" s="34">
        <v>100</v>
      </c>
      <c r="G69" s="34">
        <v>100</v>
      </c>
      <c r="H69" s="34">
        <v>100</v>
      </c>
      <c r="I69" s="34">
        <v>100</v>
      </c>
      <c r="J69" s="34">
        <v>80</v>
      </c>
      <c r="K69" s="34">
        <v>75</v>
      </c>
      <c r="L69" s="34">
        <v>75</v>
      </c>
      <c r="M69" s="34">
        <v>100</v>
      </c>
      <c r="N69" s="34">
        <v>100</v>
      </c>
      <c r="O69" s="34">
        <v>100</v>
      </c>
      <c r="P69" s="34"/>
      <c r="Q69" s="34">
        <v>40</v>
      </c>
      <c r="R69" s="34">
        <v>100</v>
      </c>
      <c r="S69" s="34">
        <v>100</v>
      </c>
      <c r="T69" s="34">
        <v>100</v>
      </c>
      <c r="U69" s="34">
        <v>100</v>
      </c>
      <c r="V69" s="34">
        <v>75</v>
      </c>
      <c r="W69" s="34">
        <v>60</v>
      </c>
      <c r="X69" s="34">
        <v>75</v>
      </c>
      <c r="Y69" s="34">
        <v>75</v>
      </c>
      <c r="Z69" s="34">
        <v>100</v>
      </c>
      <c r="AA69" s="34">
        <v>100</v>
      </c>
      <c r="AB69" s="36"/>
      <c r="AC69" s="36">
        <v>721</v>
      </c>
      <c r="AD69" s="36">
        <v>65</v>
      </c>
      <c r="AE69" s="36">
        <v>75</v>
      </c>
      <c r="AF69" s="36">
        <v>77</v>
      </c>
      <c r="AG69" s="36">
        <v>57</v>
      </c>
      <c r="AH69" s="36">
        <v>67</v>
      </c>
      <c r="AI69" s="36">
        <v>53</v>
      </c>
      <c r="AJ69" s="36">
        <v>48</v>
      </c>
      <c r="AK69" s="36">
        <v>59</v>
      </c>
      <c r="AL69" s="36">
        <v>67</v>
      </c>
      <c r="AM69" s="36">
        <v>82</v>
      </c>
      <c r="AN69" s="36"/>
      <c r="AO69" s="36">
        <v>1050</v>
      </c>
      <c r="AP69" s="36">
        <v>42</v>
      </c>
      <c r="AQ69" s="36">
        <v>63</v>
      </c>
      <c r="AR69" s="36">
        <v>82</v>
      </c>
      <c r="AS69" s="36">
        <v>62</v>
      </c>
      <c r="AT69" s="36">
        <v>51</v>
      </c>
      <c r="AU69" s="36">
        <v>43</v>
      </c>
      <c r="AV69" s="36">
        <v>53</v>
      </c>
      <c r="AW69" s="36">
        <v>54</v>
      </c>
      <c r="AX69" s="36">
        <v>55</v>
      </c>
      <c r="AY69" s="36">
        <v>56</v>
      </c>
      <c r="AZ69" s="36"/>
      <c r="BA69" s="36">
        <v>17</v>
      </c>
      <c r="BB69" s="36">
        <v>23</v>
      </c>
      <c r="BC69" s="36">
        <v>18</v>
      </c>
      <c r="BD69" s="36">
        <v>26</v>
      </c>
      <c r="BE69" s="36">
        <v>32</v>
      </c>
      <c r="BF69" s="36">
        <v>9</v>
      </c>
      <c r="BG69" s="36">
        <v>16</v>
      </c>
      <c r="BH69" s="36">
        <v>19</v>
      </c>
      <c r="BI69" s="36">
        <v>22</v>
      </c>
      <c r="BJ69" s="36">
        <v>21</v>
      </c>
      <c r="BK69" s="36">
        <v>15</v>
      </c>
      <c r="BL69" s="36"/>
      <c r="BM69" s="36"/>
      <c r="BN69" s="36"/>
      <c r="BO69" s="36">
        <v>2</v>
      </c>
      <c r="BP69" s="36">
        <v>2</v>
      </c>
      <c r="BQ69" s="36">
        <v>3</v>
      </c>
      <c r="BR69" s="36">
        <v>9</v>
      </c>
      <c r="BS69" s="36">
        <v>4</v>
      </c>
      <c r="BT69" s="36">
        <v>7</v>
      </c>
      <c r="BU69" s="36">
        <v>5</v>
      </c>
      <c r="BV69" s="36">
        <v>11</v>
      </c>
      <c r="BW69" s="36">
        <v>4</v>
      </c>
      <c r="BX69" s="36"/>
      <c r="BY69" s="36"/>
      <c r="BZ69" s="36"/>
      <c r="CA69" s="36"/>
      <c r="CB69" s="36"/>
      <c r="CC69" s="36"/>
      <c r="CD69" s="36">
        <v>2</v>
      </c>
      <c r="CE69" s="36"/>
      <c r="CF69" s="36"/>
      <c r="CG69" s="36">
        <v>1</v>
      </c>
      <c r="CH69" s="36"/>
      <c r="CI69" s="36"/>
      <c r="CK69" s="4" t="b">
        <f t="shared" si="1"/>
        <v>0</v>
      </c>
    </row>
    <row r="70" spans="1:89" ht="90" customHeight="1">
      <c r="A70" s="32" t="s">
        <v>87</v>
      </c>
      <c r="B70" s="32" t="s">
        <v>104</v>
      </c>
      <c r="C70" s="32" t="s">
        <v>200</v>
      </c>
      <c r="D70" s="34"/>
      <c r="E70" s="34">
        <v>75</v>
      </c>
      <c r="F70" s="34">
        <v>100</v>
      </c>
      <c r="G70" s="34">
        <v>100</v>
      </c>
      <c r="H70" s="34">
        <v>100</v>
      </c>
      <c r="I70" s="34">
        <v>100</v>
      </c>
      <c r="J70" s="34">
        <v>100</v>
      </c>
      <c r="K70" s="34"/>
      <c r="L70" s="34">
        <v>100</v>
      </c>
      <c r="M70" s="34">
        <v>100</v>
      </c>
      <c r="N70" s="34"/>
      <c r="O70" s="34">
        <v>100</v>
      </c>
      <c r="P70" s="34"/>
      <c r="Q70" s="34"/>
      <c r="R70" s="34">
        <v>100</v>
      </c>
      <c r="S70" s="34">
        <v>75</v>
      </c>
      <c r="T70" s="34"/>
      <c r="U70" s="34">
        <v>50</v>
      </c>
      <c r="V70" s="34">
        <v>75</v>
      </c>
      <c r="W70" s="34"/>
      <c r="X70" s="34">
        <v>50</v>
      </c>
      <c r="Y70" s="34"/>
      <c r="Z70" s="34"/>
      <c r="AA70" s="34"/>
      <c r="AB70" s="36"/>
      <c r="AC70" s="36">
        <v>25</v>
      </c>
      <c r="AD70" s="36">
        <v>31</v>
      </c>
      <c r="AE70" s="36">
        <v>18</v>
      </c>
      <c r="AF70" s="36">
        <v>24</v>
      </c>
      <c r="AG70" s="36">
        <v>18</v>
      </c>
      <c r="AH70" s="36">
        <v>16</v>
      </c>
      <c r="AI70" s="36">
        <v>31</v>
      </c>
      <c r="AJ70" s="36">
        <v>17</v>
      </c>
      <c r="AK70" s="36">
        <v>18</v>
      </c>
      <c r="AL70" s="36">
        <v>21</v>
      </c>
      <c r="AM70" s="36">
        <v>14</v>
      </c>
      <c r="AN70" s="36"/>
      <c r="AO70" s="36">
        <v>16</v>
      </c>
      <c r="AP70" s="36">
        <v>23</v>
      </c>
      <c r="AQ70" s="36">
        <v>27</v>
      </c>
      <c r="AR70" s="36">
        <v>19</v>
      </c>
      <c r="AS70" s="36">
        <v>15</v>
      </c>
      <c r="AT70" s="36">
        <v>16</v>
      </c>
      <c r="AU70" s="36">
        <v>22</v>
      </c>
      <c r="AV70" s="36">
        <v>21</v>
      </c>
      <c r="AW70" s="36">
        <v>19</v>
      </c>
      <c r="AX70" s="36">
        <v>16</v>
      </c>
      <c r="AY70" s="36">
        <v>9</v>
      </c>
      <c r="AZ70" s="36"/>
      <c r="BA70" s="36">
        <v>8</v>
      </c>
      <c r="BB70" s="36">
        <v>7</v>
      </c>
      <c r="BC70" s="36">
        <v>33</v>
      </c>
      <c r="BD70" s="36">
        <v>6</v>
      </c>
      <c r="BE70" s="36">
        <v>6</v>
      </c>
      <c r="BF70" s="36">
        <v>22</v>
      </c>
      <c r="BG70" s="36">
        <v>7</v>
      </c>
      <c r="BH70" s="36">
        <v>6</v>
      </c>
      <c r="BI70" s="36">
        <v>2</v>
      </c>
      <c r="BJ70" s="36">
        <v>11</v>
      </c>
      <c r="BK70" s="36">
        <v>7</v>
      </c>
      <c r="BL70" s="36"/>
      <c r="BM70" s="36"/>
      <c r="BN70" s="36"/>
      <c r="BO70" s="36">
        <v>1</v>
      </c>
      <c r="BP70" s="36"/>
      <c r="BQ70" s="36">
        <v>6</v>
      </c>
      <c r="BR70" s="36">
        <v>3</v>
      </c>
      <c r="BS70" s="36">
        <v>3</v>
      </c>
      <c r="BT70" s="36">
        <v>5</v>
      </c>
      <c r="BU70" s="36">
        <v>5</v>
      </c>
      <c r="BV70" s="36">
        <v>1</v>
      </c>
      <c r="BW70" s="36">
        <v>2</v>
      </c>
      <c r="BX70" s="36"/>
      <c r="BY70" s="36"/>
      <c r="BZ70" s="36"/>
      <c r="CA70" s="36"/>
      <c r="CB70" s="36"/>
      <c r="CC70" s="36"/>
      <c r="CD70" s="36"/>
      <c r="CE70" s="36"/>
      <c r="CF70" s="36"/>
      <c r="CG70" s="36"/>
      <c r="CH70" s="36">
        <v>1</v>
      </c>
      <c r="CI70" s="36">
        <v>3</v>
      </c>
      <c r="CK70" s="4" t="b">
        <f t="shared" si="1"/>
        <v>0</v>
      </c>
    </row>
    <row r="71" spans="1:89" ht="90" customHeight="1">
      <c r="A71" s="32" t="s">
        <v>101</v>
      </c>
      <c r="B71" s="32" t="s">
        <v>201</v>
      </c>
      <c r="C71" s="32" t="s">
        <v>202</v>
      </c>
      <c r="D71" s="34"/>
      <c r="E71" s="34">
        <v>100</v>
      </c>
      <c r="F71" s="34">
        <v>100</v>
      </c>
      <c r="G71" s="34">
        <v>100</v>
      </c>
      <c r="H71" s="34">
        <v>100</v>
      </c>
      <c r="I71" s="34">
        <v>100</v>
      </c>
      <c r="J71" s="34">
        <v>100</v>
      </c>
      <c r="K71" s="34">
        <v>100</v>
      </c>
      <c r="L71" s="34">
        <v>100</v>
      </c>
      <c r="M71" s="34">
        <v>100</v>
      </c>
      <c r="N71" s="34">
        <v>100</v>
      </c>
      <c r="O71" s="34">
        <v>100</v>
      </c>
      <c r="P71" s="34"/>
      <c r="Q71" s="34">
        <v>100</v>
      </c>
      <c r="R71" s="34">
        <v>100</v>
      </c>
      <c r="S71" s="34">
        <v>100</v>
      </c>
      <c r="T71" s="34">
        <v>100</v>
      </c>
      <c r="U71" s="34">
        <v>100</v>
      </c>
      <c r="V71" s="34">
        <v>100</v>
      </c>
      <c r="W71" s="34">
        <v>100</v>
      </c>
      <c r="X71" s="34">
        <v>100</v>
      </c>
      <c r="Y71" s="34">
        <v>100</v>
      </c>
      <c r="Z71" s="34">
        <v>100</v>
      </c>
      <c r="AA71" s="34">
        <v>100</v>
      </c>
      <c r="AB71" s="36"/>
      <c r="AC71" s="36">
        <v>26</v>
      </c>
      <c r="AD71" s="36">
        <v>10</v>
      </c>
      <c r="AE71" s="36">
        <v>14</v>
      </c>
      <c r="AF71" s="36">
        <v>18</v>
      </c>
      <c r="AG71" s="36">
        <v>5</v>
      </c>
      <c r="AH71" s="36">
        <v>16</v>
      </c>
      <c r="AI71" s="36">
        <v>15</v>
      </c>
      <c r="AJ71" s="36">
        <v>20</v>
      </c>
      <c r="AK71" s="36">
        <v>24</v>
      </c>
      <c r="AL71" s="36">
        <v>24</v>
      </c>
      <c r="AM71" s="36">
        <v>25</v>
      </c>
      <c r="AN71" s="36"/>
      <c r="AO71" s="36">
        <v>150</v>
      </c>
      <c r="AP71" s="36">
        <v>11</v>
      </c>
      <c r="AQ71" s="36">
        <v>14</v>
      </c>
      <c r="AR71" s="36">
        <v>18</v>
      </c>
      <c r="AS71" s="36">
        <v>10</v>
      </c>
      <c r="AT71" s="36">
        <v>16</v>
      </c>
      <c r="AU71" s="36">
        <v>13</v>
      </c>
      <c r="AV71" s="36">
        <v>20</v>
      </c>
      <c r="AW71" s="36">
        <v>24</v>
      </c>
      <c r="AX71" s="36">
        <v>22</v>
      </c>
      <c r="AY71" s="36">
        <v>23</v>
      </c>
      <c r="AZ71" s="36"/>
      <c r="BA71" s="36">
        <v>2</v>
      </c>
      <c r="BB71" s="36"/>
      <c r="BC71" s="36">
        <v>4</v>
      </c>
      <c r="BD71" s="36">
        <v>6</v>
      </c>
      <c r="BE71" s="36">
        <v>10</v>
      </c>
      <c r="BF71" s="36">
        <v>15</v>
      </c>
      <c r="BG71" s="36">
        <v>12</v>
      </c>
      <c r="BH71" s="36">
        <v>13</v>
      </c>
      <c r="BI71" s="36"/>
      <c r="BJ71" s="36"/>
      <c r="BK71" s="36"/>
      <c r="BL71" s="36"/>
      <c r="BM71" s="36">
        <v>2</v>
      </c>
      <c r="BN71" s="36"/>
      <c r="BO71" s="36"/>
      <c r="BP71" s="36"/>
      <c r="BQ71" s="36">
        <v>3</v>
      </c>
      <c r="BR71" s="36">
        <v>6</v>
      </c>
      <c r="BS71" s="36"/>
      <c r="BT71" s="36">
        <v>4</v>
      </c>
      <c r="BU71" s="36">
        <v>7</v>
      </c>
      <c r="BV71" s="36">
        <v>33</v>
      </c>
      <c r="BW71" s="36">
        <v>47</v>
      </c>
      <c r="BX71" s="36"/>
      <c r="BY71" s="36">
        <v>6</v>
      </c>
      <c r="BZ71" s="36">
        <v>7</v>
      </c>
      <c r="CA71" s="36"/>
      <c r="CB71" s="36"/>
      <c r="CC71" s="36"/>
      <c r="CD71" s="36"/>
      <c r="CE71" s="36"/>
      <c r="CF71" s="36"/>
      <c r="CG71" s="36"/>
      <c r="CH71" s="36">
        <v>15</v>
      </c>
      <c r="CI71" s="36">
        <v>22</v>
      </c>
      <c r="CK71" s="4" t="b">
        <f t="shared" si="1"/>
        <v>0</v>
      </c>
    </row>
    <row r="72" spans="1:89" ht="60" customHeight="1">
      <c r="A72" s="32" t="s">
        <v>101</v>
      </c>
      <c r="B72" s="32" t="s">
        <v>162</v>
      </c>
      <c r="C72" s="32" t="s">
        <v>203</v>
      </c>
      <c r="D72" s="34"/>
      <c r="E72" s="34"/>
      <c r="F72" s="34">
        <v>100</v>
      </c>
      <c r="G72" s="34">
        <v>100</v>
      </c>
      <c r="H72" s="34">
        <v>100</v>
      </c>
      <c r="I72" s="34">
        <v>100</v>
      </c>
      <c r="J72" s="34">
        <v>100</v>
      </c>
      <c r="K72" s="34">
        <v>100</v>
      </c>
      <c r="L72" s="34">
        <v>100</v>
      </c>
      <c r="M72" s="34">
        <v>100</v>
      </c>
      <c r="N72" s="34"/>
      <c r="O72" s="34"/>
      <c r="P72" s="34"/>
      <c r="Q72" s="34"/>
      <c r="R72" s="34">
        <v>100</v>
      </c>
      <c r="S72" s="34">
        <v>100</v>
      </c>
      <c r="T72" s="34">
        <v>75</v>
      </c>
      <c r="U72" s="34">
        <v>100</v>
      </c>
      <c r="V72" s="34">
        <v>100</v>
      </c>
      <c r="W72" s="34">
        <v>100</v>
      </c>
      <c r="X72" s="34">
        <v>100</v>
      </c>
      <c r="Y72" s="34">
        <v>75</v>
      </c>
      <c r="Z72" s="34"/>
      <c r="AA72" s="34"/>
      <c r="AB72" s="36"/>
      <c r="AC72" s="36">
        <v>86</v>
      </c>
      <c r="AD72" s="36">
        <v>24</v>
      </c>
      <c r="AE72" s="36">
        <v>24</v>
      </c>
      <c r="AF72" s="36">
        <v>24</v>
      </c>
      <c r="AG72" s="36">
        <v>27</v>
      </c>
      <c r="AH72" s="36">
        <v>25</v>
      </c>
      <c r="AI72" s="36">
        <v>27</v>
      </c>
      <c r="AJ72" s="36">
        <v>29</v>
      </c>
      <c r="AK72" s="36">
        <v>25</v>
      </c>
      <c r="AL72" s="36">
        <v>26</v>
      </c>
      <c r="AM72" s="36"/>
      <c r="AN72" s="36"/>
      <c r="AO72" s="36">
        <v>85</v>
      </c>
      <c r="AP72" s="36">
        <v>22</v>
      </c>
      <c r="AQ72" s="36">
        <v>20</v>
      </c>
      <c r="AR72" s="36">
        <v>21</v>
      </c>
      <c r="AS72" s="36">
        <v>20</v>
      </c>
      <c r="AT72" s="36">
        <v>17</v>
      </c>
      <c r="AU72" s="36">
        <v>21</v>
      </c>
      <c r="AV72" s="36">
        <v>23</v>
      </c>
      <c r="AW72" s="36">
        <v>18</v>
      </c>
      <c r="AX72" s="36">
        <v>20</v>
      </c>
      <c r="AY72" s="36"/>
      <c r="AZ72" s="36"/>
      <c r="BA72" s="36">
        <v>7</v>
      </c>
      <c r="BB72" s="36">
        <v>2</v>
      </c>
      <c r="BC72" s="36">
        <v>2</v>
      </c>
      <c r="BD72" s="36">
        <v>3</v>
      </c>
      <c r="BE72" s="36">
        <v>3</v>
      </c>
      <c r="BF72" s="36">
        <v>3</v>
      </c>
      <c r="BG72" s="36"/>
      <c r="BH72" s="36">
        <v>4</v>
      </c>
      <c r="BI72" s="36">
        <v>3</v>
      </c>
      <c r="BJ72" s="36">
        <v>4</v>
      </c>
      <c r="BK72" s="36"/>
      <c r="BL72" s="36"/>
      <c r="BM72" s="36">
        <v>7</v>
      </c>
      <c r="BN72" s="36">
        <v>3</v>
      </c>
      <c r="BO72" s="36">
        <v>4</v>
      </c>
      <c r="BP72" s="36">
        <v>4</v>
      </c>
      <c r="BQ72" s="36">
        <v>6</v>
      </c>
      <c r="BR72" s="36">
        <v>4</v>
      </c>
      <c r="BS72" s="36">
        <v>3</v>
      </c>
      <c r="BT72" s="36"/>
      <c r="BU72" s="36"/>
      <c r="BV72" s="36"/>
      <c r="BW72" s="36"/>
      <c r="BX72" s="36"/>
      <c r="BY72" s="36"/>
      <c r="BZ72" s="36">
        <v>4</v>
      </c>
      <c r="CA72" s="36"/>
      <c r="CB72" s="36"/>
      <c r="CC72" s="36"/>
      <c r="CD72" s="36"/>
      <c r="CE72" s="36"/>
      <c r="CF72" s="36">
        <v>10</v>
      </c>
      <c r="CG72" s="36">
        <v>4</v>
      </c>
      <c r="CH72" s="36">
        <v>4</v>
      </c>
      <c r="CI72" s="36"/>
      <c r="CK72" s="4" t="b">
        <f t="shared" si="1"/>
        <v>0</v>
      </c>
    </row>
    <row r="73" spans="1:89" ht="60" customHeight="1">
      <c r="A73" s="32" t="s">
        <v>101</v>
      </c>
      <c r="B73" s="32" t="s">
        <v>162</v>
      </c>
      <c r="C73" s="32" t="s">
        <v>204</v>
      </c>
      <c r="D73" s="34"/>
      <c r="E73" s="34"/>
      <c r="F73" s="34">
        <v>100</v>
      </c>
      <c r="G73" s="34">
        <v>100</v>
      </c>
      <c r="H73" s="34">
        <v>100</v>
      </c>
      <c r="I73" s="34">
        <v>100</v>
      </c>
      <c r="J73" s="34">
        <v>100</v>
      </c>
      <c r="K73" s="34">
        <v>100</v>
      </c>
      <c r="L73" s="34">
        <v>100</v>
      </c>
      <c r="M73" s="34">
        <v>100</v>
      </c>
      <c r="N73" s="34">
        <v>100</v>
      </c>
      <c r="O73" s="34">
        <v>100</v>
      </c>
      <c r="P73" s="34"/>
      <c r="Q73" s="34"/>
      <c r="R73" s="34">
        <v>100</v>
      </c>
      <c r="S73" s="34">
        <v>100</v>
      </c>
      <c r="T73" s="34">
        <v>100</v>
      </c>
      <c r="U73" s="34">
        <v>100</v>
      </c>
      <c r="V73" s="34">
        <v>100</v>
      </c>
      <c r="W73" s="34">
        <v>100</v>
      </c>
      <c r="X73" s="34">
        <v>100</v>
      </c>
      <c r="Y73" s="34">
        <v>100</v>
      </c>
      <c r="Z73" s="34">
        <v>100</v>
      </c>
      <c r="AA73" s="34">
        <v>66.67</v>
      </c>
      <c r="AB73" s="36"/>
      <c r="AC73" s="36">
        <v>6</v>
      </c>
      <c r="AD73" s="36">
        <v>20</v>
      </c>
      <c r="AE73" s="36">
        <v>22</v>
      </c>
      <c r="AF73" s="36">
        <v>20</v>
      </c>
      <c r="AG73" s="36">
        <v>20</v>
      </c>
      <c r="AH73" s="36">
        <v>20</v>
      </c>
      <c r="AI73" s="36">
        <v>21</v>
      </c>
      <c r="AJ73" s="36">
        <v>23</v>
      </c>
      <c r="AK73" s="36">
        <v>23</v>
      </c>
      <c r="AL73" s="36">
        <v>24</v>
      </c>
      <c r="AM73" s="36">
        <v>23</v>
      </c>
      <c r="AN73" s="36"/>
      <c r="AO73" s="36">
        <v>6</v>
      </c>
      <c r="AP73" s="36">
        <v>20</v>
      </c>
      <c r="AQ73" s="36">
        <v>22</v>
      </c>
      <c r="AR73" s="36">
        <v>20</v>
      </c>
      <c r="AS73" s="36">
        <v>20</v>
      </c>
      <c r="AT73" s="36">
        <v>20</v>
      </c>
      <c r="AU73" s="36">
        <v>21</v>
      </c>
      <c r="AV73" s="36">
        <v>23</v>
      </c>
      <c r="AW73" s="36">
        <v>23</v>
      </c>
      <c r="AX73" s="36">
        <v>24</v>
      </c>
      <c r="AY73" s="36">
        <v>23</v>
      </c>
      <c r="AZ73" s="36"/>
      <c r="BA73" s="36">
        <v>2</v>
      </c>
      <c r="BB73" s="36"/>
      <c r="BC73" s="36">
        <v>4</v>
      </c>
      <c r="BD73" s="36">
        <v>5</v>
      </c>
      <c r="BE73" s="36">
        <v>8</v>
      </c>
      <c r="BF73" s="36">
        <v>7</v>
      </c>
      <c r="BG73" s="36">
        <v>10</v>
      </c>
      <c r="BH73" s="36">
        <v>10</v>
      </c>
      <c r="BI73" s="36">
        <v>9</v>
      </c>
      <c r="BJ73" s="36">
        <v>9</v>
      </c>
      <c r="BK73" s="36">
        <v>7</v>
      </c>
      <c r="BL73" s="36"/>
      <c r="BM73" s="36">
        <v>4</v>
      </c>
      <c r="BN73" s="36">
        <v>7</v>
      </c>
      <c r="BO73" s="36">
        <v>4</v>
      </c>
      <c r="BP73" s="36"/>
      <c r="BQ73" s="36">
        <v>8</v>
      </c>
      <c r="BR73" s="36">
        <v>7</v>
      </c>
      <c r="BS73" s="36">
        <v>4</v>
      </c>
      <c r="BT73" s="36">
        <v>3</v>
      </c>
      <c r="BU73" s="36">
        <v>4</v>
      </c>
      <c r="BV73" s="36">
        <v>4</v>
      </c>
      <c r="BW73" s="36">
        <v>5</v>
      </c>
      <c r="BX73" s="36"/>
      <c r="BY73" s="36">
        <v>4</v>
      </c>
      <c r="BZ73" s="36"/>
      <c r="CA73" s="36">
        <v>6</v>
      </c>
      <c r="CB73" s="36">
        <v>5</v>
      </c>
      <c r="CC73" s="36"/>
      <c r="CD73" s="36"/>
      <c r="CE73" s="36">
        <v>6</v>
      </c>
      <c r="CF73" s="36">
        <v>7</v>
      </c>
      <c r="CG73" s="36">
        <v>5</v>
      </c>
      <c r="CH73" s="36">
        <v>5</v>
      </c>
      <c r="CI73" s="36">
        <v>2</v>
      </c>
      <c r="CK73" s="4" t="b">
        <f t="shared" si="1"/>
        <v>0</v>
      </c>
    </row>
    <row r="74" spans="1:89" ht="60" customHeight="1">
      <c r="A74" s="32" t="s">
        <v>109</v>
      </c>
      <c r="B74" s="32" t="s">
        <v>205</v>
      </c>
      <c r="C74" s="32" t="s">
        <v>206</v>
      </c>
      <c r="D74" s="34"/>
      <c r="E74" s="34">
        <v>100</v>
      </c>
      <c r="F74" s="34">
        <v>100</v>
      </c>
      <c r="G74" s="34">
        <v>100</v>
      </c>
      <c r="H74" s="34">
        <v>100</v>
      </c>
      <c r="I74" s="34">
        <v>100</v>
      </c>
      <c r="J74" s="34"/>
      <c r="K74" s="34">
        <v>100</v>
      </c>
      <c r="L74" s="34">
        <v>100</v>
      </c>
      <c r="M74" s="34">
        <v>100</v>
      </c>
      <c r="N74" s="34">
        <v>100</v>
      </c>
      <c r="O74" s="34">
        <v>100</v>
      </c>
      <c r="P74" s="34"/>
      <c r="Q74" s="34">
        <v>100</v>
      </c>
      <c r="R74" s="34">
        <v>100</v>
      </c>
      <c r="S74" s="34">
        <v>100</v>
      </c>
      <c r="T74" s="34">
        <v>100</v>
      </c>
      <c r="U74" s="34">
        <v>100</v>
      </c>
      <c r="V74" s="34"/>
      <c r="W74" s="34">
        <v>75</v>
      </c>
      <c r="X74" s="34">
        <v>100</v>
      </c>
      <c r="Y74" s="34">
        <v>100</v>
      </c>
      <c r="Z74" s="34">
        <v>100</v>
      </c>
      <c r="AA74" s="34">
        <v>100</v>
      </c>
      <c r="AB74" s="36"/>
      <c r="AC74" s="36">
        <v>18</v>
      </c>
      <c r="AD74" s="36">
        <v>30</v>
      </c>
      <c r="AE74" s="36">
        <v>22</v>
      </c>
      <c r="AF74" s="36">
        <v>24</v>
      </c>
      <c r="AG74" s="36">
        <v>22</v>
      </c>
      <c r="AH74" s="36"/>
      <c r="AI74" s="36">
        <v>28</v>
      </c>
      <c r="AJ74" s="36">
        <v>20</v>
      </c>
      <c r="AK74" s="36">
        <v>23</v>
      </c>
      <c r="AL74" s="36">
        <v>26</v>
      </c>
      <c r="AM74" s="36">
        <v>28</v>
      </c>
      <c r="AN74" s="36"/>
      <c r="AO74" s="36">
        <v>18</v>
      </c>
      <c r="AP74" s="36">
        <v>39</v>
      </c>
      <c r="AQ74" s="36">
        <v>23</v>
      </c>
      <c r="AR74" s="36">
        <v>22</v>
      </c>
      <c r="AS74" s="36">
        <v>23</v>
      </c>
      <c r="AT74" s="36"/>
      <c r="AU74" s="36">
        <v>23</v>
      </c>
      <c r="AV74" s="36">
        <v>18</v>
      </c>
      <c r="AW74" s="36">
        <v>22</v>
      </c>
      <c r="AX74" s="36">
        <v>29</v>
      </c>
      <c r="AY74" s="36">
        <v>30</v>
      </c>
      <c r="AZ74" s="36"/>
      <c r="BA74" s="36">
        <v>4</v>
      </c>
      <c r="BB74" s="36">
        <v>2</v>
      </c>
      <c r="BC74" s="36">
        <v>1</v>
      </c>
      <c r="BD74" s="36">
        <v>4</v>
      </c>
      <c r="BE74" s="36">
        <v>4</v>
      </c>
      <c r="BF74" s="36"/>
      <c r="BG74" s="36">
        <v>6</v>
      </c>
      <c r="BH74" s="36">
        <v>3</v>
      </c>
      <c r="BI74" s="36">
        <v>17</v>
      </c>
      <c r="BJ74" s="36">
        <v>5</v>
      </c>
      <c r="BK74" s="36">
        <v>4</v>
      </c>
      <c r="BL74" s="36"/>
      <c r="BM74" s="36">
        <v>1</v>
      </c>
      <c r="BN74" s="36">
        <v>2</v>
      </c>
      <c r="BO74" s="36">
        <v>1</v>
      </c>
      <c r="BP74" s="36">
        <v>1</v>
      </c>
      <c r="BQ74" s="36">
        <v>2</v>
      </c>
      <c r="BR74" s="36"/>
      <c r="BS74" s="36">
        <v>2</v>
      </c>
      <c r="BT74" s="36">
        <v>2</v>
      </c>
      <c r="BU74" s="36">
        <v>3</v>
      </c>
      <c r="BV74" s="36">
        <v>2</v>
      </c>
      <c r="BW74" s="36">
        <v>3</v>
      </c>
      <c r="BX74" s="36"/>
      <c r="BY74" s="36"/>
      <c r="BZ74" s="36"/>
      <c r="CA74" s="36"/>
      <c r="CB74" s="36">
        <v>12</v>
      </c>
      <c r="CC74" s="36"/>
      <c r="CD74" s="36"/>
      <c r="CE74" s="36"/>
      <c r="CF74" s="36"/>
      <c r="CG74" s="36"/>
      <c r="CH74" s="36"/>
      <c r="CI74" s="36"/>
      <c r="CK74" s="4" t="b">
        <f t="shared" si="1"/>
        <v>0</v>
      </c>
    </row>
    <row r="75" spans="1:89" ht="105" customHeight="1">
      <c r="A75" s="32" t="s">
        <v>144</v>
      </c>
      <c r="B75" s="32" t="s">
        <v>207</v>
      </c>
      <c r="C75" s="32" t="s">
        <v>208</v>
      </c>
      <c r="D75" s="34">
        <v>100</v>
      </c>
      <c r="E75" s="34">
        <v>10</v>
      </c>
      <c r="F75" s="34"/>
      <c r="G75" s="34"/>
      <c r="H75" s="34"/>
      <c r="I75" s="34"/>
      <c r="J75" s="34">
        <v>100</v>
      </c>
      <c r="K75" s="34">
        <v>100</v>
      </c>
      <c r="L75" s="34">
        <v>100</v>
      </c>
      <c r="M75" s="34">
        <v>100</v>
      </c>
      <c r="N75" s="34">
        <v>100</v>
      </c>
      <c r="O75" s="34">
        <v>100</v>
      </c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  <c r="AA75" s="34"/>
      <c r="AB75" s="36">
        <v>26</v>
      </c>
      <c r="AC75" s="36">
        <v>39</v>
      </c>
      <c r="AD75" s="36"/>
      <c r="AE75" s="36"/>
      <c r="AF75" s="36">
        <v>36</v>
      </c>
      <c r="AG75" s="36"/>
      <c r="AH75" s="36">
        <v>36</v>
      </c>
      <c r="AI75" s="36">
        <v>21</v>
      </c>
      <c r="AJ75" s="36">
        <v>62</v>
      </c>
      <c r="AK75" s="36">
        <v>27</v>
      </c>
      <c r="AL75" s="36">
        <v>30</v>
      </c>
      <c r="AM75" s="36">
        <v>27</v>
      </c>
      <c r="AN75" s="36">
        <v>24</v>
      </c>
      <c r="AO75" s="36">
        <v>35</v>
      </c>
      <c r="AP75" s="36"/>
      <c r="AQ75" s="36"/>
      <c r="AR75" s="36">
        <v>29</v>
      </c>
      <c r="AS75" s="36"/>
      <c r="AT75" s="36">
        <v>28</v>
      </c>
      <c r="AU75" s="36">
        <v>31</v>
      </c>
      <c r="AV75" s="36">
        <v>49</v>
      </c>
      <c r="AW75" s="36">
        <v>25</v>
      </c>
      <c r="AX75" s="36">
        <v>13</v>
      </c>
      <c r="AY75" s="36">
        <v>25</v>
      </c>
      <c r="AZ75" s="36">
        <v>64</v>
      </c>
      <c r="BA75" s="36">
        <v>79</v>
      </c>
      <c r="BB75" s="36"/>
      <c r="BC75" s="36"/>
      <c r="BD75" s="36">
        <v>78</v>
      </c>
      <c r="BE75" s="36">
        <v>52</v>
      </c>
      <c r="BF75" s="36">
        <v>46</v>
      </c>
      <c r="BG75" s="36">
        <v>55</v>
      </c>
      <c r="BH75" s="36">
        <v>20</v>
      </c>
      <c r="BI75" s="36">
        <v>40</v>
      </c>
      <c r="BJ75" s="36">
        <v>74</v>
      </c>
      <c r="BK75" s="36">
        <v>51</v>
      </c>
      <c r="BL75" s="36">
        <v>60</v>
      </c>
      <c r="BM75" s="36">
        <v>44</v>
      </c>
      <c r="BN75" s="36"/>
      <c r="BO75" s="36"/>
      <c r="BP75" s="36">
        <v>62</v>
      </c>
      <c r="BQ75" s="36">
        <v>47</v>
      </c>
      <c r="BR75" s="36">
        <v>53</v>
      </c>
      <c r="BS75" s="36">
        <v>53</v>
      </c>
      <c r="BT75" s="36">
        <v>9</v>
      </c>
      <c r="BU75" s="36">
        <v>46</v>
      </c>
      <c r="BV75" s="36">
        <v>33</v>
      </c>
      <c r="BW75" s="36">
        <v>44</v>
      </c>
      <c r="BX75" s="36">
        <v>19</v>
      </c>
      <c r="BY75" s="36">
        <v>16</v>
      </c>
      <c r="BZ75" s="36"/>
      <c r="CA75" s="36"/>
      <c r="CB75" s="36">
        <v>47</v>
      </c>
      <c r="CC75" s="36">
        <v>27</v>
      </c>
      <c r="CD75" s="36">
        <v>28</v>
      </c>
      <c r="CE75" s="36">
        <v>35</v>
      </c>
      <c r="CF75" s="36">
        <v>48</v>
      </c>
      <c r="CG75" s="36">
        <v>21</v>
      </c>
      <c r="CH75" s="36">
        <v>19</v>
      </c>
      <c r="CI75" s="36">
        <v>26</v>
      </c>
      <c r="CK75" s="4" t="b">
        <f t="shared" si="1"/>
        <v>1</v>
      </c>
    </row>
    <row r="76" spans="1:89" ht="60" customHeight="1">
      <c r="A76" s="32" t="s">
        <v>144</v>
      </c>
      <c r="B76" s="32" t="s">
        <v>145</v>
      </c>
      <c r="C76" s="32" t="s">
        <v>209</v>
      </c>
      <c r="D76" s="34"/>
      <c r="E76" s="34">
        <v>66.67</v>
      </c>
      <c r="F76" s="34">
        <v>100</v>
      </c>
      <c r="G76" s="34">
        <v>100</v>
      </c>
      <c r="H76" s="34">
        <v>100</v>
      </c>
      <c r="I76" s="34">
        <v>100</v>
      </c>
      <c r="J76" s="34"/>
      <c r="K76" s="34">
        <v>66.67</v>
      </c>
      <c r="L76" s="34">
        <v>88.89</v>
      </c>
      <c r="M76" s="34">
        <v>100</v>
      </c>
      <c r="N76" s="34">
        <v>100</v>
      </c>
      <c r="O76" s="34">
        <v>100</v>
      </c>
      <c r="P76" s="34"/>
      <c r="Q76" s="34">
        <v>50</v>
      </c>
      <c r="R76" s="34">
        <v>50</v>
      </c>
      <c r="S76" s="34"/>
      <c r="T76" s="34"/>
      <c r="U76" s="34"/>
      <c r="V76" s="34">
        <v>800</v>
      </c>
      <c r="W76" s="34"/>
      <c r="X76" s="34">
        <v>50</v>
      </c>
      <c r="Y76" s="34"/>
      <c r="Z76" s="34"/>
      <c r="AA76" s="34">
        <v>100</v>
      </c>
      <c r="AB76" s="36"/>
      <c r="AC76" s="36">
        <v>17</v>
      </c>
      <c r="AD76" s="36">
        <v>28</v>
      </c>
      <c r="AE76" s="36">
        <v>23</v>
      </c>
      <c r="AF76" s="36">
        <v>37</v>
      </c>
      <c r="AG76" s="36">
        <v>42</v>
      </c>
      <c r="AH76" s="36">
        <v>43</v>
      </c>
      <c r="AI76" s="36">
        <v>31</v>
      </c>
      <c r="AJ76" s="36">
        <v>37</v>
      </c>
      <c r="AK76" s="36">
        <v>39</v>
      </c>
      <c r="AL76" s="36">
        <v>31</v>
      </c>
      <c r="AM76" s="36">
        <v>36</v>
      </c>
      <c r="AN76" s="36"/>
      <c r="AO76" s="36">
        <v>21</v>
      </c>
      <c r="AP76" s="36">
        <v>35</v>
      </c>
      <c r="AQ76" s="36">
        <v>45</v>
      </c>
      <c r="AR76" s="36">
        <v>46</v>
      </c>
      <c r="AS76" s="36">
        <v>39</v>
      </c>
      <c r="AT76" s="36">
        <v>43</v>
      </c>
      <c r="AU76" s="36">
        <v>34</v>
      </c>
      <c r="AV76" s="36">
        <v>64</v>
      </c>
      <c r="AW76" s="36">
        <v>46</v>
      </c>
      <c r="AX76" s="36">
        <v>54</v>
      </c>
      <c r="AY76" s="36">
        <v>29</v>
      </c>
      <c r="AZ76" s="36"/>
      <c r="BA76" s="36">
        <v>16</v>
      </c>
      <c r="BB76" s="36">
        <v>28</v>
      </c>
      <c r="BC76" s="36">
        <v>19</v>
      </c>
      <c r="BD76" s="36">
        <v>37</v>
      </c>
      <c r="BE76" s="36">
        <v>67</v>
      </c>
      <c r="BF76" s="36">
        <v>21</v>
      </c>
      <c r="BG76" s="36">
        <v>20</v>
      </c>
      <c r="BH76" s="36">
        <v>19</v>
      </c>
      <c r="BI76" s="36">
        <v>22</v>
      </c>
      <c r="BJ76" s="36">
        <v>14</v>
      </c>
      <c r="BK76" s="36">
        <v>21</v>
      </c>
      <c r="BL76" s="36"/>
      <c r="BM76" s="36"/>
      <c r="BN76" s="36">
        <v>2</v>
      </c>
      <c r="BO76" s="36">
        <v>6</v>
      </c>
      <c r="BP76" s="36">
        <v>43</v>
      </c>
      <c r="BQ76" s="36">
        <v>9</v>
      </c>
      <c r="BR76" s="36">
        <v>9</v>
      </c>
      <c r="BS76" s="36">
        <v>3</v>
      </c>
      <c r="BT76" s="36">
        <v>7</v>
      </c>
      <c r="BU76" s="36">
        <v>9</v>
      </c>
      <c r="BV76" s="36">
        <v>14</v>
      </c>
      <c r="BW76" s="36">
        <v>4</v>
      </c>
      <c r="BX76" s="36"/>
      <c r="BY76" s="36"/>
      <c r="BZ76" s="36"/>
      <c r="CA76" s="36"/>
      <c r="CB76" s="36">
        <v>43</v>
      </c>
      <c r="CC76" s="36"/>
      <c r="CD76" s="36"/>
      <c r="CE76" s="36">
        <v>4</v>
      </c>
      <c r="CF76" s="36">
        <v>3</v>
      </c>
      <c r="CG76" s="36">
        <v>3</v>
      </c>
      <c r="CH76" s="36"/>
      <c r="CI76" s="36">
        <v>2</v>
      </c>
      <c r="CK76" s="4" t="b">
        <f t="shared" si="1"/>
        <v>0</v>
      </c>
    </row>
    <row r="77" spans="1:89" ht="90" customHeight="1">
      <c r="A77" s="32" t="s">
        <v>87</v>
      </c>
      <c r="B77" s="32" t="s">
        <v>88</v>
      </c>
      <c r="C77" s="32" t="s">
        <v>210</v>
      </c>
      <c r="D77" s="34"/>
      <c r="E77" s="34"/>
      <c r="F77" s="34">
        <v>100</v>
      </c>
      <c r="G77" s="34">
        <v>100</v>
      </c>
      <c r="H77" s="34"/>
      <c r="I77" s="34">
        <v>100</v>
      </c>
      <c r="J77" s="34"/>
      <c r="K77" s="34"/>
      <c r="L77" s="34">
        <v>100</v>
      </c>
      <c r="M77" s="34">
        <v>87.5</v>
      </c>
      <c r="N77" s="34"/>
      <c r="O77" s="34">
        <v>87.5</v>
      </c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  <c r="AA77" s="34"/>
      <c r="AB77" s="36"/>
      <c r="AC77" s="36"/>
      <c r="AD77" s="36">
        <v>31</v>
      </c>
      <c r="AE77" s="36">
        <v>27</v>
      </c>
      <c r="AF77" s="36"/>
      <c r="AG77" s="36">
        <v>39</v>
      </c>
      <c r="AH77" s="36"/>
      <c r="AI77" s="36">
        <v>26</v>
      </c>
      <c r="AJ77" s="36">
        <v>24</v>
      </c>
      <c r="AK77" s="36">
        <v>16</v>
      </c>
      <c r="AL77" s="36"/>
      <c r="AM77" s="36">
        <v>27</v>
      </c>
      <c r="AN77" s="36"/>
      <c r="AO77" s="36"/>
      <c r="AP77" s="36">
        <v>21</v>
      </c>
      <c r="AQ77" s="36">
        <v>30</v>
      </c>
      <c r="AR77" s="36"/>
      <c r="AS77" s="36">
        <v>23</v>
      </c>
      <c r="AT77" s="36"/>
      <c r="AU77" s="36">
        <v>36</v>
      </c>
      <c r="AV77" s="36">
        <v>23</v>
      </c>
      <c r="AW77" s="36">
        <v>29</v>
      </c>
      <c r="AX77" s="36"/>
      <c r="AY77" s="36">
        <v>29</v>
      </c>
      <c r="AZ77" s="36"/>
      <c r="BA77" s="36"/>
      <c r="BB77" s="36">
        <v>26</v>
      </c>
      <c r="BC77" s="36">
        <v>36</v>
      </c>
      <c r="BD77" s="36"/>
      <c r="BE77" s="36">
        <v>39</v>
      </c>
      <c r="BF77" s="36"/>
      <c r="BG77" s="36">
        <v>27</v>
      </c>
      <c r="BH77" s="36">
        <v>40</v>
      </c>
      <c r="BI77" s="36">
        <v>4</v>
      </c>
      <c r="BJ77" s="36"/>
      <c r="BK77" s="36">
        <v>14</v>
      </c>
      <c r="BL77" s="36"/>
      <c r="BM77" s="36"/>
      <c r="BN77" s="36">
        <v>40</v>
      </c>
      <c r="BO77" s="36">
        <v>43</v>
      </c>
      <c r="BP77" s="36"/>
      <c r="BQ77" s="36">
        <v>40</v>
      </c>
      <c r="BR77" s="36"/>
      <c r="BS77" s="36">
        <v>62</v>
      </c>
      <c r="BT77" s="36">
        <v>20</v>
      </c>
      <c r="BU77" s="36">
        <v>3</v>
      </c>
      <c r="BV77" s="36"/>
      <c r="BW77" s="36">
        <v>18</v>
      </c>
      <c r="BX77" s="36"/>
      <c r="BY77" s="36"/>
      <c r="BZ77" s="36">
        <v>51</v>
      </c>
      <c r="CA77" s="36">
        <v>52</v>
      </c>
      <c r="CB77" s="36"/>
      <c r="CC77" s="36">
        <v>42</v>
      </c>
      <c r="CD77" s="36"/>
      <c r="CE77" s="36">
        <v>38</v>
      </c>
      <c r="CF77" s="36"/>
      <c r="CG77" s="36"/>
      <c r="CH77" s="36"/>
      <c r="CI77" s="36"/>
      <c r="CK77" s="4" t="b">
        <f t="shared" si="1"/>
        <v>0</v>
      </c>
    </row>
    <row r="78" spans="1:89" ht="75" customHeight="1">
      <c r="A78" s="32" t="s">
        <v>144</v>
      </c>
      <c r="B78" s="32" t="s">
        <v>198</v>
      </c>
      <c r="C78" s="32" t="s">
        <v>211</v>
      </c>
      <c r="D78" s="34"/>
      <c r="E78" s="34">
        <v>100</v>
      </c>
      <c r="F78" s="34">
        <v>100</v>
      </c>
      <c r="G78" s="34">
        <v>100</v>
      </c>
      <c r="H78" s="34">
        <v>112.5</v>
      </c>
      <c r="I78" s="34">
        <v>100</v>
      </c>
      <c r="J78" s="34">
        <v>100</v>
      </c>
      <c r="K78" s="34">
        <v>87.5</v>
      </c>
      <c r="L78" s="34">
        <v>100</v>
      </c>
      <c r="M78" s="34">
        <v>100</v>
      </c>
      <c r="N78" s="34">
        <v>100</v>
      </c>
      <c r="O78" s="34">
        <v>87.5</v>
      </c>
      <c r="P78" s="34"/>
      <c r="Q78" s="34"/>
      <c r="R78" s="34"/>
      <c r="S78" s="34">
        <v>33.33</v>
      </c>
      <c r="T78" s="34"/>
      <c r="U78" s="34"/>
      <c r="V78" s="34"/>
      <c r="W78" s="34"/>
      <c r="X78" s="34"/>
      <c r="Y78" s="34"/>
      <c r="Z78" s="34">
        <v>100</v>
      </c>
      <c r="AA78" s="34"/>
      <c r="AB78" s="36"/>
      <c r="AC78" s="36">
        <v>19</v>
      </c>
      <c r="AD78" s="36">
        <v>22</v>
      </c>
      <c r="AE78" s="36">
        <v>69</v>
      </c>
      <c r="AF78" s="36">
        <v>56</v>
      </c>
      <c r="AG78" s="36">
        <v>41</v>
      </c>
      <c r="AH78" s="36">
        <v>53</v>
      </c>
      <c r="AI78" s="36">
        <v>78</v>
      </c>
      <c r="AJ78" s="36">
        <v>35</v>
      </c>
      <c r="AK78" s="36">
        <v>58</v>
      </c>
      <c r="AL78" s="36">
        <v>60</v>
      </c>
      <c r="AM78" s="36">
        <v>71</v>
      </c>
      <c r="AN78" s="36"/>
      <c r="AO78" s="36">
        <v>26</v>
      </c>
      <c r="AP78" s="36">
        <v>14</v>
      </c>
      <c r="AQ78" s="36">
        <v>60</v>
      </c>
      <c r="AR78" s="36">
        <v>43</v>
      </c>
      <c r="AS78" s="36">
        <v>28</v>
      </c>
      <c r="AT78" s="36">
        <v>53</v>
      </c>
      <c r="AU78" s="36">
        <v>78</v>
      </c>
      <c r="AV78" s="36">
        <v>42</v>
      </c>
      <c r="AW78" s="36">
        <v>40</v>
      </c>
      <c r="AX78" s="36">
        <v>44</v>
      </c>
      <c r="AY78" s="36">
        <v>46</v>
      </c>
      <c r="AZ78" s="36"/>
      <c r="BA78" s="36">
        <v>64</v>
      </c>
      <c r="BB78" s="36">
        <v>125</v>
      </c>
      <c r="BC78" s="36">
        <v>100</v>
      </c>
      <c r="BD78" s="36">
        <v>118</v>
      </c>
      <c r="BE78" s="36">
        <v>96</v>
      </c>
      <c r="BF78" s="36">
        <v>73</v>
      </c>
      <c r="BG78" s="36">
        <v>86</v>
      </c>
      <c r="BH78" s="36">
        <v>115</v>
      </c>
      <c r="BI78" s="36">
        <v>92</v>
      </c>
      <c r="BJ78" s="36">
        <v>155</v>
      </c>
      <c r="BK78" s="36">
        <v>98</v>
      </c>
      <c r="BL78" s="36"/>
      <c r="BM78" s="36">
        <v>64</v>
      </c>
      <c r="BN78" s="36">
        <v>1</v>
      </c>
      <c r="BO78" s="36">
        <v>9</v>
      </c>
      <c r="BP78" s="36">
        <v>20</v>
      </c>
      <c r="BQ78" s="36">
        <v>34</v>
      </c>
      <c r="BR78" s="36">
        <v>49</v>
      </c>
      <c r="BS78" s="36">
        <v>31</v>
      </c>
      <c r="BT78" s="36">
        <v>41</v>
      </c>
      <c r="BU78" s="36">
        <v>51</v>
      </c>
      <c r="BV78" s="36">
        <v>41</v>
      </c>
      <c r="BW78" s="36">
        <v>35</v>
      </c>
      <c r="BX78" s="36"/>
      <c r="BY78" s="36"/>
      <c r="BZ78" s="36"/>
      <c r="CA78" s="36"/>
      <c r="CB78" s="36"/>
      <c r="CC78" s="36">
        <v>2</v>
      </c>
      <c r="CD78" s="36">
        <v>1</v>
      </c>
      <c r="CE78" s="36">
        <v>2</v>
      </c>
      <c r="CF78" s="36">
        <v>4</v>
      </c>
      <c r="CG78" s="36">
        <v>9</v>
      </c>
      <c r="CH78" s="36">
        <v>9</v>
      </c>
      <c r="CI78" s="36">
        <v>3</v>
      </c>
      <c r="CK78" s="4" t="b">
        <f t="shared" si="1"/>
        <v>0</v>
      </c>
    </row>
    <row r="79" spans="1:89" ht="60" customHeight="1">
      <c r="A79" s="32" t="s">
        <v>87</v>
      </c>
      <c r="B79" s="32" t="s">
        <v>188</v>
      </c>
      <c r="C79" s="32" t="s">
        <v>212</v>
      </c>
      <c r="D79" s="34"/>
      <c r="E79" s="34">
        <v>100</v>
      </c>
      <c r="F79" s="34">
        <v>100</v>
      </c>
      <c r="G79" s="34">
        <v>100</v>
      </c>
      <c r="H79" s="34">
        <v>104.55</v>
      </c>
      <c r="I79" s="34">
        <v>100</v>
      </c>
      <c r="J79" s="34">
        <v>100</v>
      </c>
      <c r="K79" s="34">
        <v>85.71</v>
      </c>
      <c r="L79" s="34">
        <v>100</v>
      </c>
      <c r="M79" s="34">
        <v>100</v>
      </c>
      <c r="N79" s="34">
        <v>100</v>
      </c>
      <c r="O79" s="34">
        <v>80.95</v>
      </c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  <c r="AA79" s="34"/>
      <c r="AB79" s="36"/>
      <c r="AC79" s="36">
        <v>91</v>
      </c>
      <c r="AD79" s="36">
        <v>36</v>
      </c>
      <c r="AE79" s="36">
        <v>38</v>
      </c>
      <c r="AF79" s="36">
        <v>54</v>
      </c>
      <c r="AG79" s="36">
        <v>26</v>
      </c>
      <c r="AH79" s="36">
        <v>45</v>
      </c>
      <c r="AI79" s="36">
        <v>26</v>
      </c>
      <c r="AJ79" s="36">
        <v>28</v>
      </c>
      <c r="AK79" s="36">
        <v>30</v>
      </c>
      <c r="AL79" s="36">
        <v>36</v>
      </c>
      <c r="AM79" s="36">
        <v>44</v>
      </c>
      <c r="AN79" s="36"/>
      <c r="AO79" s="36">
        <v>91</v>
      </c>
      <c r="AP79" s="36">
        <v>38</v>
      </c>
      <c r="AQ79" s="36">
        <v>61</v>
      </c>
      <c r="AR79" s="36">
        <v>48</v>
      </c>
      <c r="AS79" s="36">
        <v>37</v>
      </c>
      <c r="AT79" s="36">
        <v>48</v>
      </c>
      <c r="AU79" s="36">
        <v>43</v>
      </c>
      <c r="AV79" s="36">
        <v>37</v>
      </c>
      <c r="AW79" s="36">
        <v>29</v>
      </c>
      <c r="AX79" s="36">
        <v>43</v>
      </c>
      <c r="AY79" s="36">
        <v>24</v>
      </c>
      <c r="AZ79" s="36"/>
      <c r="BA79" s="36">
        <v>11</v>
      </c>
      <c r="BB79" s="36">
        <v>2</v>
      </c>
      <c r="BC79" s="36">
        <v>3</v>
      </c>
      <c r="BD79" s="36">
        <v>6</v>
      </c>
      <c r="BE79" s="36">
        <v>9</v>
      </c>
      <c r="BF79" s="36">
        <v>3</v>
      </c>
      <c r="BG79" s="36">
        <v>6</v>
      </c>
      <c r="BH79" s="36">
        <v>2</v>
      </c>
      <c r="BI79" s="36">
        <v>3</v>
      </c>
      <c r="BJ79" s="36">
        <v>2</v>
      </c>
      <c r="BK79" s="36">
        <v>5</v>
      </c>
      <c r="BL79" s="36"/>
      <c r="BM79" s="36">
        <v>7</v>
      </c>
      <c r="BN79" s="36"/>
      <c r="BO79" s="36">
        <v>6</v>
      </c>
      <c r="BP79" s="36">
        <v>4</v>
      </c>
      <c r="BQ79" s="36"/>
      <c r="BR79" s="36">
        <v>2</v>
      </c>
      <c r="BS79" s="36"/>
      <c r="BT79" s="36">
        <v>2</v>
      </c>
      <c r="BU79" s="36">
        <v>2</v>
      </c>
      <c r="BV79" s="36"/>
      <c r="BW79" s="36">
        <v>1</v>
      </c>
      <c r="BX79" s="36"/>
      <c r="BY79" s="36">
        <v>4</v>
      </c>
      <c r="BZ79" s="36">
        <v>3</v>
      </c>
      <c r="CA79" s="36"/>
      <c r="CB79" s="36"/>
      <c r="CC79" s="36"/>
      <c r="CD79" s="36"/>
      <c r="CE79" s="36"/>
      <c r="CF79" s="36"/>
      <c r="CG79" s="36"/>
      <c r="CH79" s="36"/>
      <c r="CI79" s="36"/>
      <c r="CK79" s="4" t="b">
        <f t="shared" si="1"/>
        <v>0</v>
      </c>
    </row>
    <row r="80" spans="1:89" ht="60" customHeight="1">
      <c r="A80" s="32" t="s">
        <v>87</v>
      </c>
      <c r="B80" s="32" t="s">
        <v>90</v>
      </c>
      <c r="C80" s="32" t="s">
        <v>213</v>
      </c>
      <c r="D80" s="34"/>
      <c r="E80" s="34"/>
      <c r="F80" s="34"/>
      <c r="G80" s="34"/>
      <c r="H80" s="34"/>
      <c r="I80" s="34"/>
      <c r="J80" s="34"/>
      <c r="K80" s="34"/>
      <c r="L80" s="34"/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  <c r="AA80" s="34"/>
      <c r="AB80" s="36"/>
      <c r="AC80" s="36"/>
      <c r="AD80" s="36"/>
      <c r="AE80" s="36"/>
      <c r="AF80" s="36"/>
      <c r="AG80" s="36"/>
      <c r="AH80" s="36"/>
      <c r="AI80" s="36"/>
      <c r="AJ80" s="36">
        <v>13</v>
      </c>
      <c r="AK80" s="36">
        <v>13</v>
      </c>
      <c r="AL80" s="36">
        <v>10</v>
      </c>
      <c r="AM80" s="36"/>
      <c r="AN80" s="36"/>
      <c r="AO80" s="36"/>
      <c r="AP80" s="36"/>
      <c r="AQ80" s="36"/>
      <c r="AR80" s="36"/>
      <c r="AS80" s="36"/>
      <c r="AT80" s="36"/>
      <c r="AU80" s="36"/>
      <c r="AV80" s="36">
        <v>12</v>
      </c>
      <c r="AW80" s="36">
        <v>16</v>
      </c>
      <c r="AX80" s="36">
        <v>10</v>
      </c>
      <c r="AY80" s="36"/>
      <c r="AZ80" s="36"/>
      <c r="BA80" s="36"/>
      <c r="BB80" s="36"/>
      <c r="BC80" s="36"/>
      <c r="BD80" s="36"/>
      <c r="BE80" s="36"/>
      <c r="BF80" s="36"/>
      <c r="BG80" s="36"/>
      <c r="BH80" s="36">
        <v>5</v>
      </c>
      <c r="BI80" s="36"/>
      <c r="BJ80" s="36"/>
      <c r="BK80" s="36"/>
      <c r="BL80" s="36"/>
      <c r="BM80" s="36"/>
      <c r="BN80" s="36"/>
      <c r="BO80" s="36"/>
      <c r="BP80" s="36"/>
      <c r="BQ80" s="36"/>
      <c r="BR80" s="36"/>
      <c r="BS80" s="36"/>
      <c r="BT80" s="36">
        <v>3</v>
      </c>
      <c r="BU80" s="36"/>
      <c r="BV80" s="36">
        <v>6</v>
      </c>
      <c r="BW80" s="36"/>
      <c r="BX80" s="36"/>
      <c r="BY80" s="36"/>
      <c r="BZ80" s="36"/>
      <c r="CA80" s="36"/>
      <c r="CB80" s="36"/>
      <c r="CC80" s="36"/>
      <c r="CD80" s="36"/>
      <c r="CE80" s="36"/>
      <c r="CF80" s="36">
        <v>1</v>
      </c>
      <c r="CG80" s="36"/>
      <c r="CH80" s="36">
        <v>1</v>
      </c>
      <c r="CI80" s="36"/>
      <c r="CK80" s="4" t="b">
        <f t="shared" si="1"/>
        <v>0</v>
      </c>
    </row>
    <row r="81" spans="1:89" ht="60" customHeight="1">
      <c r="A81" s="32" t="s">
        <v>87</v>
      </c>
      <c r="B81" s="32" t="s">
        <v>90</v>
      </c>
      <c r="C81" s="32" t="s">
        <v>214</v>
      </c>
      <c r="D81" s="34"/>
      <c r="E81" s="34">
        <v>100</v>
      </c>
      <c r="F81" s="34"/>
      <c r="G81" s="34">
        <v>100</v>
      </c>
      <c r="H81" s="34">
        <v>100</v>
      </c>
      <c r="I81" s="34">
        <v>100</v>
      </c>
      <c r="J81" s="34"/>
      <c r="K81" s="34">
        <v>100</v>
      </c>
      <c r="L81" s="34">
        <v>100</v>
      </c>
      <c r="M81" s="34">
        <v>100</v>
      </c>
      <c r="N81" s="34">
        <v>100</v>
      </c>
      <c r="O81" s="34">
        <v>100</v>
      </c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  <c r="AA81" s="34"/>
      <c r="AB81" s="36"/>
      <c r="AC81" s="36">
        <v>23</v>
      </c>
      <c r="AD81" s="36"/>
      <c r="AE81" s="36">
        <v>24</v>
      </c>
      <c r="AF81" s="36">
        <v>20</v>
      </c>
      <c r="AG81" s="36">
        <v>19</v>
      </c>
      <c r="AH81" s="36">
        <v>25</v>
      </c>
      <c r="AI81" s="36">
        <v>31</v>
      </c>
      <c r="AJ81" s="36">
        <v>26</v>
      </c>
      <c r="AK81" s="36">
        <v>21</v>
      </c>
      <c r="AL81" s="36">
        <v>20</v>
      </c>
      <c r="AM81" s="36">
        <v>21</v>
      </c>
      <c r="AN81" s="36"/>
      <c r="AO81" s="36">
        <v>11</v>
      </c>
      <c r="AP81" s="36"/>
      <c r="AQ81" s="36">
        <v>18</v>
      </c>
      <c r="AR81" s="36">
        <v>21</v>
      </c>
      <c r="AS81" s="36">
        <v>17</v>
      </c>
      <c r="AT81" s="36">
        <v>12</v>
      </c>
      <c r="AU81" s="36">
        <v>23</v>
      </c>
      <c r="AV81" s="36">
        <v>25</v>
      </c>
      <c r="AW81" s="36">
        <v>17</v>
      </c>
      <c r="AX81" s="36">
        <v>22</v>
      </c>
      <c r="AY81" s="36">
        <v>14</v>
      </c>
      <c r="AZ81" s="36"/>
      <c r="BA81" s="36">
        <v>25</v>
      </c>
      <c r="BB81" s="36"/>
      <c r="BC81" s="36">
        <v>29</v>
      </c>
      <c r="BD81" s="36">
        <v>28</v>
      </c>
      <c r="BE81" s="36">
        <v>33</v>
      </c>
      <c r="BF81" s="36">
        <v>30</v>
      </c>
      <c r="BG81" s="36">
        <v>30</v>
      </c>
      <c r="BH81" s="36">
        <v>38</v>
      </c>
      <c r="BI81" s="36">
        <v>44</v>
      </c>
      <c r="BJ81" s="36">
        <v>39</v>
      </c>
      <c r="BK81" s="36">
        <v>37</v>
      </c>
      <c r="BL81" s="36"/>
      <c r="BM81" s="36">
        <v>18</v>
      </c>
      <c r="BN81" s="36"/>
      <c r="BO81" s="36">
        <v>18</v>
      </c>
      <c r="BP81" s="36">
        <v>12</v>
      </c>
      <c r="BQ81" s="36">
        <v>15</v>
      </c>
      <c r="BR81" s="36">
        <v>18</v>
      </c>
      <c r="BS81" s="36">
        <v>12</v>
      </c>
      <c r="BT81" s="36">
        <v>15</v>
      </c>
      <c r="BU81" s="36">
        <v>20</v>
      </c>
      <c r="BV81" s="36">
        <v>15</v>
      </c>
      <c r="BW81" s="36">
        <v>18</v>
      </c>
      <c r="BX81" s="36"/>
      <c r="BY81" s="36">
        <v>10</v>
      </c>
      <c r="BZ81" s="36"/>
      <c r="CA81" s="36">
        <v>20</v>
      </c>
      <c r="CB81" s="36">
        <v>19</v>
      </c>
      <c r="CC81" s="36">
        <v>21</v>
      </c>
      <c r="CD81" s="36">
        <v>22</v>
      </c>
      <c r="CE81" s="36">
        <v>19</v>
      </c>
      <c r="CF81" s="36">
        <v>11</v>
      </c>
      <c r="CG81" s="36">
        <v>15</v>
      </c>
      <c r="CH81" s="36">
        <v>21</v>
      </c>
      <c r="CI81" s="36">
        <v>24</v>
      </c>
      <c r="CK81" s="4" t="b">
        <f t="shared" si="1"/>
        <v>0</v>
      </c>
    </row>
    <row r="82" spans="1:89" ht="75" customHeight="1">
      <c r="A82" s="32" t="s">
        <v>144</v>
      </c>
      <c r="B82" s="32" t="s">
        <v>207</v>
      </c>
      <c r="C82" s="32" t="s">
        <v>215</v>
      </c>
      <c r="D82" s="34"/>
      <c r="E82" s="34"/>
      <c r="F82" s="34"/>
      <c r="G82" s="34"/>
      <c r="H82" s="34"/>
      <c r="I82" s="34"/>
      <c r="J82" s="34"/>
      <c r="K82" s="34"/>
      <c r="L82" s="34"/>
      <c r="M82" s="34"/>
      <c r="N82" s="34"/>
      <c r="O82" s="34"/>
      <c r="P82" s="34"/>
      <c r="Q82" s="34"/>
      <c r="R82" s="34"/>
      <c r="S82" s="34"/>
      <c r="T82" s="34"/>
      <c r="U82" s="34"/>
      <c r="V82" s="34"/>
      <c r="W82" s="34"/>
      <c r="X82" s="34"/>
      <c r="Y82" s="34"/>
      <c r="Z82" s="34"/>
      <c r="AA82" s="34"/>
      <c r="AB82" s="36"/>
      <c r="AC82" s="36"/>
      <c r="AD82" s="36"/>
      <c r="AE82" s="36"/>
      <c r="AF82" s="36"/>
      <c r="AG82" s="36"/>
      <c r="AH82" s="36"/>
      <c r="AI82" s="36"/>
      <c r="AJ82" s="36"/>
      <c r="AK82" s="36"/>
      <c r="AL82" s="36"/>
      <c r="AM82" s="36"/>
      <c r="AN82" s="36"/>
      <c r="AO82" s="36"/>
      <c r="AP82" s="36"/>
      <c r="AQ82" s="36"/>
      <c r="AR82" s="36"/>
      <c r="AS82" s="36"/>
      <c r="AT82" s="36"/>
      <c r="AU82" s="36"/>
      <c r="AV82" s="36"/>
      <c r="AW82" s="36"/>
      <c r="AX82" s="36"/>
      <c r="AY82" s="36"/>
      <c r="AZ82" s="36"/>
      <c r="BA82" s="36"/>
      <c r="BB82" s="36"/>
      <c r="BC82" s="36"/>
      <c r="BD82" s="36"/>
      <c r="BE82" s="36"/>
      <c r="BF82" s="36">
        <v>4</v>
      </c>
      <c r="BG82" s="36"/>
      <c r="BH82" s="36">
        <v>9</v>
      </c>
      <c r="BI82" s="36">
        <v>6</v>
      </c>
      <c r="BJ82" s="36">
        <v>7</v>
      </c>
      <c r="BK82" s="36">
        <v>8</v>
      </c>
      <c r="BL82" s="36"/>
      <c r="BM82" s="36"/>
      <c r="BN82" s="36"/>
      <c r="BO82" s="36">
        <v>4</v>
      </c>
      <c r="BP82" s="36">
        <v>4</v>
      </c>
      <c r="BQ82" s="36"/>
      <c r="BR82" s="36">
        <v>2</v>
      </c>
      <c r="BS82" s="36">
        <v>14</v>
      </c>
      <c r="BT82" s="36">
        <v>2</v>
      </c>
      <c r="BU82" s="36">
        <v>3</v>
      </c>
      <c r="BV82" s="36">
        <v>2</v>
      </c>
      <c r="BW82" s="36">
        <v>2</v>
      </c>
      <c r="BX82" s="36"/>
      <c r="BY82" s="36"/>
      <c r="BZ82" s="36"/>
      <c r="CA82" s="36"/>
      <c r="CB82" s="36">
        <v>3</v>
      </c>
      <c r="CC82" s="36"/>
      <c r="CD82" s="36">
        <v>2</v>
      </c>
      <c r="CE82" s="36">
        <v>6</v>
      </c>
      <c r="CF82" s="36"/>
      <c r="CG82" s="36">
        <v>2</v>
      </c>
      <c r="CH82" s="36">
        <v>2</v>
      </c>
      <c r="CI82" s="36">
        <v>2</v>
      </c>
      <c r="CK82" s="4" t="b">
        <f t="shared" si="1"/>
        <v>0</v>
      </c>
    </row>
    <row r="83" spans="1:89" ht="90" customHeight="1">
      <c r="A83" s="32" t="s">
        <v>144</v>
      </c>
      <c r="B83" s="32" t="s">
        <v>145</v>
      </c>
      <c r="C83" s="32" t="s">
        <v>216</v>
      </c>
      <c r="D83" s="34"/>
      <c r="E83" s="34">
        <v>100</v>
      </c>
      <c r="F83" s="34"/>
      <c r="G83" s="34"/>
      <c r="H83" s="34">
        <v>100</v>
      </c>
      <c r="I83" s="34"/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34"/>
      <c r="AA83" s="34"/>
      <c r="AB83" s="36">
        <v>12</v>
      </c>
      <c r="AC83" s="36">
        <v>14</v>
      </c>
      <c r="AD83" s="36">
        <v>8</v>
      </c>
      <c r="AE83" s="36">
        <v>5</v>
      </c>
      <c r="AF83" s="36">
        <v>6</v>
      </c>
      <c r="AG83" s="36">
        <v>15</v>
      </c>
      <c r="AH83" s="36">
        <v>11</v>
      </c>
      <c r="AI83" s="36">
        <v>17</v>
      </c>
      <c r="AJ83" s="36">
        <v>35</v>
      </c>
      <c r="AK83" s="36">
        <v>21</v>
      </c>
      <c r="AL83" s="36">
        <v>18</v>
      </c>
      <c r="AM83" s="36">
        <v>17</v>
      </c>
      <c r="AN83" s="36">
        <v>11</v>
      </c>
      <c r="AO83" s="36">
        <v>14</v>
      </c>
      <c r="AP83" s="36">
        <v>13</v>
      </c>
      <c r="AQ83" s="36">
        <v>15</v>
      </c>
      <c r="AR83" s="36">
        <v>7</v>
      </c>
      <c r="AS83" s="36">
        <v>1</v>
      </c>
      <c r="AT83" s="36">
        <v>9</v>
      </c>
      <c r="AU83" s="36">
        <v>15</v>
      </c>
      <c r="AV83" s="36">
        <v>27</v>
      </c>
      <c r="AW83" s="36">
        <v>9</v>
      </c>
      <c r="AX83" s="36">
        <v>19</v>
      </c>
      <c r="AY83" s="36">
        <v>15</v>
      </c>
      <c r="AZ83" s="36">
        <v>16</v>
      </c>
      <c r="BA83" s="36">
        <v>15</v>
      </c>
      <c r="BB83" s="36">
        <v>15</v>
      </c>
      <c r="BC83" s="36">
        <v>7</v>
      </c>
      <c r="BD83" s="36">
        <v>17</v>
      </c>
      <c r="BE83" s="36">
        <v>20</v>
      </c>
      <c r="BF83" s="36">
        <v>33</v>
      </c>
      <c r="BG83" s="36">
        <v>30</v>
      </c>
      <c r="BH83" s="36">
        <v>10</v>
      </c>
      <c r="BI83" s="36">
        <v>19</v>
      </c>
      <c r="BJ83" s="36">
        <v>25</v>
      </c>
      <c r="BK83" s="36">
        <v>6</v>
      </c>
      <c r="BL83" s="36">
        <v>6</v>
      </c>
      <c r="BM83" s="36">
        <v>5</v>
      </c>
      <c r="BN83" s="36">
        <v>9</v>
      </c>
      <c r="BO83" s="36">
        <v>7</v>
      </c>
      <c r="BP83" s="36">
        <v>7</v>
      </c>
      <c r="BQ83" s="36">
        <v>6</v>
      </c>
      <c r="BR83" s="36">
        <v>18</v>
      </c>
      <c r="BS83" s="36">
        <v>11</v>
      </c>
      <c r="BT83" s="36">
        <v>31</v>
      </c>
      <c r="BU83" s="36">
        <v>34</v>
      </c>
      <c r="BV83" s="36">
        <v>48</v>
      </c>
      <c r="BW83" s="36">
        <v>29</v>
      </c>
      <c r="BX83" s="36">
        <v>10</v>
      </c>
      <c r="BY83" s="36">
        <v>10</v>
      </c>
      <c r="BZ83" s="36">
        <v>6</v>
      </c>
      <c r="CA83" s="36">
        <v>6</v>
      </c>
      <c r="CB83" s="36"/>
      <c r="CC83" s="36"/>
      <c r="CD83" s="36">
        <v>8</v>
      </c>
      <c r="CE83" s="36">
        <v>13</v>
      </c>
      <c r="CF83" s="36">
        <v>8</v>
      </c>
      <c r="CG83" s="36">
        <v>10</v>
      </c>
      <c r="CH83" s="36">
        <v>16</v>
      </c>
      <c r="CI83" s="36">
        <v>18</v>
      </c>
      <c r="CK83" s="4" t="b">
        <f t="shared" si="1"/>
        <v>0</v>
      </c>
    </row>
    <row r="84" spans="1:89" ht="60" customHeight="1">
      <c r="A84" s="32" t="s">
        <v>87</v>
      </c>
      <c r="B84" s="32" t="s">
        <v>120</v>
      </c>
      <c r="C84" s="32" t="s">
        <v>217</v>
      </c>
      <c r="D84" s="34"/>
      <c r="E84" s="34">
        <v>50</v>
      </c>
      <c r="F84" s="34">
        <v>100</v>
      </c>
      <c r="G84" s="34">
        <v>100</v>
      </c>
      <c r="H84" s="34"/>
      <c r="I84" s="34">
        <v>100</v>
      </c>
      <c r="J84" s="34">
        <v>80</v>
      </c>
      <c r="K84" s="34">
        <v>100</v>
      </c>
      <c r="L84" s="34">
        <v>100</v>
      </c>
      <c r="M84" s="34">
        <v>100</v>
      </c>
      <c r="N84" s="34">
        <v>100</v>
      </c>
      <c r="O84" s="34">
        <v>75</v>
      </c>
      <c r="P84" s="34"/>
      <c r="Q84" s="34"/>
      <c r="R84" s="34"/>
      <c r="S84" s="34"/>
      <c r="T84" s="34"/>
      <c r="U84" s="34"/>
      <c r="V84" s="34"/>
      <c r="W84" s="34"/>
      <c r="X84" s="34"/>
      <c r="Y84" s="34"/>
      <c r="Z84" s="34"/>
      <c r="AA84" s="34"/>
      <c r="AB84" s="36"/>
      <c r="AC84" s="36">
        <v>12</v>
      </c>
      <c r="AD84" s="36">
        <v>21</v>
      </c>
      <c r="AE84" s="36">
        <v>16</v>
      </c>
      <c r="AF84" s="36">
        <v>20</v>
      </c>
      <c r="AG84" s="36">
        <v>21</v>
      </c>
      <c r="AH84" s="36">
        <v>19</v>
      </c>
      <c r="AI84" s="36">
        <v>22</v>
      </c>
      <c r="AJ84" s="36">
        <v>11</v>
      </c>
      <c r="AK84" s="36">
        <v>13</v>
      </c>
      <c r="AL84" s="36">
        <v>13</v>
      </c>
      <c r="AM84" s="36">
        <v>10</v>
      </c>
      <c r="AN84" s="36"/>
      <c r="AO84" s="36">
        <v>10</v>
      </c>
      <c r="AP84" s="36">
        <v>21</v>
      </c>
      <c r="AQ84" s="36">
        <v>23</v>
      </c>
      <c r="AR84" s="36">
        <v>35</v>
      </c>
      <c r="AS84" s="36">
        <v>23</v>
      </c>
      <c r="AT84" s="36">
        <v>21</v>
      </c>
      <c r="AU84" s="36">
        <v>23</v>
      </c>
      <c r="AV84" s="36">
        <v>24</v>
      </c>
      <c r="AW84" s="36">
        <v>25</v>
      </c>
      <c r="AX84" s="36">
        <v>25</v>
      </c>
      <c r="AY84" s="36">
        <v>11</v>
      </c>
      <c r="AZ84" s="36"/>
      <c r="BA84" s="36">
        <v>4</v>
      </c>
      <c r="BB84" s="36">
        <v>1</v>
      </c>
      <c r="BC84" s="36">
        <v>5</v>
      </c>
      <c r="BD84" s="36">
        <v>3</v>
      </c>
      <c r="BE84" s="36">
        <v>2</v>
      </c>
      <c r="BF84" s="36">
        <v>6</v>
      </c>
      <c r="BG84" s="36">
        <v>2</v>
      </c>
      <c r="BH84" s="36">
        <v>3</v>
      </c>
      <c r="BI84" s="36">
        <v>1</v>
      </c>
      <c r="BJ84" s="36">
        <v>3</v>
      </c>
      <c r="BK84" s="36">
        <v>4</v>
      </c>
      <c r="BL84" s="36"/>
      <c r="BM84" s="36"/>
      <c r="BN84" s="36"/>
      <c r="BO84" s="36"/>
      <c r="BP84" s="36"/>
      <c r="BQ84" s="36"/>
      <c r="BR84" s="36"/>
      <c r="BS84" s="36"/>
      <c r="BT84" s="36"/>
      <c r="BU84" s="36">
        <v>2</v>
      </c>
      <c r="BV84" s="36">
        <v>2</v>
      </c>
      <c r="BW84" s="36">
        <v>11</v>
      </c>
      <c r="BX84" s="36"/>
      <c r="BY84" s="36"/>
      <c r="BZ84" s="36"/>
      <c r="CA84" s="36"/>
      <c r="CB84" s="36"/>
      <c r="CC84" s="36"/>
      <c r="CD84" s="36"/>
      <c r="CE84" s="36"/>
      <c r="CF84" s="36"/>
      <c r="CG84" s="36"/>
      <c r="CH84" s="36"/>
      <c r="CI84" s="36"/>
      <c r="CK84" s="4" t="b">
        <f t="shared" si="1"/>
        <v>0</v>
      </c>
    </row>
    <row r="85" spans="1:89" ht="75" customHeight="1">
      <c r="A85" s="32" t="s">
        <v>124</v>
      </c>
      <c r="B85" s="32" t="s">
        <v>218</v>
      </c>
      <c r="C85" s="32" t="s">
        <v>219</v>
      </c>
      <c r="D85" s="34"/>
      <c r="E85" s="34">
        <v>25</v>
      </c>
      <c r="F85" s="34">
        <v>100</v>
      </c>
      <c r="G85" s="34">
        <v>100</v>
      </c>
      <c r="H85" s="34">
        <v>100</v>
      </c>
      <c r="I85" s="34">
        <v>100</v>
      </c>
      <c r="J85" s="34">
        <v>100</v>
      </c>
      <c r="K85" s="34">
        <v>100</v>
      </c>
      <c r="L85" s="34">
        <v>100</v>
      </c>
      <c r="M85" s="34">
        <v>100</v>
      </c>
      <c r="N85" s="34">
        <v>100</v>
      </c>
      <c r="O85" s="34">
        <v>100</v>
      </c>
      <c r="P85" s="34"/>
      <c r="Q85" s="34"/>
      <c r="R85" s="34">
        <v>100</v>
      </c>
      <c r="S85" s="34"/>
      <c r="T85" s="34"/>
      <c r="U85" s="34"/>
      <c r="V85" s="34"/>
      <c r="W85" s="34">
        <v>100</v>
      </c>
      <c r="X85" s="34"/>
      <c r="Y85" s="34">
        <v>50</v>
      </c>
      <c r="Z85" s="34">
        <v>50</v>
      </c>
      <c r="AA85" s="34">
        <v>75</v>
      </c>
      <c r="AB85" s="36"/>
      <c r="AC85" s="36">
        <v>61</v>
      </c>
      <c r="AD85" s="36">
        <v>58</v>
      </c>
      <c r="AE85" s="36">
        <v>52</v>
      </c>
      <c r="AF85" s="36">
        <v>51</v>
      </c>
      <c r="AG85" s="36">
        <v>44</v>
      </c>
      <c r="AH85" s="36">
        <v>44</v>
      </c>
      <c r="AI85" s="36">
        <v>32</v>
      </c>
      <c r="AJ85" s="36">
        <v>54</v>
      </c>
      <c r="AK85" s="36">
        <v>54</v>
      </c>
      <c r="AL85" s="36">
        <v>71</v>
      </c>
      <c r="AM85" s="36">
        <v>85</v>
      </c>
      <c r="AN85" s="36"/>
      <c r="AO85" s="36">
        <v>452</v>
      </c>
      <c r="AP85" s="36">
        <v>19</v>
      </c>
      <c r="AQ85" s="36">
        <v>50</v>
      </c>
      <c r="AR85" s="36">
        <v>40</v>
      </c>
      <c r="AS85" s="36">
        <v>26</v>
      </c>
      <c r="AT85" s="36">
        <v>26</v>
      </c>
      <c r="AU85" s="36">
        <v>20</v>
      </c>
      <c r="AV85" s="36">
        <v>41</v>
      </c>
      <c r="AW85" s="36">
        <v>41</v>
      </c>
      <c r="AX85" s="36">
        <v>50</v>
      </c>
      <c r="AY85" s="36">
        <v>53</v>
      </c>
      <c r="AZ85" s="36"/>
      <c r="BA85" s="36">
        <v>12</v>
      </c>
      <c r="BB85" s="36">
        <v>25</v>
      </c>
      <c r="BC85" s="36">
        <v>21</v>
      </c>
      <c r="BD85" s="36">
        <v>33</v>
      </c>
      <c r="BE85" s="36">
        <v>20</v>
      </c>
      <c r="BF85" s="36">
        <v>26</v>
      </c>
      <c r="BG85" s="36">
        <v>38</v>
      </c>
      <c r="BH85" s="36">
        <v>26</v>
      </c>
      <c r="BI85" s="36">
        <v>20</v>
      </c>
      <c r="BJ85" s="36">
        <v>28</v>
      </c>
      <c r="BK85" s="36">
        <v>16</v>
      </c>
      <c r="BL85" s="36"/>
      <c r="BM85" s="36">
        <v>5</v>
      </c>
      <c r="BN85" s="36">
        <v>14</v>
      </c>
      <c r="BO85" s="36">
        <v>8</v>
      </c>
      <c r="BP85" s="36">
        <v>8</v>
      </c>
      <c r="BQ85" s="36"/>
      <c r="BR85" s="36">
        <v>10</v>
      </c>
      <c r="BS85" s="36">
        <v>15</v>
      </c>
      <c r="BT85" s="36">
        <v>13</v>
      </c>
      <c r="BU85" s="36">
        <v>5</v>
      </c>
      <c r="BV85" s="36">
        <v>6</v>
      </c>
      <c r="BW85" s="36">
        <v>3</v>
      </c>
      <c r="BX85" s="36"/>
      <c r="BY85" s="36"/>
      <c r="BZ85" s="36">
        <v>1</v>
      </c>
      <c r="CA85" s="36"/>
      <c r="CB85" s="36">
        <v>1</v>
      </c>
      <c r="CC85" s="36">
        <v>51</v>
      </c>
      <c r="CD85" s="36"/>
      <c r="CE85" s="36"/>
      <c r="CF85" s="36">
        <v>1</v>
      </c>
      <c r="CG85" s="36">
        <v>1</v>
      </c>
      <c r="CH85" s="36">
        <v>1</v>
      </c>
      <c r="CI85" s="36">
        <v>1</v>
      </c>
      <c r="CK85" s="4" t="b">
        <f t="shared" si="1"/>
        <v>0</v>
      </c>
    </row>
    <row r="86" spans="1:89" ht="90" customHeight="1">
      <c r="A86" s="32" t="s">
        <v>92</v>
      </c>
      <c r="B86" s="32" t="s">
        <v>129</v>
      </c>
      <c r="C86" s="32" t="s">
        <v>220</v>
      </c>
      <c r="D86" s="34"/>
      <c r="E86" s="34">
        <v>50</v>
      </c>
      <c r="F86" s="34"/>
      <c r="G86" s="34">
        <v>100</v>
      </c>
      <c r="H86" s="34">
        <v>100</v>
      </c>
      <c r="I86" s="34">
        <v>100</v>
      </c>
      <c r="J86" s="34">
        <v>100</v>
      </c>
      <c r="K86" s="34">
        <v>100</v>
      </c>
      <c r="L86" s="34">
        <v>100</v>
      </c>
      <c r="M86" s="34"/>
      <c r="N86" s="34">
        <v>100</v>
      </c>
      <c r="O86" s="34"/>
      <c r="P86" s="34"/>
      <c r="Q86" s="34">
        <v>50</v>
      </c>
      <c r="R86" s="34"/>
      <c r="S86" s="34">
        <v>100</v>
      </c>
      <c r="T86" s="34">
        <v>100</v>
      </c>
      <c r="U86" s="34">
        <v>100</v>
      </c>
      <c r="V86" s="34">
        <v>100</v>
      </c>
      <c r="W86" s="34">
        <v>100</v>
      </c>
      <c r="X86" s="34">
        <v>100</v>
      </c>
      <c r="Y86" s="34"/>
      <c r="Z86" s="34">
        <v>100</v>
      </c>
      <c r="AA86" s="34"/>
      <c r="AB86" s="36"/>
      <c r="AC86" s="36">
        <v>37</v>
      </c>
      <c r="AD86" s="36"/>
      <c r="AE86" s="36">
        <v>88</v>
      </c>
      <c r="AF86" s="36">
        <v>88</v>
      </c>
      <c r="AG86" s="36">
        <v>66</v>
      </c>
      <c r="AH86" s="36">
        <v>23</v>
      </c>
      <c r="AI86" s="36">
        <v>20</v>
      </c>
      <c r="AJ86" s="36">
        <v>15</v>
      </c>
      <c r="AK86" s="36">
        <v>20</v>
      </c>
      <c r="AL86" s="36">
        <v>47</v>
      </c>
      <c r="AM86" s="36">
        <v>31</v>
      </c>
      <c r="AN86" s="36"/>
      <c r="AO86" s="36">
        <v>36</v>
      </c>
      <c r="AP86" s="36"/>
      <c r="AQ86" s="36">
        <v>78</v>
      </c>
      <c r="AR86" s="36">
        <v>80</v>
      </c>
      <c r="AS86" s="36">
        <v>103</v>
      </c>
      <c r="AT86" s="36">
        <v>27</v>
      </c>
      <c r="AU86" s="36">
        <v>23</v>
      </c>
      <c r="AV86" s="36">
        <v>14</v>
      </c>
      <c r="AW86" s="36">
        <v>24</v>
      </c>
      <c r="AX86" s="36">
        <v>50</v>
      </c>
      <c r="AY86" s="36">
        <v>6</v>
      </c>
      <c r="AZ86" s="36"/>
      <c r="BA86" s="36">
        <v>32</v>
      </c>
      <c r="BB86" s="36"/>
      <c r="BC86" s="36"/>
      <c r="BD86" s="36"/>
      <c r="BE86" s="36"/>
      <c r="BF86" s="36"/>
      <c r="BG86" s="36"/>
      <c r="BH86" s="36">
        <v>18</v>
      </c>
      <c r="BI86" s="36">
        <v>22</v>
      </c>
      <c r="BJ86" s="36">
        <v>14</v>
      </c>
      <c r="BK86" s="36">
        <v>15</v>
      </c>
      <c r="BL86" s="36"/>
      <c r="BM86" s="36">
        <v>4</v>
      </c>
      <c r="BN86" s="36"/>
      <c r="BO86" s="36">
        <v>20</v>
      </c>
      <c r="BP86" s="36">
        <v>10</v>
      </c>
      <c r="BQ86" s="36">
        <v>17</v>
      </c>
      <c r="BR86" s="36">
        <v>8</v>
      </c>
      <c r="BS86" s="36">
        <v>4</v>
      </c>
      <c r="BT86" s="36">
        <v>2</v>
      </c>
      <c r="BU86" s="36">
        <v>1</v>
      </c>
      <c r="BV86" s="36">
        <v>1</v>
      </c>
      <c r="BW86" s="36">
        <v>2</v>
      </c>
      <c r="BX86" s="36"/>
      <c r="BY86" s="36">
        <v>3</v>
      </c>
      <c r="BZ86" s="36"/>
      <c r="CA86" s="36"/>
      <c r="CB86" s="36"/>
      <c r="CC86" s="36"/>
      <c r="CD86" s="36"/>
      <c r="CE86" s="36"/>
      <c r="CF86" s="36"/>
      <c r="CG86" s="36"/>
      <c r="CH86" s="36"/>
      <c r="CI86" s="36"/>
      <c r="CK86" s="4" t="b">
        <f t="shared" si="1"/>
        <v>0</v>
      </c>
    </row>
    <row r="87" spans="1:89" ht="75" customHeight="1">
      <c r="A87" s="32" t="s">
        <v>87</v>
      </c>
      <c r="B87" s="32" t="s">
        <v>106</v>
      </c>
      <c r="C87" s="32" t="s">
        <v>221</v>
      </c>
      <c r="D87" s="34"/>
      <c r="E87" s="34"/>
      <c r="F87" s="34"/>
      <c r="G87" s="34"/>
      <c r="H87" s="34"/>
      <c r="I87" s="34"/>
      <c r="J87" s="34"/>
      <c r="K87" s="34"/>
      <c r="L87" s="34"/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  <c r="AA87" s="34"/>
      <c r="AB87" s="36"/>
      <c r="AC87" s="36"/>
      <c r="AD87" s="36"/>
      <c r="AE87" s="36"/>
      <c r="AF87" s="36"/>
      <c r="AG87" s="36"/>
      <c r="AH87" s="36"/>
      <c r="AI87" s="36">
        <v>3</v>
      </c>
      <c r="AJ87" s="36"/>
      <c r="AK87" s="36"/>
      <c r="AL87" s="36"/>
      <c r="AM87" s="36"/>
      <c r="AN87" s="36"/>
      <c r="AO87" s="36"/>
      <c r="AP87" s="36"/>
      <c r="AQ87" s="36"/>
      <c r="AR87" s="36"/>
      <c r="AS87" s="36"/>
      <c r="AT87" s="36"/>
      <c r="AU87" s="36">
        <v>2</v>
      </c>
      <c r="AV87" s="36"/>
      <c r="AW87" s="36"/>
      <c r="AX87" s="36"/>
      <c r="AY87" s="36"/>
      <c r="AZ87" s="36"/>
      <c r="BA87" s="36"/>
      <c r="BB87" s="36"/>
      <c r="BC87" s="36"/>
      <c r="BD87" s="36"/>
      <c r="BE87" s="36"/>
      <c r="BF87" s="36">
        <v>3</v>
      </c>
      <c r="BG87" s="36">
        <v>14</v>
      </c>
      <c r="BH87" s="36"/>
      <c r="BI87" s="36"/>
      <c r="BJ87" s="36"/>
      <c r="BK87" s="36"/>
      <c r="BL87" s="36"/>
      <c r="BM87" s="36"/>
      <c r="BN87" s="36"/>
      <c r="BO87" s="36"/>
      <c r="BP87" s="36"/>
      <c r="BQ87" s="36"/>
      <c r="BR87" s="36"/>
      <c r="BS87" s="36">
        <v>10</v>
      </c>
      <c r="BT87" s="36"/>
      <c r="BU87" s="36"/>
      <c r="BV87" s="36"/>
      <c r="BW87" s="36"/>
      <c r="BX87" s="36"/>
      <c r="BY87" s="36"/>
      <c r="BZ87" s="36"/>
      <c r="CA87" s="36"/>
      <c r="CB87" s="36"/>
      <c r="CC87" s="36"/>
      <c r="CD87" s="36"/>
      <c r="CE87" s="36">
        <v>6</v>
      </c>
      <c r="CF87" s="36"/>
      <c r="CG87" s="36"/>
      <c r="CH87" s="36"/>
      <c r="CI87" s="36"/>
      <c r="CK87" s="4" t="b">
        <f t="shared" si="1"/>
        <v>0</v>
      </c>
    </row>
    <row r="88" spans="1:89" ht="60" customHeight="1">
      <c r="A88" s="32" t="s">
        <v>109</v>
      </c>
      <c r="B88" s="32" t="s">
        <v>110</v>
      </c>
      <c r="C88" s="32" t="s">
        <v>222</v>
      </c>
      <c r="D88" s="34"/>
      <c r="E88" s="34">
        <v>100</v>
      </c>
      <c r="F88" s="34">
        <v>100</v>
      </c>
      <c r="G88" s="34">
        <v>100</v>
      </c>
      <c r="H88" s="34">
        <v>100</v>
      </c>
      <c r="I88" s="34">
        <v>100</v>
      </c>
      <c r="J88" s="34">
        <v>100</v>
      </c>
      <c r="K88" s="34">
        <v>100</v>
      </c>
      <c r="L88" s="34">
        <v>100</v>
      </c>
      <c r="M88" s="34">
        <v>100</v>
      </c>
      <c r="N88" s="34"/>
      <c r="O88" s="34"/>
      <c r="P88" s="34"/>
      <c r="Q88" s="34">
        <v>100</v>
      </c>
      <c r="R88" s="34">
        <v>100</v>
      </c>
      <c r="S88" s="34">
        <v>100</v>
      </c>
      <c r="T88" s="34">
        <v>100</v>
      </c>
      <c r="U88" s="34">
        <v>100</v>
      </c>
      <c r="V88" s="34">
        <v>100</v>
      </c>
      <c r="W88" s="34">
        <v>100</v>
      </c>
      <c r="X88" s="34">
        <v>100</v>
      </c>
      <c r="Y88" s="34">
        <v>100</v>
      </c>
      <c r="Z88" s="34"/>
      <c r="AA88" s="34"/>
      <c r="AB88" s="36"/>
      <c r="AC88" s="36">
        <v>91</v>
      </c>
      <c r="AD88" s="36">
        <v>13</v>
      </c>
      <c r="AE88" s="36">
        <v>21</v>
      </c>
      <c r="AF88" s="36">
        <v>33</v>
      </c>
      <c r="AG88" s="36">
        <v>26</v>
      </c>
      <c r="AH88" s="36">
        <v>23</v>
      </c>
      <c r="AI88" s="36">
        <v>22</v>
      </c>
      <c r="AJ88" s="36">
        <v>13</v>
      </c>
      <c r="AK88" s="36">
        <v>23</v>
      </c>
      <c r="AL88" s="36"/>
      <c r="AM88" s="36"/>
      <c r="AN88" s="36"/>
      <c r="AO88" s="36">
        <v>35</v>
      </c>
      <c r="AP88" s="36">
        <v>10</v>
      </c>
      <c r="AQ88" s="36">
        <v>21</v>
      </c>
      <c r="AR88" s="36">
        <v>32</v>
      </c>
      <c r="AS88" s="36">
        <v>26</v>
      </c>
      <c r="AT88" s="36">
        <v>23</v>
      </c>
      <c r="AU88" s="36">
        <v>22</v>
      </c>
      <c r="AV88" s="36">
        <v>13</v>
      </c>
      <c r="AW88" s="36">
        <v>23</v>
      </c>
      <c r="AX88" s="36"/>
      <c r="AY88" s="36"/>
      <c r="AZ88" s="36"/>
      <c r="BA88" s="36">
        <v>14</v>
      </c>
      <c r="BB88" s="36">
        <v>4</v>
      </c>
      <c r="BC88" s="36">
        <v>14</v>
      </c>
      <c r="BD88" s="36">
        <v>18</v>
      </c>
      <c r="BE88" s="36">
        <v>10</v>
      </c>
      <c r="BF88" s="36">
        <v>20</v>
      </c>
      <c r="BG88" s="36">
        <v>11</v>
      </c>
      <c r="BH88" s="36">
        <v>7</v>
      </c>
      <c r="BI88" s="36">
        <v>7</v>
      </c>
      <c r="BJ88" s="36"/>
      <c r="BK88" s="36"/>
      <c r="BL88" s="36"/>
      <c r="BM88" s="36">
        <v>8</v>
      </c>
      <c r="BN88" s="36"/>
      <c r="BO88" s="36">
        <v>3</v>
      </c>
      <c r="BP88" s="36"/>
      <c r="BQ88" s="36">
        <v>5</v>
      </c>
      <c r="BR88" s="36">
        <v>4</v>
      </c>
      <c r="BS88" s="36">
        <v>6</v>
      </c>
      <c r="BT88" s="36">
        <v>4</v>
      </c>
      <c r="BU88" s="36">
        <v>4</v>
      </c>
      <c r="BV88" s="36"/>
      <c r="BW88" s="36"/>
      <c r="BX88" s="36"/>
      <c r="BY88" s="36"/>
      <c r="BZ88" s="36"/>
      <c r="CA88" s="36"/>
      <c r="CB88" s="36"/>
      <c r="CC88" s="36">
        <v>6</v>
      </c>
      <c r="CD88" s="36">
        <v>3</v>
      </c>
      <c r="CE88" s="36">
        <v>2</v>
      </c>
      <c r="CF88" s="36"/>
      <c r="CG88" s="36">
        <v>1</v>
      </c>
      <c r="CH88" s="36"/>
      <c r="CI88" s="36"/>
      <c r="CK88" s="4" t="b">
        <f t="shared" si="1"/>
        <v>0</v>
      </c>
    </row>
    <row r="89" spans="1:89" ht="75" customHeight="1">
      <c r="A89" s="32" t="s">
        <v>124</v>
      </c>
      <c r="B89" s="32" t="s">
        <v>139</v>
      </c>
      <c r="C89" s="32" t="s">
        <v>223</v>
      </c>
      <c r="D89" s="34"/>
      <c r="E89" s="34">
        <v>83.33</v>
      </c>
      <c r="F89" s="34">
        <v>75</v>
      </c>
      <c r="G89" s="34">
        <v>100</v>
      </c>
      <c r="H89" s="34">
        <v>100</v>
      </c>
      <c r="I89" s="34">
        <v>100</v>
      </c>
      <c r="J89" s="34">
        <v>100</v>
      </c>
      <c r="K89" s="34">
        <v>75</v>
      </c>
      <c r="L89" s="34">
        <v>100</v>
      </c>
      <c r="M89" s="34"/>
      <c r="N89" s="34">
        <v>100</v>
      </c>
      <c r="O89" s="34">
        <v>75</v>
      </c>
      <c r="P89" s="34"/>
      <c r="Q89" s="34">
        <v>50</v>
      </c>
      <c r="R89" s="34">
        <v>75</v>
      </c>
      <c r="S89" s="34">
        <v>100</v>
      </c>
      <c r="T89" s="34">
        <v>100</v>
      </c>
      <c r="U89" s="34">
        <v>100</v>
      </c>
      <c r="V89" s="34">
        <v>75</v>
      </c>
      <c r="W89" s="34">
        <v>50</v>
      </c>
      <c r="X89" s="34">
        <v>75</v>
      </c>
      <c r="Y89" s="34"/>
      <c r="Z89" s="34">
        <v>75</v>
      </c>
      <c r="AA89" s="34">
        <v>150</v>
      </c>
      <c r="AB89" s="36"/>
      <c r="AC89" s="36">
        <v>42</v>
      </c>
      <c r="AD89" s="36">
        <v>15</v>
      </c>
      <c r="AE89" s="36">
        <v>22</v>
      </c>
      <c r="AF89" s="36">
        <v>25</v>
      </c>
      <c r="AG89" s="36">
        <v>21</v>
      </c>
      <c r="AH89" s="36">
        <v>19</v>
      </c>
      <c r="AI89" s="36">
        <v>18</v>
      </c>
      <c r="AJ89" s="36">
        <v>21</v>
      </c>
      <c r="AK89" s="36"/>
      <c r="AL89" s="36">
        <v>25</v>
      </c>
      <c r="AM89" s="36">
        <v>64</v>
      </c>
      <c r="AN89" s="36"/>
      <c r="AO89" s="36">
        <v>39</v>
      </c>
      <c r="AP89" s="36">
        <v>14</v>
      </c>
      <c r="AQ89" s="36">
        <v>22</v>
      </c>
      <c r="AR89" s="36">
        <v>23</v>
      </c>
      <c r="AS89" s="36">
        <v>21</v>
      </c>
      <c r="AT89" s="36">
        <v>16</v>
      </c>
      <c r="AU89" s="36">
        <v>17</v>
      </c>
      <c r="AV89" s="36">
        <v>18</v>
      </c>
      <c r="AW89" s="36"/>
      <c r="AX89" s="36">
        <v>24</v>
      </c>
      <c r="AY89" s="36">
        <v>64</v>
      </c>
      <c r="AZ89" s="36"/>
      <c r="BA89" s="36">
        <v>10</v>
      </c>
      <c r="BB89" s="36">
        <v>28</v>
      </c>
      <c r="BC89" s="36">
        <v>32</v>
      </c>
      <c r="BD89" s="36">
        <v>18</v>
      </c>
      <c r="BE89" s="36">
        <v>9</v>
      </c>
      <c r="BF89" s="36">
        <v>6</v>
      </c>
      <c r="BG89" s="36">
        <v>19</v>
      </c>
      <c r="BH89" s="36">
        <v>10</v>
      </c>
      <c r="BI89" s="36"/>
      <c r="BJ89" s="36">
        <v>25</v>
      </c>
      <c r="BK89" s="36">
        <v>10</v>
      </c>
      <c r="BL89" s="36"/>
      <c r="BM89" s="36">
        <v>10</v>
      </c>
      <c r="BN89" s="36"/>
      <c r="BO89" s="36">
        <v>10</v>
      </c>
      <c r="BP89" s="36">
        <v>8</v>
      </c>
      <c r="BQ89" s="36">
        <v>22</v>
      </c>
      <c r="BR89" s="36">
        <v>11</v>
      </c>
      <c r="BS89" s="36">
        <v>12</v>
      </c>
      <c r="BT89" s="36">
        <v>6</v>
      </c>
      <c r="BU89" s="36"/>
      <c r="BV89" s="36">
        <v>14</v>
      </c>
      <c r="BW89" s="36">
        <v>11</v>
      </c>
      <c r="BX89" s="36"/>
      <c r="BY89" s="36">
        <v>10</v>
      </c>
      <c r="BZ89" s="36"/>
      <c r="CA89" s="36"/>
      <c r="CB89" s="36"/>
      <c r="CC89" s="36">
        <v>1</v>
      </c>
      <c r="CD89" s="36">
        <v>5</v>
      </c>
      <c r="CE89" s="36">
        <v>3</v>
      </c>
      <c r="CF89" s="36">
        <v>2</v>
      </c>
      <c r="CG89" s="36"/>
      <c r="CH89" s="36">
        <v>2</v>
      </c>
      <c r="CI89" s="36">
        <v>1</v>
      </c>
      <c r="CK89" s="4" t="b">
        <f t="shared" si="1"/>
        <v>0</v>
      </c>
    </row>
    <row r="90" spans="1:89" ht="75" customHeight="1">
      <c r="A90" s="32" t="s">
        <v>87</v>
      </c>
      <c r="B90" s="32" t="s">
        <v>104</v>
      </c>
      <c r="C90" s="32" t="s">
        <v>224</v>
      </c>
      <c r="D90" s="34"/>
      <c r="E90" s="34">
        <v>55.56</v>
      </c>
      <c r="F90" s="34">
        <v>100</v>
      </c>
      <c r="G90" s="34"/>
      <c r="H90" s="34">
        <v>100</v>
      </c>
      <c r="I90" s="34">
        <v>100</v>
      </c>
      <c r="J90" s="34">
        <v>100</v>
      </c>
      <c r="K90" s="34">
        <v>88.89</v>
      </c>
      <c r="L90" s="34">
        <v>100</v>
      </c>
      <c r="M90" s="34">
        <v>100</v>
      </c>
      <c r="N90" s="34"/>
      <c r="O90" s="34">
        <v>100</v>
      </c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34"/>
      <c r="AA90" s="34">
        <v>100</v>
      </c>
      <c r="AB90" s="36"/>
      <c r="AC90" s="36">
        <v>17</v>
      </c>
      <c r="AD90" s="36">
        <v>27</v>
      </c>
      <c r="AE90" s="36"/>
      <c r="AF90" s="36">
        <v>44</v>
      </c>
      <c r="AG90" s="36">
        <v>38</v>
      </c>
      <c r="AH90" s="36">
        <v>36</v>
      </c>
      <c r="AI90" s="36">
        <v>49</v>
      </c>
      <c r="AJ90" s="36">
        <v>46</v>
      </c>
      <c r="AK90" s="36">
        <v>41</v>
      </c>
      <c r="AL90" s="36">
        <v>33</v>
      </c>
      <c r="AM90" s="36">
        <v>62</v>
      </c>
      <c r="AN90" s="36"/>
      <c r="AO90" s="36">
        <v>171</v>
      </c>
      <c r="AP90" s="36">
        <v>33</v>
      </c>
      <c r="AQ90" s="36"/>
      <c r="AR90" s="36"/>
      <c r="AS90" s="36">
        <v>28</v>
      </c>
      <c r="AT90" s="36">
        <v>41</v>
      </c>
      <c r="AU90" s="36">
        <v>65</v>
      </c>
      <c r="AV90" s="36">
        <v>54</v>
      </c>
      <c r="AW90" s="36">
        <v>59</v>
      </c>
      <c r="AX90" s="36">
        <v>31</v>
      </c>
      <c r="AY90" s="36">
        <v>48</v>
      </c>
      <c r="AZ90" s="36"/>
      <c r="BA90" s="36">
        <v>43</v>
      </c>
      <c r="BB90" s="36">
        <v>58</v>
      </c>
      <c r="BC90" s="36"/>
      <c r="BD90" s="36">
        <v>53</v>
      </c>
      <c r="BE90" s="36">
        <v>42</v>
      </c>
      <c r="BF90" s="36">
        <v>35</v>
      </c>
      <c r="BG90" s="36">
        <v>42</v>
      </c>
      <c r="BH90" s="36">
        <v>43</v>
      </c>
      <c r="BI90" s="36">
        <v>68</v>
      </c>
      <c r="BJ90" s="36">
        <v>59</v>
      </c>
      <c r="BK90" s="36">
        <v>55</v>
      </c>
      <c r="BL90" s="36"/>
      <c r="BM90" s="36">
        <v>1</v>
      </c>
      <c r="BN90" s="36">
        <v>1</v>
      </c>
      <c r="BO90" s="36"/>
      <c r="BP90" s="36">
        <v>27</v>
      </c>
      <c r="BQ90" s="36">
        <v>15</v>
      </c>
      <c r="BR90" s="36">
        <v>17</v>
      </c>
      <c r="BS90" s="36">
        <v>16</v>
      </c>
      <c r="BT90" s="36">
        <v>27</v>
      </c>
      <c r="BU90" s="36">
        <v>17</v>
      </c>
      <c r="BV90" s="36">
        <v>32</v>
      </c>
      <c r="BW90" s="36">
        <v>20</v>
      </c>
      <c r="BX90" s="36"/>
      <c r="BY90" s="36"/>
      <c r="BZ90" s="36"/>
      <c r="CA90" s="36"/>
      <c r="CB90" s="36">
        <v>2</v>
      </c>
      <c r="CC90" s="36"/>
      <c r="CD90" s="36"/>
      <c r="CE90" s="36"/>
      <c r="CF90" s="36">
        <v>2</v>
      </c>
      <c r="CG90" s="36">
        <v>216</v>
      </c>
      <c r="CH90" s="36">
        <v>2</v>
      </c>
      <c r="CI90" s="36">
        <v>1</v>
      </c>
      <c r="CK90" s="4" t="b">
        <f t="shared" si="1"/>
        <v>0</v>
      </c>
    </row>
    <row r="91" spans="1:89" ht="60" customHeight="1">
      <c r="A91" s="32" t="s">
        <v>144</v>
      </c>
      <c r="B91" s="32" t="s">
        <v>225</v>
      </c>
      <c r="C91" s="32" t="s">
        <v>226</v>
      </c>
      <c r="D91" s="34"/>
      <c r="E91" s="34">
        <v>100</v>
      </c>
      <c r="F91" s="34">
        <v>100</v>
      </c>
      <c r="G91" s="34">
        <v>100</v>
      </c>
      <c r="H91" s="34">
        <v>100</v>
      </c>
      <c r="I91" s="34">
        <v>100</v>
      </c>
      <c r="J91" s="34">
        <v>100</v>
      </c>
      <c r="K91" s="34">
        <v>100</v>
      </c>
      <c r="L91" s="34"/>
      <c r="M91" s="34"/>
      <c r="N91" s="34">
        <v>100</v>
      </c>
      <c r="O91" s="34">
        <v>100</v>
      </c>
      <c r="P91" s="34"/>
      <c r="Q91" s="34">
        <v>300</v>
      </c>
      <c r="R91" s="34"/>
      <c r="S91" s="34"/>
      <c r="T91" s="34"/>
      <c r="U91" s="34"/>
      <c r="V91" s="34"/>
      <c r="W91" s="34"/>
      <c r="X91" s="34"/>
      <c r="Y91" s="34"/>
      <c r="Z91" s="34"/>
      <c r="AA91" s="34"/>
      <c r="AB91" s="36"/>
      <c r="AC91" s="36">
        <v>50</v>
      </c>
      <c r="AD91" s="36">
        <v>12</v>
      </c>
      <c r="AE91" s="36">
        <v>12</v>
      </c>
      <c r="AF91" s="36">
        <v>21</v>
      </c>
      <c r="AG91" s="36">
        <v>22</v>
      </c>
      <c r="AH91" s="36">
        <v>17</v>
      </c>
      <c r="AI91" s="36">
        <v>13</v>
      </c>
      <c r="AJ91" s="36">
        <v>12</v>
      </c>
      <c r="AK91" s="36">
        <v>18</v>
      </c>
      <c r="AL91" s="36">
        <v>14</v>
      </c>
      <c r="AM91" s="36">
        <v>17</v>
      </c>
      <c r="AN91" s="36"/>
      <c r="AO91" s="36">
        <v>40</v>
      </c>
      <c r="AP91" s="36">
        <v>13</v>
      </c>
      <c r="AQ91" s="36">
        <v>19</v>
      </c>
      <c r="AR91" s="36">
        <v>18</v>
      </c>
      <c r="AS91" s="36">
        <v>9</v>
      </c>
      <c r="AT91" s="36">
        <v>26</v>
      </c>
      <c r="AU91" s="36">
        <v>17</v>
      </c>
      <c r="AV91" s="36">
        <v>14</v>
      </c>
      <c r="AW91" s="36">
        <v>15</v>
      </c>
      <c r="AX91" s="36">
        <v>19</v>
      </c>
      <c r="AY91" s="36">
        <v>11</v>
      </c>
      <c r="AZ91" s="36"/>
      <c r="BA91" s="36">
        <v>25</v>
      </c>
      <c r="BB91" s="36">
        <v>4</v>
      </c>
      <c r="BC91" s="36">
        <v>3</v>
      </c>
      <c r="BD91" s="36">
        <v>7</v>
      </c>
      <c r="BE91" s="36">
        <v>9</v>
      </c>
      <c r="BF91" s="36">
        <v>6</v>
      </c>
      <c r="BG91" s="36">
        <v>10</v>
      </c>
      <c r="BH91" s="36">
        <v>6</v>
      </c>
      <c r="BI91" s="36">
        <v>4</v>
      </c>
      <c r="BJ91" s="36">
        <v>9</v>
      </c>
      <c r="BK91" s="36">
        <v>2</v>
      </c>
      <c r="BL91" s="36"/>
      <c r="BM91" s="36">
        <v>4</v>
      </c>
      <c r="BN91" s="36">
        <v>7</v>
      </c>
      <c r="BO91" s="36"/>
      <c r="BP91" s="36">
        <v>3</v>
      </c>
      <c r="BQ91" s="36">
        <v>2</v>
      </c>
      <c r="BR91" s="36">
        <v>4</v>
      </c>
      <c r="BS91" s="36">
        <v>7</v>
      </c>
      <c r="BT91" s="36">
        <v>2</v>
      </c>
      <c r="BU91" s="36">
        <v>2</v>
      </c>
      <c r="BV91" s="36">
        <v>4</v>
      </c>
      <c r="BW91" s="36">
        <v>2</v>
      </c>
      <c r="BX91" s="36"/>
      <c r="BY91" s="36"/>
      <c r="BZ91" s="36"/>
      <c r="CA91" s="36"/>
      <c r="CB91" s="36"/>
      <c r="CC91" s="36"/>
      <c r="CD91" s="36"/>
      <c r="CE91" s="36"/>
      <c r="CF91" s="36"/>
      <c r="CG91" s="36"/>
      <c r="CH91" s="36"/>
      <c r="CI91" s="36">
        <v>15</v>
      </c>
      <c r="CK91" s="4" t="b">
        <f t="shared" si="1"/>
        <v>0</v>
      </c>
    </row>
    <row r="92" spans="1:89" ht="75" customHeight="1">
      <c r="A92" s="32" t="s">
        <v>144</v>
      </c>
      <c r="B92" s="32" t="s">
        <v>145</v>
      </c>
      <c r="C92" s="32" t="s">
        <v>227</v>
      </c>
      <c r="D92" s="34"/>
      <c r="E92" s="34">
        <v>88.89</v>
      </c>
      <c r="F92" s="34">
        <v>83.33</v>
      </c>
      <c r="G92" s="34">
        <v>70.59</v>
      </c>
      <c r="H92" s="34">
        <v>93.75</v>
      </c>
      <c r="I92" s="34">
        <v>93.75</v>
      </c>
      <c r="J92" s="34"/>
      <c r="K92" s="34">
        <v>93.75</v>
      </c>
      <c r="L92" s="34">
        <v>77.78</v>
      </c>
      <c r="M92" s="34">
        <v>89.47</v>
      </c>
      <c r="N92" s="34">
        <v>82.35</v>
      </c>
      <c r="O92" s="34">
        <v>87.5</v>
      </c>
      <c r="P92" s="34"/>
      <c r="Q92" s="34"/>
      <c r="R92" s="34">
        <v>133.33000000000001</v>
      </c>
      <c r="S92" s="34"/>
      <c r="T92" s="34">
        <v>66.67</v>
      </c>
      <c r="U92" s="34">
        <v>66.67</v>
      </c>
      <c r="V92" s="34"/>
      <c r="W92" s="34">
        <v>100</v>
      </c>
      <c r="X92" s="34"/>
      <c r="Y92" s="34">
        <v>66.67</v>
      </c>
      <c r="Z92" s="34">
        <v>100</v>
      </c>
      <c r="AA92" s="34">
        <v>133.33000000000001</v>
      </c>
      <c r="AB92" s="36"/>
      <c r="AC92" s="36">
        <v>50</v>
      </c>
      <c r="AD92" s="36">
        <v>113</v>
      </c>
      <c r="AE92" s="36">
        <v>77</v>
      </c>
      <c r="AF92" s="36">
        <v>103</v>
      </c>
      <c r="AG92" s="36">
        <v>88</v>
      </c>
      <c r="AH92" s="36">
        <v>103</v>
      </c>
      <c r="AI92" s="36">
        <v>86</v>
      </c>
      <c r="AJ92" s="36">
        <v>56</v>
      </c>
      <c r="AK92" s="36">
        <v>73</v>
      </c>
      <c r="AL92" s="36">
        <v>94</v>
      </c>
      <c r="AM92" s="36">
        <v>128</v>
      </c>
      <c r="AN92" s="36"/>
      <c r="AO92" s="36">
        <v>41</v>
      </c>
      <c r="AP92" s="36">
        <v>93</v>
      </c>
      <c r="AQ92" s="36">
        <v>76</v>
      </c>
      <c r="AR92" s="36">
        <v>79</v>
      </c>
      <c r="AS92" s="36">
        <v>80</v>
      </c>
      <c r="AT92" s="36">
        <v>68</v>
      </c>
      <c r="AU92" s="36">
        <v>107</v>
      </c>
      <c r="AV92" s="36">
        <v>93</v>
      </c>
      <c r="AW92" s="36">
        <v>75</v>
      </c>
      <c r="AX92" s="36">
        <v>71</v>
      </c>
      <c r="AY92" s="36">
        <v>69</v>
      </c>
      <c r="AZ92" s="36"/>
      <c r="BA92" s="36">
        <v>12</v>
      </c>
      <c r="BB92" s="36">
        <v>32</v>
      </c>
      <c r="BC92" s="36">
        <v>34</v>
      </c>
      <c r="BD92" s="36">
        <v>38</v>
      </c>
      <c r="BE92" s="36">
        <v>27</v>
      </c>
      <c r="BF92" s="36">
        <v>31</v>
      </c>
      <c r="BG92" s="36">
        <v>55</v>
      </c>
      <c r="BH92" s="36">
        <v>41</v>
      </c>
      <c r="BI92" s="36">
        <v>50</v>
      </c>
      <c r="BJ92" s="36">
        <v>40</v>
      </c>
      <c r="BK92" s="36">
        <v>33</v>
      </c>
      <c r="BL92" s="36"/>
      <c r="BM92" s="36">
        <v>11</v>
      </c>
      <c r="BN92" s="36">
        <v>23</v>
      </c>
      <c r="BO92" s="36">
        <v>29</v>
      </c>
      <c r="BP92" s="36">
        <v>16</v>
      </c>
      <c r="BQ92" s="36">
        <v>10</v>
      </c>
      <c r="BR92" s="36">
        <v>16</v>
      </c>
      <c r="BS92" s="36">
        <v>14</v>
      </c>
      <c r="BT92" s="36">
        <v>6</v>
      </c>
      <c r="BU92" s="36">
        <v>6</v>
      </c>
      <c r="BV92" s="36">
        <v>18</v>
      </c>
      <c r="BW92" s="36">
        <v>15</v>
      </c>
      <c r="BX92" s="36"/>
      <c r="BY92" s="36"/>
      <c r="BZ92" s="36"/>
      <c r="CA92" s="36"/>
      <c r="CB92" s="36"/>
      <c r="CC92" s="36"/>
      <c r="CD92" s="36"/>
      <c r="CE92" s="36"/>
      <c r="CF92" s="36"/>
      <c r="CG92" s="36"/>
      <c r="CH92" s="36"/>
      <c r="CI92" s="36"/>
      <c r="CK92" s="4" t="b">
        <f t="shared" si="1"/>
        <v>0</v>
      </c>
    </row>
    <row r="93" spans="1:89" ht="90" customHeight="1">
      <c r="A93" s="32" t="s">
        <v>144</v>
      </c>
      <c r="B93" s="32" t="s">
        <v>145</v>
      </c>
      <c r="C93" s="32" t="s">
        <v>228</v>
      </c>
      <c r="D93" s="34"/>
      <c r="E93" s="34">
        <v>100</v>
      </c>
      <c r="F93" s="34">
        <v>100</v>
      </c>
      <c r="G93" s="34"/>
      <c r="H93" s="34">
        <v>100</v>
      </c>
      <c r="I93" s="34">
        <v>100</v>
      </c>
      <c r="J93" s="34">
        <v>100</v>
      </c>
      <c r="K93" s="34">
        <v>91.67</v>
      </c>
      <c r="L93" s="34">
        <v>91.67</v>
      </c>
      <c r="M93" s="34">
        <v>100</v>
      </c>
      <c r="N93" s="34">
        <v>100</v>
      </c>
      <c r="O93" s="34">
        <v>100</v>
      </c>
      <c r="P93" s="34"/>
      <c r="Q93" s="34"/>
      <c r="R93" s="34">
        <v>100</v>
      </c>
      <c r="S93" s="34"/>
      <c r="T93" s="34">
        <v>100</v>
      </c>
      <c r="U93" s="34">
        <v>100</v>
      </c>
      <c r="V93" s="34">
        <v>100</v>
      </c>
      <c r="W93" s="34">
        <v>100</v>
      </c>
      <c r="X93" s="34">
        <v>100</v>
      </c>
      <c r="Y93" s="34">
        <v>100</v>
      </c>
      <c r="Z93" s="34">
        <v>50</v>
      </c>
      <c r="AA93" s="34">
        <v>100</v>
      </c>
      <c r="AB93" s="36"/>
      <c r="AC93" s="36">
        <v>250</v>
      </c>
      <c r="AD93" s="36">
        <v>109</v>
      </c>
      <c r="AE93" s="36"/>
      <c r="AF93" s="36">
        <v>144</v>
      </c>
      <c r="AG93" s="36">
        <v>129</v>
      </c>
      <c r="AH93" s="36">
        <v>143</v>
      </c>
      <c r="AI93" s="36">
        <v>141</v>
      </c>
      <c r="AJ93" s="36">
        <v>112</v>
      </c>
      <c r="AK93" s="36">
        <v>138</v>
      </c>
      <c r="AL93" s="36">
        <v>147</v>
      </c>
      <c r="AM93" s="36">
        <v>146</v>
      </c>
      <c r="AN93" s="36"/>
      <c r="AO93" s="36">
        <v>255</v>
      </c>
      <c r="AP93" s="36">
        <v>112</v>
      </c>
      <c r="AQ93" s="36"/>
      <c r="AR93" s="36">
        <v>148</v>
      </c>
      <c r="AS93" s="36">
        <v>131</v>
      </c>
      <c r="AT93" s="36">
        <v>147</v>
      </c>
      <c r="AU93" s="36">
        <v>139</v>
      </c>
      <c r="AV93" s="36">
        <v>110</v>
      </c>
      <c r="AW93" s="36">
        <v>141</v>
      </c>
      <c r="AX93" s="36">
        <v>118</v>
      </c>
      <c r="AY93" s="36">
        <v>145</v>
      </c>
      <c r="AZ93" s="36"/>
      <c r="BA93" s="36">
        <v>46</v>
      </c>
      <c r="BB93" s="36">
        <v>71</v>
      </c>
      <c r="BC93" s="36"/>
      <c r="BD93" s="36">
        <v>81</v>
      </c>
      <c r="BE93" s="36">
        <v>66</v>
      </c>
      <c r="BF93" s="36">
        <v>67</v>
      </c>
      <c r="BG93" s="36">
        <v>48</v>
      </c>
      <c r="BH93" s="36">
        <v>78</v>
      </c>
      <c r="BI93" s="36">
        <v>70</v>
      </c>
      <c r="BJ93" s="36">
        <v>78</v>
      </c>
      <c r="BK93" s="36">
        <v>75</v>
      </c>
      <c r="BL93" s="36"/>
      <c r="BM93" s="36">
        <v>12</v>
      </c>
      <c r="BN93" s="36">
        <v>23</v>
      </c>
      <c r="BO93" s="36"/>
      <c r="BP93" s="36">
        <v>48</v>
      </c>
      <c r="BQ93" s="36">
        <v>30</v>
      </c>
      <c r="BR93" s="36">
        <v>35</v>
      </c>
      <c r="BS93" s="36">
        <v>28</v>
      </c>
      <c r="BT93" s="36">
        <v>33</v>
      </c>
      <c r="BU93" s="36">
        <v>35</v>
      </c>
      <c r="BV93" s="36">
        <v>43</v>
      </c>
      <c r="BW93" s="36">
        <v>38</v>
      </c>
      <c r="BX93" s="36"/>
      <c r="BY93" s="36"/>
      <c r="BZ93" s="36"/>
      <c r="CA93" s="36"/>
      <c r="CB93" s="36">
        <v>3</v>
      </c>
      <c r="CC93" s="36"/>
      <c r="CD93" s="36">
        <v>2</v>
      </c>
      <c r="CE93" s="36">
        <v>1</v>
      </c>
      <c r="CF93" s="36">
        <v>7</v>
      </c>
      <c r="CG93" s="36">
        <v>2</v>
      </c>
      <c r="CH93" s="36">
        <v>5</v>
      </c>
      <c r="CI93" s="36"/>
      <c r="CK93" s="4" t="b">
        <f t="shared" si="1"/>
        <v>0</v>
      </c>
    </row>
    <row r="94" spans="1:89" ht="60" customHeight="1">
      <c r="A94" s="32" t="s">
        <v>87</v>
      </c>
      <c r="B94" s="32" t="s">
        <v>104</v>
      </c>
      <c r="C94" s="32" t="s">
        <v>229</v>
      </c>
      <c r="D94" s="34"/>
      <c r="E94" s="34">
        <v>62.5</v>
      </c>
      <c r="F94" s="34">
        <v>100</v>
      </c>
      <c r="G94" s="34">
        <v>100</v>
      </c>
      <c r="H94" s="34">
        <v>100</v>
      </c>
      <c r="I94" s="34">
        <v>100</v>
      </c>
      <c r="J94" s="34">
        <v>88.89</v>
      </c>
      <c r="K94" s="34"/>
      <c r="L94" s="34">
        <v>75</v>
      </c>
      <c r="M94" s="34">
        <v>88.89</v>
      </c>
      <c r="N94" s="34">
        <v>88.89</v>
      </c>
      <c r="O94" s="34">
        <v>100</v>
      </c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  <c r="AA94" s="34"/>
      <c r="AB94" s="36"/>
      <c r="AC94" s="36">
        <v>26</v>
      </c>
      <c r="AD94" s="36">
        <v>34</v>
      </c>
      <c r="AE94" s="36">
        <v>36</v>
      </c>
      <c r="AF94" s="36">
        <v>73</v>
      </c>
      <c r="AG94" s="36">
        <v>60</v>
      </c>
      <c r="AH94" s="36">
        <v>54</v>
      </c>
      <c r="AI94" s="36">
        <v>63</v>
      </c>
      <c r="AJ94" s="36">
        <v>35</v>
      </c>
      <c r="AK94" s="36">
        <v>34</v>
      </c>
      <c r="AL94" s="36">
        <v>48</v>
      </c>
      <c r="AM94" s="36">
        <v>42</v>
      </c>
      <c r="AN94" s="36"/>
      <c r="AO94" s="36">
        <v>22</v>
      </c>
      <c r="AP94" s="36">
        <v>36</v>
      </c>
      <c r="AQ94" s="36">
        <v>69</v>
      </c>
      <c r="AR94" s="36">
        <v>48</v>
      </c>
      <c r="AS94" s="36">
        <v>38</v>
      </c>
      <c r="AT94" s="36">
        <v>57</v>
      </c>
      <c r="AU94" s="36">
        <v>83</v>
      </c>
      <c r="AV94" s="36">
        <v>38</v>
      </c>
      <c r="AW94" s="36">
        <v>74</v>
      </c>
      <c r="AX94" s="36">
        <v>47</v>
      </c>
      <c r="AY94" s="36">
        <v>34</v>
      </c>
      <c r="AZ94" s="36"/>
      <c r="BA94" s="36">
        <v>17</v>
      </c>
      <c r="BB94" s="36">
        <v>17</v>
      </c>
      <c r="BC94" s="36">
        <v>24</v>
      </c>
      <c r="BD94" s="36">
        <v>14</v>
      </c>
      <c r="BE94" s="36">
        <v>18</v>
      </c>
      <c r="BF94" s="36">
        <v>16</v>
      </c>
      <c r="BG94" s="36">
        <v>31</v>
      </c>
      <c r="BH94" s="36">
        <v>20</v>
      </c>
      <c r="BI94" s="36">
        <v>17</v>
      </c>
      <c r="BJ94" s="36">
        <v>22</v>
      </c>
      <c r="BK94" s="36">
        <v>22</v>
      </c>
      <c r="BL94" s="36"/>
      <c r="BM94" s="36">
        <v>18</v>
      </c>
      <c r="BN94" s="36">
        <v>13</v>
      </c>
      <c r="BO94" s="36">
        <v>13</v>
      </c>
      <c r="BP94" s="36">
        <v>6</v>
      </c>
      <c r="BQ94" s="36">
        <v>11</v>
      </c>
      <c r="BR94" s="36">
        <v>11</v>
      </c>
      <c r="BS94" s="36">
        <v>6</v>
      </c>
      <c r="BT94" s="36">
        <v>11</v>
      </c>
      <c r="BU94" s="36">
        <v>10</v>
      </c>
      <c r="BV94" s="36">
        <v>14</v>
      </c>
      <c r="BW94" s="36">
        <v>10</v>
      </c>
      <c r="BX94" s="36"/>
      <c r="BY94" s="36"/>
      <c r="BZ94" s="36">
        <v>4</v>
      </c>
      <c r="CA94" s="36">
        <v>1</v>
      </c>
      <c r="CB94" s="36">
        <v>4</v>
      </c>
      <c r="CC94" s="36">
        <v>2</v>
      </c>
      <c r="CD94" s="36"/>
      <c r="CE94" s="36">
        <v>1</v>
      </c>
      <c r="CF94" s="36">
        <v>3</v>
      </c>
      <c r="CG94" s="36">
        <v>2</v>
      </c>
      <c r="CH94" s="36"/>
      <c r="CI94" s="36">
        <v>3</v>
      </c>
      <c r="CK94" s="4" t="b">
        <f t="shared" si="1"/>
        <v>0</v>
      </c>
    </row>
    <row r="95" spans="1:89" ht="60" customHeight="1">
      <c r="A95" s="32" t="s">
        <v>92</v>
      </c>
      <c r="B95" s="32" t="s">
        <v>230</v>
      </c>
      <c r="C95" s="32" t="s">
        <v>231</v>
      </c>
      <c r="D95" s="34"/>
      <c r="E95" s="34">
        <v>50</v>
      </c>
      <c r="F95" s="34">
        <v>100</v>
      </c>
      <c r="G95" s="34"/>
      <c r="H95" s="34">
        <v>100</v>
      </c>
      <c r="I95" s="34">
        <v>100</v>
      </c>
      <c r="J95" s="34">
        <v>100</v>
      </c>
      <c r="K95" s="34"/>
      <c r="L95" s="34">
        <v>100</v>
      </c>
      <c r="M95" s="34">
        <v>75</v>
      </c>
      <c r="N95" s="34">
        <v>100</v>
      </c>
      <c r="O95" s="34">
        <v>100</v>
      </c>
      <c r="P95" s="34"/>
      <c r="Q95" s="34">
        <v>50</v>
      </c>
      <c r="R95" s="34">
        <v>100</v>
      </c>
      <c r="S95" s="34"/>
      <c r="T95" s="34">
        <v>100</v>
      </c>
      <c r="U95" s="34">
        <v>50</v>
      </c>
      <c r="V95" s="34">
        <v>100</v>
      </c>
      <c r="W95" s="34"/>
      <c r="X95" s="34">
        <v>100</v>
      </c>
      <c r="Y95" s="34">
        <v>100</v>
      </c>
      <c r="Z95" s="34">
        <v>100</v>
      </c>
      <c r="AA95" s="34">
        <v>100</v>
      </c>
      <c r="AB95" s="36"/>
      <c r="AC95" s="36">
        <v>9</v>
      </c>
      <c r="AD95" s="36">
        <v>13</v>
      </c>
      <c r="AE95" s="36"/>
      <c r="AF95" s="36">
        <v>15</v>
      </c>
      <c r="AG95" s="36">
        <v>16</v>
      </c>
      <c r="AH95" s="36">
        <v>14</v>
      </c>
      <c r="AI95" s="36">
        <v>9</v>
      </c>
      <c r="AJ95" s="36">
        <v>7</v>
      </c>
      <c r="AK95" s="36">
        <v>11</v>
      </c>
      <c r="AL95" s="36">
        <v>14</v>
      </c>
      <c r="AM95" s="36">
        <v>11</v>
      </c>
      <c r="AN95" s="36"/>
      <c r="AO95" s="36">
        <v>10</v>
      </c>
      <c r="AP95" s="36">
        <v>10</v>
      </c>
      <c r="AQ95" s="36"/>
      <c r="AR95" s="36">
        <v>17</v>
      </c>
      <c r="AS95" s="36">
        <v>18</v>
      </c>
      <c r="AT95" s="36">
        <v>12</v>
      </c>
      <c r="AU95" s="36"/>
      <c r="AV95" s="36">
        <v>9</v>
      </c>
      <c r="AW95" s="36">
        <v>8</v>
      </c>
      <c r="AX95" s="36">
        <v>15</v>
      </c>
      <c r="AY95" s="36">
        <v>13</v>
      </c>
      <c r="AZ95" s="36"/>
      <c r="BA95" s="36">
        <v>10</v>
      </c>
      <c r="BB95" s="36">
        <v>16</v>
      </c>
      <c r="BC95" s="36"/>
      <c r="BD95" s="36"/>
      <c r="BE95" s="36"/>
      <c r="BF95" s="36">
        <v>4</v>
      </c>
      <c r="BG95" s="36"/>
      <c r="BH95" s="36">
        <v>6</v>
      </c>
      <c r="BI95" s="36">
        <v>9</v>
      </c>
      <c r="BJ95" s="36">
        <v>13</v>
      </c>
      <c r="BK95" s="36"/>
      <c r="BL95" s="36"/>
      <c r="BM95" s="36"/>
      <c r="BN95" s="36"/>
      <c r="BO95" s="36"/>
      <c r="BP95" s="36"/>
      <c r="BQ95" s="36"/>
      <c r="BR95" s="36"/>
      <c r="BS95" s="36"/>
      <c r="BT95" s="36"/>
      <c r="BU95" s="36"/>
      <c r="BV95" s="36"/>
      <c r="BW95" s="36"/>
      <c r="BX95" s="36"/>
      <c r="BY95" s="36"/>
      <c r="BZ95" s="36"/>
      <c r="CA95" s="36"/>
      <c r="CB95" s="36"/>
      <c r="CC95" s="36"/>
      <c r="CD95" s="36"/>
      <c r="CE95" s="36"/>
      <c r="CF95" s="36"/>
      <c r="CG95" s="36"/>
      <c r="CH95" s="36"/>
      <c r="CI95" s="36"/>
      <c r="CK95" s="4" t="b">
        <f t="shared" si="1"/>
        <v>0</v>
      </c>
    </row>
    <row r="96" spans="1:89" ht="90" customHeight="1">
      <c r="A96" s="32" t="s">
        <v>87</v>
      </c>
      <c r="B96" s="32" t="s">
        <v>232</v>
      </c>
      <c r="C96" s="32" t="s">
        <v>233</v>
      </c>
      <c r="D96" s="34"/>
      <c r="E96" s="34">
        <v>100</v>
      </c>
      <c r="F96" s="34">
        <v>100</v>
      </c>
      <c r="G96" s="34">
        <v>100</v>
      </c>
      <c r="H96" s="34"/>
      <c r="I96" s="34">
        <v>100</v>
      </c>
      <c r="J96" s="34"/>
      <c r="K96" s="34">
        <v>100</v>
      </c>
      <c r="L96" s="34">
        <v>100</v>
      </c>
      <c r="M96" s="34">
        <v>100</v>
      </c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  <c r="AA96" s="34"/>
      <c r="AB96" s="36"/>
      <c r="AC96" s="36">
        <v>30</v>
      </c>
      <c r="AD96" s="36">
        <v>40</v>
      </c>
      <c r="AE96" s="36">
        <v>50</v>
      </c>
      <c r="AF96" s="36">
        <v>45</v>
      </c>
      <c r="AG96" s="36">
        <v>20</v>
      </c>
      <c r="AH96" s="36"/>
      <c r="AI96" s="36">
        <v>35</v>
      </c>
      <c r="AJ96" s="36">
        <v>35</v>
      </c>
      <c r="AK96" s="36">
        <v>40</v>
      </c>
      <c r="AL96" s="36"/>
      <c r="AM96" s="36"/>
      <c r="AN96" s="36"/>
      <c r="AO96" s="36">
        <v>30</v>
      </c>
      <c r="AP96" s="36">
        <v>35</v>
      </c>
      <c r="AQ96" s="36">
        <v>35</v>
      </c>
      <c r="AR96" s="36">
        <v>40</v>
      </c>
      <c r="AS96" s="36">
        <v>30</v>
      </c>
      <c r="AT96" s="36"/>
      <c r="AU96" s="36">
        <v>35</v>
      </c>
      <c r="AV96" s="36">
        <v>35</v>
      </c>
      <c r="AW96" s="36">
        <v>35</v>
      </c>
      <c r="AX96" s="36"/>
      <c r="AY96" s="36"/>
      <c r="AZ96" s="36"/>
      <c r="BA96" s="36">
        <v>20</v>
      </c>
      <c r="BB96" s="36">
        <v>15</v>
      </c>
      <c r="BC96" s="36">
        <v>20</v>
      </c>
      <c r="BD96" s="36">
        <v>15</v>
      </c>
      <c r="BE96" s="36">
        <v>15</v>
      </c>
      <c r="BF96" s="36"/>
      <c r="BG96" s="36">
        <v>30</v>
      </c>
      <c r="BH96" s="36">
        <v>20</v>
      </c>
      <c r="BI96" s="36">
        <v>15</v>
      </c>
      <c r="BJ96" s="36"/>
      <c r="BK96" s="36"/>
      <c r="BL96" s="36"/>
      <c r="BM96" s="36">
        <v>20</v>
      </c>
      <c r="BN96" s="36">
        <v>10</v>
      </c>
      <c r="BO96" s="36">
        <v>5</v>
      </c>
      <c r="BP96" s="36">
        <v>5</v>
      </c>
      <c r="BQ96" s="36">
        <v>10</v>
      </c>
      <c r="BR96" s="36"/>
      <c r="BS96" s="36">
        <v>5</v>
      </c>
      <c r="BT96" s="36">
        <v>21</v>
      </c>
      <c r="BU96" s="36">
        <v>10</v>
      </c>
      <c r="BV96" s="36"/>
      <c r="BW96" s="36"/>
      <c r="BX96" s="36"/>
      <c r="BY96" s="36">
        <v>5</v>
      </c>
      <c r="BZ96" s="36">
        <v>5</v>
      </c>
      <c r="CA96" s="36">
        <v>5</v>
      </c>
      <c r="CB96" s="36">
        <v>5</v>
      </c>
      <c r="CC96" s="36">
        <v>5</v>
      </c>
      <c r="CD96" s="36"/>
      <c r="CE96" s="36">
        <v>5</v>
      </c>
      <c r="CF96" s="36">
        <v>4</v>
      </c>
      <c r="CG96" s="36">
        <v>5</v>
      </c>
      <c r="CH96" s="36"/>
      <c r="CI96" s="36"/>
      <c r="CK96" s="4" t="b">
        <f t="shared" si="1"/>
        <v>0</v>
      </c>
    </row>
    <row r="97" spans="1:89" ht="90" customHeight="1">
      <c r="A97" s="32" t="s">
        <v>87</v>
      </c>
      <c r="B97" s="32" t="s">
        <v>155</v>
      </c>
      <c r="C97" s="32" t="s">
        <v>234</v>
      </c>
      <c r="D97" s="34"/>
      <c r="E97" s="34"/>
      <c r="F97" s="34"/>
      <c r="G97" s="34"/>
      <c r="H97" s="34"/>
      <c r="I97" s="34"/>
      <c r="J97" s="34"/>
      <c r="K97" s="34"/>
      <c r="L97" s="34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  <c r="AA97" s="34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>
        <v>11</v>
      </c>
      <c r="AM97" s="36">
        <v>2</v>
      </c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>
        <v>5</v>
      </c>
      <c r="AY97" s="36">
        <v>7</v>
      </c>
      <c r="AZ97" s="36"/>
      <c r="BA97" s="36"/>
      <c r="BB97" s="36">
        <v>7</v>
      </c>
      <c r="BC97" s="36">
        <v>5</v>
      </c>
      <c r="BD97" s="36">
        <v>7</v>
      </c>
      <c r="BE97" s="36">
        <v>8</v>
      </c>
      <c r="BF97" s="36">
        <v>5</v>
      </c>
      <c r="BG97" s="36"/>
      <c r="BH97" s="36"/>
      <c r="BI97" s="36">
        <v>6</v>
      </c>
      <c r="BJ97" s="36">
        <v>6</v>
      </c>
      <c r="BK97" s="36"/>
      <c r="BL97" s="36"/>
      <c r="BM97" s="36"/>
      <c r="BN97" s="36">
        <v>7</v>
      </c>
      <c r="BO97" s="36">
        <v>6</v>
      </c>
      <c r="BP97" s="36">
        <v>8</v>
      </c>
      <c r="BQ97" s="36">
        <v>4</v>
      </c>
      <c r="BR97" s="36">
        <v>5</v>
      </c>
      <c r="BS97" s="36"/>
      <c r="BT97" s="36"/>
      <c r="BU97" s="36">
        <v>6</v>
      </c>
      <c r="BV97" s="36">
        <v>1</v>
      </c>
      <c r="BW97" s="36"/>
      <c r="BX97" s="36"/>
      <c r="BY97" s="36"/>
      <c r="BZ97" s="36">
        <v>6</v>
      </c>
      <c r="CA97" s="36">
        <v>4</v>
      </c>
      <c r="CB97" s="36">
        <v>4</v>
      </c>
      <c r="CC97" s="36">
        <v>5</v>
      </c>
      <c r="CD97" s="36">
        <v>3</v>
      </c>
      <c r="CE97" s="36"/>
      <c r="CF97" s="36"/>
      <c r="CG97" s="36">
        <v>4</v>
      </c>
      <c r="CH97" s="36">
        <v>4</v>
      </c>
      <c r="CI97" s="36"/>
      <c r="CK97" s="4" t="b">
        <f t="shared" si="1"/>
        <v>0</v>
      </c>
    </row>
    <row r="98" spans="1:89" ht="75" customHeight="1">
      <c r="A98" s="32" t="s">
        <v>109</v>
      </c>
      <c r="B98" s="32" t="s">
        <v>127</v>
      </c>
      <c r="C98" s="32" t="s">
        <v>235</v>
      </c>
      <c r="D98" s="34"/>
      <c r="E98" s="34"/>
      <c r="F98" s="34"/>
      <c r="G98" s="34"/>
      <c r="H98" s="34"/>
      <c r="I98" s="34"/>
      <c r="J98" s="34"/>
      <c r="K98" s="34"/>
      <c r="L98" s="34"/>
      <c r="M98" s="34"/>
      <c r="N98" s="34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  <c r="AA98" s="34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>
        <v>27</v>
      </c>
      <c r="BB98" s="36"/>
      <c r="BC98" s="36">
        <v>5</v>
      </c>
      <c r="BD98" s="36">
        <v>2</v>
      </c>
      <c r="BE98" s="36"/>
      <c r="BF98" s="36"/>
      <c r="BG98" s="36"/>
      <c r="BH98" s="36"/>
      <c r="BI98" s="36"/>
      <c r="BJ98" s="36"/>
      <c r="BK98" s="36"/>
      <c r="BL98" s="36"/>
      <c r="BM98" s="36">
        <v>3</v>
      </c>
      <c r="BN98" s="36"/>
      <c r="BO98" s="36"/>
      <c r="BP98" s="36">
        <v>2</v>
      </c>
      <c r="BQ98" s="36"/>
      <c r="BR98" s="36"/>
      <c r="BS98" s="36"/>
      <c r="BT98" s="36"/>
      <c r="BU98" s="36"/>
      <c r="BV98" s="36"/>
      <c r="BW98" s="36"/>
      <c r="BX98" s="36"/>
      <c r="BY98" s="36">
        <v>24</v>
      </c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K98" s="4" t="b">
        <f t="shared" si="1"/>
        <v>0</v>
      </c>
    </row>
    <row r="99" spans="1:89" ht="135" customHeight="1">
      <c r="A99" s="32" t="s">
        <v>87</v>
      </c>
      <c r="B99" s="32" t="s">
        <v>131</v>
      </c>
      <c r="C99" s="32" t="s">
        <v>236</v>
      </c>
      <c r="D99" s="34">
        <v>100</v>
      </c>
      <c r="E99" s="34">
        <v>100</v>
      </c>
      <c r="F99" s="34">
        <v>100</v>
      </c>
      <c r="G99" s="34">
        <v>100</v>
      </c>
      <c r="H99" s="34">
        <v>100</v>
      </c>
      <c r="I99" s="34"/>
      <c r="J99" s="34">
        <v>100</v>
      </c>
      <c r="K99" s="34">
        <v>100</v>
      </c>
      <c r="L99" s="34">
        <v>100</v>
      </c>
      <c r="M99" s="34">
        <v>100</v>
      </c>
      <c r="N99" s="34">
        <v>100</v>
      </c>
      <c r="O99" s="34">
        <v>100</v>
      </c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  <c r="AA99" s="34"/>
      <c r="AB99" s="36">
        <v>47</v>
      </c>
      <c r="AC99" s="36">
        <v>55</v>
      </c>
      <c r="AD99" s="36">
        <v>13</v>
      </c>
      <c r="AE99" s="36">
        <v>18</v>
      </c>
      <c r="AF99" s="36">
        <v>8</v>
      </c>
      <c r="AG99" s="36">
        <v>7</v>
      </c>
      <c r="AH99" s="36">
        <v>12</v>
      </c>
      <c r="AI99" s="36">
        <v>13</v>
      </c>
      <c r="AJ99" s="36">
        <v>9</v>
      </c>
      <c r="AK99" s="36">
        <v>17</v>
      </c>
      <c r="AL99" s="36">
        <v>21</v>
      </c>
      <c r="AM99" s="36">
        <v>9</v>
      </c>
      <c r="AN99" s="36">
        <v>43</v>
      </c>
      <c r="AO99" s="36">
        <v>32</v>
      </c>
      <c r="AP99" s="36">
        <v>43</v>
      </c>
      <c r="AQ99" s="36">
        <v>43</v>
      </c>
      <c r="AR99" s="36">
        <v>17</v>
      </c>
      <c r="AS99" s="36">
        <v>11</v>
      </c>
      <c r="AT99" s="36">
        <v>12</v>
      </c>
      <c r="AU99" s="36">
        <v>8</v>
      </c>
      <c r="AV99" s="36">
        <v>18</v>
      </c>
      <c r="AW99" s="36">
        <v>14</v>
      </c>
      <c r="AX99" s="36">
        <v>11</v>
      </c>
      <c r="AY99" s="36">
        <v>18</v>
      </c>
      <c r="AZ99" s="36">
        <v>24</v>
      </c>
      <c r="BA99" s="36">
        <v>13</v>
      </c>
      <c r="BB99" s="36">
        <v>11</v>
      </c>
      <c r="BC99" s="36">
        <v>17</v>
      </c>
      <c r="BD99" s="36">
        <v>14</v>
      </c>
      <c r="BE99" s="36">
        <v>18</v>
      </c>
      <c r="BF99" s="36">
        <v>17</v>
      </c>
      <c r="BG99" s="36">
        <v>21</v>
      </c>
      <c r="BH99" s="36">
        <v>15</v>
      </c>
      <c r="BI99" s="36">
        <v>24</v>
      </c>
      <c r="BJ99" s="36">
        <v>14</v>
      </c>
      <c r="BK99" s="36">
        <v>16</v>
      </c>
      <c r="BL99" s="36">
        <v>8</v>
      </c>
      <c r="BM99" s="36">
        <v>11</v>
      </c>
      <c r="BN99" s="36">
        <v>14</v>
      </c>
      <c r="BO99" s="36">
        <v>18</v>
      </c>
      <c r="BP99" s="36">
        <v>7</v>
      </c>
      <c r="BQ99" s="36">
        <v>3</v>
      </c>
      <c r="BR99" s="36">
        <v>5</v>
      </c>
      <c r="BS99" s="36">
        <v>21</v>
      </c>
      <c r="BT99" s="36">
        <v>9</v>
      </c>
      <c r="BU99" s="36">
        <v>9</v>
      </c>
      <c r="BV99" s="36">
        <v>11</v>
      </c>
      <c r="BW99" s="36">
        <v>19</v>
      </c>
      <c r="BX99" s="36">
        <v>2</v>
      </c>
      <c r="BY99" s="36">
        <v>2</v>
      </c>
      <c r="BZ99" s="36">
        <v>1</v>
      </c>
      <c r="CA99" s="36">
        <v>3</v>
      </c>
      <c r="CB99" s="36">
        <v>8</v>
      </c>
      <c r="CC99" s="36">
        <v>2</v>
      </c>
      <c r="CD99" s="36">
        <v>3</v>
      </c>
      <c r="CE99" s="36">
        <v>9</v>
      </c>
      <c r="CF99" s="36">
        <v>5</v>
      </c>
      <c r="CG99" s="36">
        <v>5</v>
      </c>
      <c r="CH99" s="36">
        <v>2</v>
      </c>
      <c r="CI99" s="36">
        <v>7</v>
      </c>
      <c r="CK99" s="4" t="b">
        <f t="shared" si="1"/>
        <v>1</v>
      </c>
    </row>
    <row r="100" spans="1:89" ht="60" customHeight="1">
      <c r="A100" s="32" t="s">
        <v>87</v>
      </c>
      <c r="B100" s="32" t="s">
        <v>90</v>
      </c>
      <c r="C100" s="32" t="s">
        <v>237</v>
      </c>
      <c r="D100" s="34">
        <v>100</v>
      </c>
      <c r="E100" s="34"/>
      <c r="F100" s="34"/>
      <c r="G100" s="34"/>
      <c r="H100" s="34"/>
      <c r="I100" s="34"/>
      <c r="J100" s="34"/>
      <c r="K100" s="34"/>
      <c r="L100" s="34"/>
      <c r="M100" s="34">
        <v>100</v>
      </c>
      <c r="N100" s="34"/>
      <c r="O100" s="34"/>
      <c r="P100" s="34"/>
      <c r="Q100" s="34"/>
      <c r="R100" s="34"/>
      <c r="S100" s="34"/>
      <c r="T100" s="34"/>
      <c r="U100" s="34"/>
      <c r="V100" s="34"/>
      <c r="W100" s="34"/>
      <c r="X100" s="34"/>
      <c r="Y100" s="34"/>
      <c r="Z100" s="34"/>
      <c r="AA100" s="34"/>
      <c r="AB100" s="36">
        <v>10</v>
      </c>
      <c r="AC100" s="36">
        <v>5</v>
      </c>
      <c r="AD100" s="36">
        <v>1</v>
      </c>
      <c r="AE100" s="36">
        <v>2</v>
      </c>
      <c r="AF100" s="36">
        <v>7</v>
      </c>
      <c r="AG100" s="36">
        <v>10</v>
      </c>
      <c r="AH100" s="36">
        <v>1</v>
      </c>
      <c r="AI100" s="36">
        <v>5</v>
      </c>
      <c r="AJ100" s="36">
        <v>5</v>
      </c>
      <c r="AK100" s="36">
        <v>3</v>
      </c>
      <c r="AL100" s="36">
        <v>7</v>
      </c>
      <c r="AM100" s="36">
        <v>3</v>
      </c>
      <c r="AN100" s="36">
        <v>2</v>
      </c>
      <c r="AO100" s="36">
        <v>3</v>
      </c>
      <c r="AP100" s="36">
        <v>5</v>
      </c>
      <c r="AQ100" s="36">
        <v>3</v>
      </c>
      <c r="AR100" s="36">
        <v>2</v>
      </c>
      <c r="AS100" s="36">
        <v>2</v>
      </c>
      <c r="AT100" s="36">
        <v>5</v>
      </c>
      <c r="AU100" s="36">
        <v>5</v>
      </c>
      <c r="AV100" s="36">
        <v>4</v>
      </c>
      <c r="AW100" s="36">
        <v>7</v>
      </c>
      <c r="AX100" s="36">
        <v>3</v>
      </c>
      <c r="AY100" s="36">
        <v>6</v>
      </c>
      <c r="AZ100" s="36">
        <v>9</v>
      </c>
      <c r="BA100" s="36">
        <v>7</v>
      </c>
      <c r="BB100" s="36">
        <v>7</v>
      </c>
      <c r="BC100" s="36">
        <v>6</v>
      </c>
      <c r="BD100" s="36">
        <v>12</v>
      </c>
      <c r="BE100" s="36">
        <v>8</v>
      </c>
      <c r="BF100" s="36"/>
      <c r="BG100" s="36">
        <v>13</v>
      </c>
      <c r="BH100" s="36">
        <v>4</v>
      </c>
      <c r="BI100" s="36">
        <v>7</v>
      </c>
      <c r="BJ100" s="36">
        <v>5</v>
      </c>
      <c r="BK100" s="36">
        <v>4</v>
      </c>
      <c r="BL100" s="36">
        <v>2</v>
      </c>
      <c r="BM100" s="36">
        <v>5</v>
      </c>
      <c r="BN100" s="36">
        <v>3</v>
      </c>
      <c r="BO100" s="36">
        <v>2</v>
      </c>
      <c r="BP100" s="36">
        <v>4</v>
      </c>
      <c r="BQ100" s="36">
        <v>3</v>
      </c>
      <c r="BR100" s="36">
        <v>6</v>
      </c>
      <c r="BS100" s="36">
        <v>3</v>
      </c>
      <c r="BT100" s="36">
        <v>6</v>
      </c>
      <c r="BU100" s="36">
        <v>4</v>
      </c>
      <c r="BV100" s="36">
        <v>3</v>
      </c>
      <c r="BW100" s="36">
        <v>1</v>
      </c>
      <c r="BX100" s="36"/>
      <c r="BY100" s="36"/>
      <c r="BZ100" s="36">
        <v>1</v>
      </c>
      <c r="CA100" s="36">
        <v>4</v>
      </c>
      <c r="CB100" s="36"/>
      <c r="CC100" s="36"/>
      <c r="CD100" s="36"/>
      <c r="CE100" s="36"/>
      <c r="CF100" s="36"/>
      <c r="CG100" s="36"/>
      <c r="CH100" s="36"/>
      <c r="CI100" s="36"/>
      <c r="CK100" s="4" t="b">
        <f t="shared" si="1"/>
        <v>1</v>
      </c>
    </row>
    <row r="101" spans="1:89" ht="60" customHeight="1">
      <c r="A101" s="32" t="s">
        <v>144</v>
      </c>
      <c r="B101" s="32" t="s">
        <v>198</v>
      </c>
      <c r="C101" s="32" t="s">
        <v>238</v>
      </c>
      <c r="D101" s="34"/>
      <c r="E101" s="34"/>
      <c r="F101" s="34"/>
      <c r="G101" s="34"/>
      <c r="H101" s="34"/>
      <c r="I101" s="34"/>
      <c r="J101" s="34"/>
      <c r="K101" s="34"/>
      <c r="L101" s="34"/>
      <c r="M101" s="34"/>
      <c r="N101" s="34"/>
      <c r="O101" s="34"/>
      <c r="P101" s="34"/>
      <c r="Q101" s="34"/>
      <c r="R101" s="34"/>
      <c r="S101" s="34"/>
      <c r="T101" s="34"/>
      <c r="U101" s="34"/>
      <c r="V101" s="34"/>
      <c r="W101" s="34"/>
      <c r="X101" s="34"/>
      <c r="Y101" s="34"/>
      <c r="Z101" s="34"/>
      <c r="AA101" s="34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>
        <v>2</v>
      </c>
      <c r="BB101" s="36">
        <v>1</v>
      </c>
      <c r="BC101" s="36"/>
      <c r="BD101" s="36">
        <v>3</v>
      </c>
      <c r="BE101" s="36"/>
      <c r="BF101" s="36"/>
      <c r="BG101" s="36"/>
      <c r="BH101" s="36"/>
      <c r="BI101" s="36"/>
      <c r="BJ101" s="36"/>
      <c r="BK101" s="36"/>
      <c r="BL101" s="36"/>
      <c r="BM101" s="36"/>
      <c r="BN101" s="36">
        <v>3</v>
      </c>
      <c r="BO101" s="36"/>
      <c r="BP101" s="36">
        <v>2</v>
      </c>
      <c r="BQ101" s="36"/>
      <c r="BR101" s="36"/>
      <c r="BS101" s="36"/>
      <c r="BT101" s="36"/>
      <c r="BU101" s="36"/>
      <c r="BV101" s="36"/>
      <c r="BW101" s="36"/>
      <c r="BX101" s="36"/>
      <c r="BY101" s="36"/>
      <c r="BZ101" s="36">
        <v>1</v>
      </c>
      <c r="CA101" s="36"/>
      <c r="CB101" s="36">
        <v>1</v>
      </c>
      <c r="CC101" s="36"/>
      <c r="CD101" s="36"/>
      <c r="CE101" s="36"/>
      <c r="CF101" s="36"/>
      <c r="CG101" s="36">
        <v>2</v>
      </c>
      <c r="CH101" s="36"/>
      <c r="CI101" s="36"/>
      <c r="CK101" s="4" t="b">
        <f t="shared" si="1"/>
        <v>0</v>
      </c>
    </row>
    <row r="102" spans="1:89" ht="60" customHeight="1">
      <c r="A102" s="32" t="s">
        <v>87</v>
      </c>
      <c r="B102" s="32" t="s">
        <v>155</v>
      </c>
      <c r="C102" s="32" t="s">
        <v>239</v>
      </c>
      <c r="D102" s="34"/>
      <c r="E102" s="34"/>
      <c r="F102" s="34"/>
      <c r="G102" s="34"/>
      <c r="H102" s="34"/>
      <c r="I102" s="34"/>
      <c r="J102" s="34"/>
      <c r="K102" s="34">
        <v>100</v>
      </c>
      <c r="L102" s="34">
        <v>100</v>
      </c>
      <c r="M102" s="34"/>
      <c r="N102" s="34"/>
      <c r="O102" s="34"/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  <c r="AA102" s="34"/>
      <c r="AB102" s="36"/>
      <c r="AC102" s="36"/>
      <c r="AD102" s="36"/>
      <c r="AE102" s="36"/>
      <c r="AF102" s="36"/>
      <c r="AG102" s="36"/>
      <c r="AH102" s="36">
        <v>40</v>
      </c>
      <c r="AI102" s="36">
        <v>40</v>
      </c>
      <c r="AJ102" s="36">
        <v>30</v>
      </c>
      <c r="AK102" s="36">
        <v>40</v>
      </c>
      <c r="AL102" s="36">
        <v>40</v>
      </c>
      <c r="AM102" s="36"/>
      <c r="AN102" s="36"/>
      <c r="AO102" s="36"/>
      <c r="AP102" s="36"/>
      <c r="AQ102" s="36"/>
      <c r="AR102" s="36"/>
      <c r="AS102" s="36"/>
      <c r="AT102" s="36">
        <v>40</v>
      </c>
      <c r="AU102" s="36">
        <v>60</v>
      </c>
      <c r="AV102" s="36">
        <v>30</v>
      </c>
      <c r="AW102" s="36">
        <v>40</v>
      </c>
      <c r="AX102" s="36">
        <v>40</v>
      </c>
      <c r="AY102" s="36"/>
      <c r="AZ102" s="36"/>
      <c r="BA102" s="36"/>
      <c r="BB102" s="36"/>
      <c r="BC102" s="36"/>
      <c r="BD102" s="36"/>
      <c r="BE102" s="36"/>
      <c r="BF102" s="36">
        <v>1</v>
      </c>
      <c r="BG102" s="36">
        <v>66</v>
      </c>
      <c r="BH102" s="36">
        <v>12</v>
      </c>
      <c r="BI102" s="36">
        <v>59</v>
      </c>
      <c r="BJ102" s="36">
        <v>72</v>
      </c>
      <c r="BK102" s="36"/>
      <c r="BL102" s="36"/>
      <c r="BM102" s="36"/>
      <c r="BN102" s="36"/>
      <c r="BO102" s="36"/>
      <c r="BP102" s="36"/>
      <c r="BQ102" s="36"/>
      <c r="BR102" s="36">
        <v>6</v>
      </c>
      <c r="BS102" s="36">
        <v>7</v>
      </c>
      <c r="BT102" s="36">
        <v>3</v>
      </c>
      <c r="BU102" s="36">
        <v>6</v>
      </c>
      <c r="BV102" s="36">
        <v>4</v>
      </c>
      <c r="BW102" s="36"/>
      <c r="BX102" s="36"/>
      <c r="BY102" s="36"/>
      <c r="BZ102" s="36"/>
      <c r="CA102" s="36"/>
      <c r="CB102" s="36"/>
      <c r="CC102" s="36"/>
      <c r="CD102" s="36">
        <v>2</v>
      </c>
      <c r="CE102" s="36">
        <v>2</v>
      </c>
      <c r="CF102" s="36">
        <v>1</v>
      </c>
      <c r="CG102" s="36">
        <v>5</v>
      </c>
      <c r="CH102" s="36"/>
      <c r="CI102" s="36"/>
      <c r="CK102" s="4" t="b">
        <f t="shared" si="1"/>
        <v>0</v>
      </c>
    </row>
    <row r="103" spans="1:89" ht="60" customHeight="1">
      <c r="A103" s="32" t="s">
        <v>87</v>
      </c>
      <c r="B103" s="32" t="s">
        <v>90</v>
      </c>
      <c r="C103" s="32" t="s">
        <v>240</v>
      </c>
      <c r="D103" s="34"/>
      <c r="E103" s="34"/>
      <c r="F103" s="34"/>
      <c r="G103" s="34"/>
      <c r="H103" s="34"/>
      <c r="I103" s="34"/>
      <c r="J103" s="34"/>
      <c r="K103" s="34"/>
      <c r="L103" s="34"/>
      <c r="M103" s="34"/>
      <c r="N103" s="34"/>
      <c r="O103" s="34">
        <v>100</v>
      </c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>
        <v>1</v>
      </c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>
        <v>2</v>
      </c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>
        <v>1</v>
      </c>
      <c r="CK103" s="4" t="b">
        <f t="shared" si="1"/>
        <v>0</v>
      </c>
    </row>
    <row r="104" spans="1:89" ht="60" customHeight="1">
      <c r="A104" s="32" t="s">
        <v>87</v>
      </c>
      <c r="B104" s="32" t="s">
        <v>90</v>
      </c>
      <c r="C104" s="32" t="s">
        <v>241</v>
      </c>
      <c r="D104" s="34">
        <v>95.24</v>
      </c>
      <c r="E104" s="34">
        <v>95.65</v>
      </c>
      <c r="F104" s="34">
        <v>100</v>
      </c>
      <c r="G104" s="34">
        <v>95.45</v>
      </c>
      <c r="H104" s="34">
        <v>95.65</v>
      </c>
      <c r="I104" s="34">
        <v>100</v>
      </c>
      <c r="J104" s="34">
        <v>86.36</v>
      </c>
      <c r="K104" s="34">
        <v>95.45</v>
      </c>
      <c r="L104" s="34">
        <v>100</v>
      </c>
      <c r="M104" s="34">
        <v>90.91</v>
      </c>
      <c r="N104" s="34">
        <v>90.91</v>
      </c>
      <c r="O104" s="34">
        <v>85.71</v>
      </c>
      <c r="P104" s="34"/>
      <c r="Q104" s="34">
        <v>100</v>
      </c>
      <c r="R104" s="34"/>
      <c r="S104" s="34"/>
      <c r="T104" s="34">
        <v>100</v>
      </c>
      <c r="U104" s="34">
        <v>100</v>
      </c>
      <c r="V104" s="34">
        <v>100</v>
      </c>
      <c r="W104" s="34"/>
      <c r="X104" s="34"/>
      <c r="Y104" s="34"/>
      <c r="Z104" s="34"/>
      <c r="AA104" s="34"/>
      <c r="AB104" s="36">
        <v>226</v>
      </c>
      <c r="AC104" s="36">
        <v>199</v>
      </c>
      <c r="AD104" s="36">
        <v>82</v>
      </c>
      <c r="AE104" s="36">
        <v>122</v>
      </c>
      <c r="AF104" s="36">
        <v>240</v>
      </c>
      <c r="AG104" s="36">
        <v>98</v>
      </c>
      <c r="AH104" s="36">
        <v>118</v>
      </c>
      <c r="AI104" s="36">
        <v>108</v>
      </c>
      <c r="AJ104" s="36">
        <v>136</v>
      </c>
      <c r="AK104" s="36">
        <v>170</v>
      </c>
      <c r="AL104" s="36">
        <v>178</v>
      </c>
      <c r="AM104" s="36">
        <v>149</v>
      </c>
      <c r="AN104" s="36">
        <v>220</v>
      </c>
      <c r="AO104" s="36">
        <v>281</v>
      </c>
      <c r="AP104" s="36">
        <v>169</v>
      </c>
      <c r="AQ104" s="36">
        <v>123</v>
      </c>
      <c r="AR104" s="36">
        <v>217</v>
      </c>
      <c r="AS104" s="36">
        <v>102</v>
      </c>
      <c r="AT104" s="36">
        <v>124</v>
      </c>
      <c r="AU104" s="36">
        <v>114</v>
      </c>
      <c r="AV104" s="36">
        <v>178</v>
      </c>
      <c r="AW104" s="36">
        <v>198</v>
      </c>
      <c r="AX104" s="36">
        <v>143</v>
      </c>
      <c r="AY104" s="36">
        <v>167</v>
      </c>
      <c r="AZ104" s="36">
        <v>33</v>
      </c>
      <c r="BA104" s="36">
        <v>29</v>
      </c>
      <c r="BB104" s="36">
        <v>7</v>
      </c>
      <c r="BC104" s="36">
        <v>10</v>
      </c>
      <c r="BD104" s="36">
        <v>23</v>
      </c>
      <c r="BE104" s="36">
        <v>15</v>
      </c>
      <c r="BF104" s="36">
        <v>38</v>
      </c>
      <c r="BG104" s="36">
        <v>25</v>
      </c>
      <c r="BH104" s="36">
        <v>17</v>
      </c>
      <c r="BI104" s="36"/>
      <c r="BJ104" s="36">
        <v>10</v>
      </c>
      <c r="BK104" s="36">
        <v>8</v>
      </c>
      <c r="BL104" s="36">
        <v>6</v>
      </c>
      <c r="BM104" s="36">
        <v>12</v>
      </c>
      <c r="BN104" s="36">
        <v>15</v>
      </c>
      <c r="BO104" s="36">
        <v>10</v>
      </c>
      <c r="BP104" s="36">
        <v>12</v>
      </c>
      <c r="BQ104" s="36">
        <v>8</v>
      </c>
      <c r="BR104" s="36">
        <v>6</v>
      </c>
      <c r="BS104" s="36">
        <v>12</v>
      </c>
      <c r="BT104" s="36">
        <v>6</v>
      </c>
      <c r="BU104" s="36">
        <v>11</v>
      </c>
      <c r="BV104" s="36">
        <v>10</v>
      </c>
      <c r="BW104" s="36">
        <v>7</v>
      </c>
      <c r="BX104" s="36"/>
      <c r="BY104" s="36"/>
      <c r="BZ104" s="36"/>
      <c r="CA104" s="36">
        <v>1</v>
      </c>
      <c r="CB104" s="36">
        <v>1</v>
      </c>
      <c r="CC104" s="36"/>
      <c r="CD104" s="36"/>
      <c r="CE104" s="36">
        <v>1</v>
      </c>
      <c r="CF104" s="36">
        <v>1</v>
      </c>
      <c r="CG104" s="36">
        <v>11</v>
      </c>
      <c r="CH104" s="36">
        <v>2</v>
      </c>
      <c r="CI104" s="36">
        <v>2</v>
      </c>
      <c r="CK104" s="4" t="b">
        <f t="shared" si="1"/>
        <v>1</v>
      </c>
    </row>
    <row r="105" spans="1:89" ht="60" customHeight="1">
      <c r="A105" s="32" t="s">
        <v>101</v>
      </c>
      <c r="B105" s="32" t="s">
        <v>242</v>
      </c>
      <c r="C105" s="32" t="s">
        <v>243</v>
      </c>
      <c r="D105" s="34"/>
      <c r="E105" s="34">
        <v>100</v>
      </c>
      <c r="F105" s="34">
        <v>100</v>
      </c>
      <c r="G105" s="34">
        <v>100</v>
      </c>
      <c r="H105" s="34"/>
      <c r="I105" s="34">
        <v>100</v>
      </c>
      <c r="J105" s="34">
        <v>100</v>
      </c>
      <c r="K105" s="34">
        <v>100</v>
      </c>
      <c r="L105" s="34">
        <v>100</v>
      </c>
      <c r="M105" s="34">
        <v>100</v>
      </c>
      <c r="N105" s="34">
        <v>100</v>
      </c>
      <c r="O105" s="34">
        <v>100</v>
      </c>
      <c r="P105" s="34"/>
      <c r="Q105" s="34">
        <v>100</v>
      </c>
      <c r="R105" s="34">
        <v>100</v>
      </c>
      <c r="S105" s="34">
        <v>100</v>
      </c>
      <c r="T105" s="34"/>
      <c r="U105" s="34">
        <v>100</v>
      </c>
      <c r="V105" s="34">
        <v>100</v>
      </c>
      <c r="W105" s="34">
        <v>100</v>
      </c>
      <c r="X105" s="34">
        <v>100</v>
      </c>
      <c r="Y105" s="34">
        <v>100</v>
      </c>
      <c r="Z105" s="34">
        <v>100</v>
      </c>
      <c r="AA105" s="34">
        <v>100</v>
      </c>
      <c r="AB105" s="36"/>
      <c r="AC105" s="36">
        <v>9</v>
      </c>
      <c r="AD105" s="36">
        <v>9</v>
      </c>
      <c r="AE105" s="36">
        <v>9</v>
      </c>
      <c r="AF105" s="36"/>
      <c r="AG105" s="36">
        <v>9</v>
      </c>
      <c r="AH105" s="36">
        <v>9</v>
      </c>
      <c r="AI105" s="36">
        <v>6</v>
      </c>
      <c r="AJ105" s="36">
        <v>10</v>
      </c>
      <c r="AK105" s="36">
        <v>10</v>
      </c>
      <c r="AL105" s="36">
        <v>10</v>
      </c>
      <c r="AM105" s="36">
        <v>10</v>
      </c>
      <c r="AN105" s="36"/>
      <c r="AO105" s="36">
        <v>9</v>
      </c>
      <c r="AP105" s="36">
        <v>9</v>
      </c>
      <c r="AQ105" s="36">
        <v>9</v>
      </c>
      <c r="AR105" s="36"/>
      <c r="AS105" s="36">
        <v>9</v>
      </c>
      <c r="AT105" s="36">
        <v>9</v>
      </c>
      <c r="AU105" s="36">
        <v>6</v>
      </c>
      <c r="AV105" s="36">
        <v>10</v>
      </c>
      <c r="AW105" s="36">
        <v>10</v>
      </c>
      <c r="AX105" s="36">
        <v>10</v>
      </c>
      <c r="AY105" s="36">
        <v>10</v>
      </c>
      <c r="AZ105" s="36"/>
      <c r="BA105" s="36">
        <v>4</v>
      </c>
      <c r="BB105" s="36">
        <v>4</v>
      </c>
      <c r="BC105" s="36">
        <v>4</v>
      </c>
      <c r="BD105" s="36"/>
      <c r="BE105" s="36">
        <v>3</v>
      </c>
      <c r="BF105" s="36">
        <v>4</v>
      </c>
      <c r="BG105" s="36">
        <v>4</v>
      </c>
      <c r="BH105" s="36">
        <v>5</v>
      </c>
      <c r="BI105" s="36">
        <v>5</v>
      </c>
      <c r="BJ105" s="36"/>
      <c r="BK105" s="36">
        <v>3</v>
      </c>
      <c r="BL105" s="36"/>
      <c r="BM105" s="36">
        <v>2</v>
      </c>
      <c r="BN105" s="36">
        <v>2</v>
      </c>
      <c r="BO105" s="36">
        <v>3</v>
      </c>
      <c r="BP105" s="36"/>
      <c r="BQ105" s="36">
        <v>1</v>
      </c>
      <c r="BR105" s="36">
        <v>2</v>
      </c>
      <c r="BS105" s="36">
        <v>2</v>
      </c>
      <c r="BT105" s="36">
        <v>2</v>
      </c>
      <c r="BU105" s="36">
        <v>3</v>
      </c>
      <c r="BV105" s="36">
        <v>15</v>
      </c>
      <c r="BW105" s="36">
        <v>4</v>
      </c>
      <c r="BX105" s="36"/>
      <c r="BY105" s="36">
        <v>1</v>
      </c>
      <c r="BZ105" s="36">
        <v>1</v>
      </c>
      <c r="CA105" s="36">
        <v>1</v>
      </c>
      <c r="CB105" s="36"/>
      <c r="CC105" s="36"/>
      <c r="CD105" s="36">
        <v>2</v>
      </c>
      <c r="CE105" s="36"/>
      <c r="CF105" s="36"/>
      <c r="CG105" s="36">
        <v>10</v>
      </c>
      <c r="CH105" s="36"/>
      <c r="CI105" s="36"/>
      <c r="CK105" s="4" t="b">
        <f t="shared" si="1"/>
        <v>0</v>
      </c>
    </row>
    <row r="106" spans="1:89" ht="60" customHeight="1">
      <c r="A106" s="32" t="s">
        <v>87</v>
      </c>
      <c r="B106" s="32" t="s">
        <v>232</v>
      </c>
      <c r="C106" s="32" t="s">
        <v>244</v>
      </c>
      <c r="D106" s="34"/>
      <c r="E106" s="34"/>
      <c r="F106" s="34">
        <v>100</v>
      </c>
      <c r="G106" s="34">
        <v>100</v>
      </c>
      <c r="H106" s="34"/>
      <c r="I106" s="34"/>
      <c r="J106" s="34"/>
      <c r="K106" s="34"/>
      <c r="L106" s="34">
        <v>100</v>
      </c>
      <c r="M106" s="34"/>
      <c r="N106" s="34"/>
      <c r="O106" s="34"/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  <c r="AA106" s="34"/>
      <c r="AB106" s="36"/>
      <c r="AC106" s="36"/>
      <c r="AD106" s="36">
        <v>10</v>
      </c>
      <c r="AE106" s="36">
        <v>44</v>
      </c>
      <c r="AF106" s="36">
        <v>44</v>
      </c>
      <c r="AG106" s="36"/>
      <c r="AH106" s="36"/>
      <c r="AI106" s="36"/>
      <c r="AJ106" s="36">
        <v>28</v>
      </c>
      <c r="AK106" s="36">
        <v>33</v>
      </c>
      <c r="AL106" s="36">
        <v>35</v>
      </c>
      <c r="AM106" s="36"/>
      <c r="AN106" s="36"/>
      <c r="AO106" s="36"/>
      <c r="AP106" s="36">
        <v>13</v>
      </c>
      <c r="AQ106" s="36">
        <v>40</v>
      </c>
      <c r="AR106" s="36">
        <v>37</v>
      </c>
      <c r="AS106" s="36"/>
      <c r="AT106" s="36"/>
      <c r="AU106" s="36"/>
      <c r="AV106" s="36">
        <v>44</v>
      </c>
      <c r="AW106" s="36">
        <v>34</v>
      </c>
      <c r="AX106" s="36">
        <v>28</v>
      </c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>
        <v>26</v>
      </c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K106" s="4" t="b">
        <f t="shared" si="1"/>
        <v>0</v>
      </c>
    </row>
    <row r="107" spans="1:89" ht="75" customHeight="1">
      <c r="A107" s="32" t="s">
        <v>87</v>
      </c>
      <c r="B107" s="32" t="s">
        <v>131</v>
      </c>
      <c r="C107" s="32" t="s">
        <v>245</v>
      </c>
      <c r="D107" s="34">
        <v>100</v>
      </c>
      <c r="E107" s="34">
        <v>100</v>
      </c>
      <c r="F107" s="34">
        <v>100</v>
      </c>
      <c r="G107" s="34">
        <v>100</v>
      </c>
      <c r="H107" s="34">
        <v>50</v>
      </c>
      <c r="I107" s="34">
        <v>75</v>
      </c>
      <c r="J107" s="34"/>
      <c r="K107" s="34">
        <v>100</v>
      </c>
      <c r="L107" s="34"/>
      <c r="M107" s="34">
        <v>75</v>
      </c>
      <c r="N107" s="34">
        <v>75</v>
      </c>
      <c r="O107" s="34">
        <v>50</v>
      </c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34"/>
      <c r="AA107" s="34"/>
      <c r="AB107" s="36">
        <v>5</v>
      </c>
      <c r="AC107" s="36">
        <v>2</v>
      </c>
      <c r="AD107" s="36">
        <v>1</v>
      </c>
      <c r="AE107" s="36"/>
      <c r="AF107" s="36"/>
      <c r="AG107" s="36">
        <v>1</v>
      </c>
      <c r="AH107" s="36"/>
      <c r="AI107" s="36"/>
      <c r="AJ107" s="36">
        <v>1</v>
      </c>
      <c r="AK107" s="36">
        <v>1</v>
      </c>
      <c r="AL107" s="36">
        <v>1</v>
      </c>
      <c r="AM107" s="36">
        <v>1</v>
      </c>
      <c r="AN107" s="36">
        <v>3</v>
      </c>
      <c r="AO107" s="36">
        <v>4</v>
      </c>
      <c r="AP107" s="36">
        <v>1</v>
      </c>
      <c r="AQ107" s="36">
        <v>1</v>
      </c>
      <c r="AR107" s="36"/>
      <c r="AS107" s="36"/>
      <c r="AT107" s="36"/>
      <c r="AU107" s="36">
        <v>1</v>
      </c>
      <c r="AV107" s="36">
        <v>1</v>
      </c>
      <c r="AW107" s="36"/>
      <c r="AX107" s="36">
        <v>2</v>
      </c>
      <c r="AY107" s="36"/>
      <c r="AZ107" s="36">
        <v>3</v>
      </c>
      <c r="BA107" s="36">
        <v>2</v>
      </c>
      <c r="BB107" s="36">
        <v>1</v>
      </c>
      <c r="BC107" s="36">
        <v>5</v>
      </c>
      <c r="BD107" s="36">
        <v>2</v>
      </c>
      <c r="BE107" s="36">
        <v>4</v>
      </c>
      <c r="BF107" s="36"/>
      <c r="BG107" s="36"/>
      <c r="BH107" s="36">
        <v>9</v>
      </c>
      <c r="BI107" s="36">
        <v>3</v>
      </c>
      <c r="BJ107" s="36">
        <v>2</v>
      </c>
      <c r="BK107" s="36">
        <v>3</v>
      </c>
      <c r="BL107" s="36">
        <v>3</v>
      </c>
      <c r="BM107" s="36">
        <v>2</v>
      </c>
      <c r="BN107" s="36">
        <v>2</v>
      </c>
      <c r="BO107" s="36">
        <v>3</v>
      </c>
      <c r="BP107" s="36">
        <v>3</v>
      </c>
      <c r="BQ107" s="36">
        <v>2</v>
      </c>
      <c r="BR107" s="36"/>
      <c r="BS107" s="36">
        <v>4</v>
      </c>
      <c r="BT107" s="36">
        <v>3</v>
      </c>
      <c r="BU107" s="36">
        <v>3</v>
      </c>
      <c r="BV107" s="36">
        <v>6</v>
      </c>
      <c r="BW107" s="36">
        <v>4</v>
      </c>
      <c r="BX107" s="36"/>
      <c r="BY107" s="36"/>
      <c r="BZ107" s="36"/>
      <c r="CA107" s="36">
        <v>2</v>
      </c>
      <c r="CB107" s="36"/>
      <c r="CC107" s="36"/>
      <c r="CD107" s="36"/>
      <c r="CE107" s="36">
        <v>1</v>
      </c>
      <c r="CF107" s="36"/>
      <c r="CG107" s="36">
        <v>3</v>
      </c>
      <c r="CH107" s="36">
        <v>4</v>
      </c>
      <c r="CI107" s="36"/>
      <c r="CK107" s="4" t="b">
        <f t="shared" si="1"/>
        <v>1</v>
      </c>
    </row>
    <row r="108" spans="1:89" ht="60" customHeight="1">
      <c r="A108" s="32" t="s">
        <v>101</v>
      </c>
      <c r="B108" s="32" t="s">
        <v>141</v>
      </c>
      <c r="C108" s="32" t="s">
        <v>246</v>
      </c>
      <c r="D108" s="34"/>
      <c r="E108" s="34"/>
      <c r="F108" s="34">
        <v>100</v>
      </c>
      <c r="G108" s="34">
        <v>50</v>
      </c>
      <c r="H108" s="34">
        <v>50</v>
      </c>
      <c r="I108" s="34">
        <v>50</v>
      </c>
      <c r="J108" s="34">
        <v>100</v>
      </c>
      <c r="K108" s="34">
        <v>50</v>
      </c>
      <c r="L108" s="34">
        <v>100</v>
      </c>
      <c r="M108" s="34">
        <v>100</v>
      </c>
      <c r="N108" s="34">
        <v>100</v>
      </c>
      <c r="O108" s="34">
        <v>100</v>
      </c>
      <c r="P108" s="34"/>
      <c r="Q108" s="34"/>
      <c r="R108" s="34">
        <v>125</v>
      </c>
      <c r="S108" s="34">
        <v>50</v>
      </c>
      <c r="T108" s="34">
        <v>25</v>
      </c>
      <c r="U108" s="34">
        <v>125</v>
      </c>
      <c r="V108" s="34">
        <v>50</v>
      </c>
      <c r="W108" s="34">
        <v>100</v>
      </c>
      <c r="X108" s="34">
        <v>100</v>
      </c>
      <c r="Y108" s="34">
        <v>825</v>
      </c>
      <c r="Z108" s="34">
        <v>75</v>
      </c>
      <c r="AA108" s="34">
        <v>100</v>
      </c>
      <c r="AB108" s="36"/>
      <c r="AC108" s="36">
        <v>27</v>
      </c>
      <c r="AD108" s="36">
        <v>34</v>
      </c>
      <c r="AE108" s="36">
        <v>29</v>
      </c>
      <c r="AF108" s="36">
        <v>16</v>
      </c>
      <c r="AG108" s="36">
        <v>32</v>
      </c>
      <c r="AH108" s="36">
        <v>34</v>
      </c>
      <c r="AI108" s="36">
        <v>20</v>
      </c>
      <c r="AJ108" s="36">
        <v>22</v>
      </c>
      <c r="AK108" s="36">
        <v>10</v>
      </c>
      <c r="AL108" s="36">
        <v>25</v>
      </c>
      <c r="AM108" s="36">
        <v>24</v>
      </c>
      <c r="AN108" s="36"/>
      <c r="AO108" s="36">
        <v>231</v>
      </c>
      <c r="AP108" s="36">
        <v>242</v>
      </c>
      <c r="AQ108" s="36">
        <v>27</v>
      </c>
      <c r="AR108" s="36">
        <v>16</v>
      </c>
      <c r="AS108" s="36">
        <v>31</v>
      </c>
      <c r="AT108" s="36">
        <v>33</v>
      </c>
      <c r="AU108" s="36">
        <v>20</v>
      </c>
      <c r="AV108" s="36">
        <v>21</v>
      </c>
      <c r="AW108" s="36">
        <v>9</v>
      </c>
      <c r="AX108" s="36">
        <v>28</v>
      </c>
      <c r="AY108" s="36">
        <v>23</v>
      </c>
      <c r="AZ108" s="36"/>
      <c r="BA108" s="36"/>
      <c r="BB108" s="36">
        <v>17</v>
      </c>
      <c r="BC108" s="36">
        <v>20</v>
      </c>
      <c r="BD108" s="36">
        <v>19</v>
      </c>
      <c r="BE108" s="36">
        <v>27</v>
      </c>
      <c r="BF108" s="36">
        <v>9</v>
      </c>
      <c r="BG108" s="36">
        <v>15</v>
      </c>
      <c r="BH108" s="36">
        <v>24</v>
      </c>
      <c r="BI108" s="36">
        <v>6</v>
      </c>
      <c r="BJ108" s="36">
        <v>20</v>
      </c>
      <c r="BK108" s="36">
        <v>14</v>
      </c>
      <c r="BL108" s="36"/>
      <c r="BM108" s="36"/>
      <c r="BN108" s="36"/>
      <c r="BO108" s="36"/>
      <c r="BP108" s="36"/>
      <c r="BQ108" s="36"/>
      <c r="BR108" s="36"/>
      <c r="BS108" s="36"/>
      <c r="BT108" s="36">
        <v>1</v>
      </c>
      <c r="BU108" s="36"/>
      <c r="BV108" s="36"/>
      <c r="BW108" s="36"/>
      <c r="BX108" s="36"/>
      <c r="BY108" s="36"/>
      <c r="BZ108" s="36"/>
      <c r="CA108" s="36"/>
      <c r="CB108" s="36"/>
      <c r="CC108" s="36"/>
      <c r="CD108" s="36"/>
      <c r="CE108" s="36"/>
      <c r="CF108" s="36"/>
      <c r="CG108" s="36"/>
      <c r="CH108" s="36"/>
      <c r="CI108" s="36"/>
      <c r="CK108" s="4" t="b">
        <f t="shared" si="1"/>
        <v>0</v>
      </c>
    </row>
    <row r="109" spans="1:89" ht="60" customHeight="1">
      <c r="A109" s="32" t="s">
        <v>87</v>
      </c>
      <c r="B109" s="32" t="s">
        <v>232</v>
      </c>
      <c r="C109" s="32" t="s">
        <v>247</v>
      </c>
      <c r="D109" s="34"/>
      <c r="E109" s="34">
        <v>100</v>
      </c>
      <c r="F109" s="34"/>
      <c r="G109" s="34">
        <v>100</v>
      </c>
      <c r="H109" s="34">
        <v>100</v>
      </c>
      <c r="I109" s="34">
        <v>100</v>
      </c>
      <c r="J109" s="34"/>
      <c r="K109" s="34">
        <v>100</v>
      </c>
      <c r="L109" s="34">
        <v>100</v>
      </c>
      <c r="M109" s="34">
        <v>100</v>
      </c>
      <c r="N109" s="34"/>
      <c r="O109" s="34">
        <v>100</v>
      </c>
      <c r="P109" s="34"/>
      <c r="Q109" s="34"/>
      <c r="R109" s="34"/>
      <c r="S109" s="34"/>
      <c r="T109" s="34"/>
      <c r="U109" s="34"/>
      <c r="V109" s="34"/>
      <c r="W109" s="34"/>
      <c r="X109" s="34"/>
      <c r="Y109" s="34"/>
      <c r="Z109" s="34"/>
      <c r="AA109" s="34"/>
      <c r="AB109" s="36"/>
      <c r="AC109" s="36">
        <v>26</v>
      </c>
      <c r="AD109" s="36"/>
      <c r="AE109" s="36">
        <v>24</v>
      </c>
      <c r="AF109" s="36">
        <v>28</v>
      </c>
      <c r="AG109" s="36">
        <v>23</v>
      </c>
      <c r="AH109" s="36">
        <v>30</v>
      </c>
      <c r="AI109" s="36">
        <v>25</v>
      </c>
      <c r="AJ109" s="36">
        <v>27</v>
      </c>
      <c r="AK109" s="36">
        <v>32</v>
      </c>
      <c r="AL109" s="36">
        <v>25</v>
      </c>
      <c r="AM109" s="36">
        <v>26</v>
      </c>
      <c r="AN109" s="36"/>
      <c r="AO109" s="36">
        <v>34</v>
      </c>
      <c r="AP109" s="36"/>
      <c r="AQ109" s="36">
        <v>32</v>
      </c>
      <c r="AR109" s="36">
        <v>21</v>
      </c>
      <c r="AS109" s="36">
        <v>19</v>
      </c>
      <c r="AT109" s="36">
        <v>19</v>
      </c>
      <c r="AU109" s="36">
        <v>23</v>
      </c>
      <c r="AV109" s="36">
        <v>22</v>
      </c>
      <c r="AW109" s="36">
        <v>26</v>
      </c>
      <c r="AX109" s="36">
        <v>18</v>
      </c>
      <c r="AY109" s="36">
        <v>20</v>
      </c>
      <c r="AZ109" s="36"/>
      <c r="BA109" s="36">
        <v>41</v>
      </c>
      <c r="BB109" s="36"/>
      <c r="BC109" s="36">
        <v>58</v>
      </c>
      <c r="BD109" s="36">
        <v>27</v>
      </c>
      <c r="BE109" s="36">
        <v>47</v>
      </c>
      <c r="BF109" s="36">
        <v>53</v>
      </c>
      <c r="BG109" s="36">
        <v>35</v>
      </c>
      <c r="BH109" s="36">
        <v>40</v>
      </c>
      <c r="BI109" s="36">
        <v>55</v>
      </c>
      <c r="BJ109" s="36">
        <v>27</v>
      </c>
      <c r="BK109" s="36">
        <v>30</v>
      </c>
      <c r="BL109" s="36"/>
      <c r="BM109" s="36">
        <v>25</v>
      </c>
      <c r="BN109" s="36"/>
      <c r="BO109" s="36">
        <v>56</v>
      </c>
      <c r="BP109" s="36">
        <v>79</v>
      </c>
      <c r="BQ109" s="36">
        <v>26</v>
      </c>
      <c r="BR109" s="36">
        <v>70</v>
      </c>
      <c r="BS109" s="36">
        <v>82</v>
      </c>
      <c r="BT109" s="36">
        <v>30</v>
      </c>
      <c r="BU109" s="36">
        <v>28</v>
      </c>
      <c r="BV109" s="36">
        <v>56</v>
      </c>
      <c r="BW109" s="36">
        <v>81</v>
      </c>
      <c r="BX109" s="36"/>
      <c r="BY109" s="36">
        <v>16</v>
      </c>
      <c r="BZ109" s="36"/>
      <c r="CA109" s="36">
        <v>30</v>
      </c>
      <c r="CB109" s="36">
        <v>62</v>
      </c>
      <c r="CC109" s="36">
        <v>17</v>
      </c>
      <c r="CD109" s="36">
        <v>60</v>
      </c>
      <c r="CE109" s="36">
        <v>17</v>
      </c>
      <c r="CF109" s="36">
        <v>84</v>
      </c>
      <c r="CG109" s="36">
        <v>19</v>
      </c>
      <c r="CH109" s="36">
        <v>40</v>
      </c>
      <c r="CI109" s="36">
        <v>65</v>
      </c>
      <c r="CK109" s="4" t="b">
        <f t="shared" si="1"/>
        <v>0</v>
      </c>
    </row>
    <row r="110" spans="1:89" ht="60" customHeight="1">
      <c r="A110" s="32" t="s">
        <v>101</v>
      </c>
      <c r="B110" s="32" t="s">
        <v>192</v>
      </c>
      <c r="C110" s="32" t="s">
        <v>248</v>
      </c>
      <c r="D110" s="34"/>
      <c r="E110" s="34"/>
      <c r="F110" s="34">
        <v>100</v>
      </c>
      <c r="G110" s="34"/>
      <c r="H110" s="34">
        <v>100</v>
      </c>
      <c r="I110" s="34">
        <v>100</v>
      </c>
      <c r="J110" s="34"/>
      <c r="K110" s="34">
        <v>100</v>
      </c>
      <c r="L110" s="34">
        <v>100</v>
      </c>
      <c r="M110" s="34">
        <v>100</v>
      </c>
      <c r="N110" s="34">
        <v>100</v>
      </c>
      <c r="O110" s="34">
        <v>100</v>
      </c>
      <c r="P110" s="34"/>
      <c r="Q110" s="34"/>
      <c r="R110" s="34">
        <v>100</v>
      </c>
      <c r="S110" s="34"/>
      <c r="T110" s="34">
        <v>100</v>
      </c>
      <c r="U110" s="34">
        <v>100</v>
      </c>
      <c r="V110" s="34"/>
      <c r="W110" s="34">
        <v>100</v>
      </c>
      <c r="X110" s="34">
        <v>100</v>
      </c>
      <c r="Y110" s="34">
        <v>100</v>
      </c>
      <c r="Z110" s="34">
        <v>100</v>
      </c>
      <c r="AA110" s="34">
        <v>100</v>
      </c>
      <c r="AB110" s="36"/>
      <c r="AC110" s="36">
        <v>2</v>
      </c>
      <c r="AD110" s="36">
        <v>5</v>
      </c>
      <c r="AE110" s="36">
        <v>9</v>
      </c>
      <c r="AF110" s="36">
        <v>6</v>
      </c>
      <c r="AG110" s="36">
        <v>12</v>
      </c>
      <c r="AH110" s="36">
        <v>5</v>
      </c>
      <c r="AI110" s="36">
        <v>10</v>
      </c>
      <c r="AJ110" s="36">
        <v>5</v>
      </c>
      <c r="AK110" s="36">
        <v>9</v>
      </c>
      <c r="AL110" s="36">
        <v>8</v>
      </c>
      <c r="AM110" s="36">
        <v>11</v>
      </c>
      <c r="AN110" s="36"/>
      <c r="AO110" s="36">
        <v>3</v>
      </c>
      <c r="AP110" s="36">
        <v>6</v>
      </c>
      <c r="AQ110" s="36">
        <v>7</v>
      </c>
      <c r="AR110" s="36">
        <v>5</v>
      </c>
      <c r="AS110" s="36">
        <v>11</v>
      </c>
      <c r="AT110" s="36">
        <v>5</v>
      </c>
      <c r="AU110" s="36">
        <v>9</v>
      </c>
      <c r="AV110" s="36">
        <v>7</v>
      </c>
      <c r="AW110" s="36">
        <v>9</v>
      </c>
      <c r="AX110" s="36">
        <v>7</v>
      </c>
      <c r="AY110" s="36">
        <v>10</v>
      </c>
      <c r="AZ110" s="36"/>
      <c r="BA110" s="36"/>
      <c r="BB110" s="36">
        <v>7</v>
      </c>
      <c r="BC110" s="36">
        <v>7</v>
      </c>
      <c r="BD110" s="36">
        <v>8</v>
      </c>
      <c r="BE110" s="36">
        <v>6</v>
      </c>
      <c r="BF110" s="36">
        <v>6</v>
      </c>
      <c r="BG110" s="36">
        <v>5</v>
      </c>
      <c r="BH110" s="36">
        <v>5</v>
      </c>
      <c r="BI110" s="36">
        <v>8</v>
      </c>
      <c r="BJ110" s="36">
        <v>10</v>
      </c>
      <c r="BK110" s="36">
        <v>10</v>
      </c>
      <c r="BL110" s="36"/>
      <c r="BM110" s="36">
        <v>2</v>
      </c>
      <c r="BN110" s="36">
        <v>2</v>
      </c>
      <c r="BO110" s="36">
        <v>2</v>
      </c>
      <c r="BP110" s="36">
        <v>2</v>
      </c>
      <c r="BQ110" s="36">
        <v>4</v>
      </c>
      <c r="BR110" s="36">
        <v>3</v>
      </c>
      <c r="BS110" s="36">
        <v>4</v>
      </c>
      <c r="BT110" s="36">
        <v>4</v>
      </c>
      <c r="BU110" s="36"/>
      <c r="BV110" s="36">
        <v>2</v>
      </c>
      <c r="BW110" s="36"/>
      <c r="BX110" s="36"/>
      <c r="BY110" s="36"/>
      <c r="BZ110" s="36"/>
      <c r="CA110" s="36"/>
      <c r="CB110" s="36"/>
      <c r="CC110" s="36"/>
      <c r="CD110" s="36"/>
      <c r="CE110" s="36"/>
      <c r="CF110" s="36"/>
      <c r="CG110" s="36"/>
      <c r="CH110" s="36"/>
      <c r="CI110" s="36"/>
      <c r="CK110" s="4" t="b">
        <f t="shared" si="1"/>
        <v>0</v>
      </c>
    </row>
    <row r="111" spans="1:89" ht="60" customHeight="1">
      <c r="A111" s="32" t="s">
        <v>144</v>
      </c>
      <c r="B111" s="32" t="s">
        <v>151</v>
      </c>
      <c r="C111" s="32" t="s">
        <v>249</v>
      </c>
      <c r="D111" s="34"/>
      <c r="E111" s="34">
        <v>75</v>
      </c>
      <c r="F111" s="34">
        <v>100</v>
      </c>
      <c r="G111" s="34">
        <v>125</v>
      </c>
      <c r="H111" s="34">
        <v>100</v>
      </c>
      <c r="I111" s="34">
        <v>100</v>
      </c>
      <c r="J111" s="34">
        <v>125</v>
      </c>
      <c r="K111" s="34">
        <v>100</v>
      </c>
      <c r="L111" s="34">
        <v>100</v>
      </c>
      <c r="M111" s="34">
        <v>100</v>
      </c>
      <c r="N111" s="34">
        <v>100</v>
      </c>
      <c r="O111" s="34">
        <v>100</v>
      </c>
      <c r="P111" s="34"/>
      <c r="Q111" s="34">
        <v>25</v>
      </c>
      <c r="R111" s="34"/>
      <c r="S111" s="34"/>
      <c r="T111" s="34"/>
      <c r="U111" s="34"/>
      <c r="V111" s="34">
        <v>25</v>
      </c>
      <c r="W111" s="34"/>
      <c r="X111" s="34"/>
      <c r="Y111" s="34">
        <v>75</v>
      </c>
      <c r="Z111" s="34">
        <v>50</v>
      </c>
      <c r="AA111" s="34">
        <v>100</v>
      </c>
      <c r="AB111" s="36"/>
      <c r="AC111" s="36">
        <v>8</v>
      </c>
      <c r="AD111" s="36">
        <v>8</v>
      </c>
      <c r="AE111" s="36">
        <v>6</v>
      </c>
      <c r="AF111" s="36">
        <v>20</v>
      </c>
      <c r="AG111" s="36">
        <v>14</v>
      </c>
      <c r="AH111" s="36">
        <v>21</v>
      </c>
      <c r="AI111" s="36">
        <v>13</v>
      </c>
      <c r="AJ111" s="36">
        <v>16</v>
      </c>
      <c r="AK111" s="36">
        <v>24</v>
      </c>
      <c r="AL111" s="36">
        <v>11</v>
      </c>
      <c r="AM111" s="36">
        <v>35</v>
      </c>
      <c r="AN111" s="36"/>
      <c r="AO111" s="36">
        <v>16</v>
      </c>
      <c r="AP111" s="36">
        <v>10</v>
      </c>
      <c r="AQ111" s="36">
        <v>15</v>
      </c>
      <c r="AR111" s="36">
        <v>14</v>
      </c>
      <c r="AS111" s="36">
        <v>6</v>
      </c>
      <c r="AT111" s="36">
        <v>20</v>
      </c>
      <c r="AU111" s="36">
        <v>14</v>
      </c>
      <c r="AV111" s="36">
        <v>15</v>
      </c>
      <c r="AW111" s="36">
        <v>23</v>
      </c>
      <c r="AX111" s="36">
        <v>24</v>
      </c>
      <c r="AY111" s="36">
        <v>15</v>
      </c>
      <c r="AZ111" s="36"/>
      <c r="BA111" s="36">
        <v>5</v>
      </c>
      <c r="BB111" s="36">
        <v>13</v>
      </c>
      <c r="BC111" s="36">
        <v>5</v>
      </c>
      <c r="BD111" s="36">
        <v>11</v>
      </c>
      <c r="BE111" s="36">
        <v>5</v>
      </c>
      <c r="BF111" s="36">
        <v>5</v>
      </c>
      <c r="BG111" s="36">
        <v>12</v>
      </c>
      <c r="BH111" s="36">
        <v>14</v>
      </c>
      <c r="BI111" s="36">
        <v>7</v>
      </c>
      <c r="BJ111" s="36">
        <v>7</v>
      </c>
      <c r="BK111" s="36">
        <v>10</v>
      </c>
      <c r="BL111" s="36"/>
      <c r="BM111" s="36"/>
      <c r="BN111" s="36"/>
      <c r="BO111" s="36">
        <v>2</v>
      </c>
      <c r="BP111" s="36">
        <v>8</v>
      </c>
      <c r="BQ111" s="36">
        <v>5</v>
      </c>
      <c r="BR111" s="36">
        <v>2</v>
      </c>
      <c r="BS111" s="36">
        <v>5</v>
      </c>
      <c r="BT111" s="36">
        <v>3</v>
      </c>
      <c r="BU111" s="36">
        <v>1</v>
      </c>
      <c r="BV111" s="36">
        <v>7</v>
      </c>
      <c r="BW111" s="36">
        <v>6</v>
      </c>
      <c r="BX111" s="36"/>
      <c r="BY111" s="36"/>
      <c r="BZ111" s="36"/>
      <c r="CA111" s="36"/>
      <c r="CB111" s="36"/>
      <c r="CC111" s="36"/>
      <c r="CD111" s="36"/>
      <c r="CE111" s="36">
        <v>1</v>
      </c>
      <c r="CF111" s="36"/>
      <c r="CG111" s="36">
        <v>2</v>
      </c>
      <c r="CH111" s="36"/>
      <c r="CI111" s="36"/>
      <c r="CK111" s="4" t="b">
        <f t="shared" si="1"/>
        <v>0</v>
      </c>
    </row>
    <row r="112" spans="1:89" ht="90" customHeight="1">
      <c r="A112" s="32" t="s">
        <v>144</v>
      </c>
      <c r="B112" s="32" t="s">
        <v>167</v>
      </c>
      <c r="C112" s="32" t="s">
        <v>250</v>
      </c>
      <c r="D112" s="34"/>
      <c r="E112" s="34"/>
      <c r="F112" s="34"/>
      <c r="G112" s="34"/>
      <c r="H112" s="34"/>
      <c r="I112" s="34"/>
      <c r="J112" s="34"/>
      <c r="K112" s="34"/>
      <c r="L112" s="34"/>
      <c r="M112" s="34"/>
      <c r="N112" s="34"/>
      <c r="O112" s="34"/>
      <c r="P112" s="34"/>
      <c r="Q112" s="34"/>
      <c r="R112" s="34"/>
      <c r="S112" s="34"/>
      <c r="T112" s="34"/>
      <c r="U112" s="34"/>
      <c r="V112" s="34"/>
      <c r="W112" s="34"/>
      <c r="X112" s="34"/>
      <c r="Y112" s="34"/>
      <c r="Z112" s="34"/>
      <c r="AA112" s="34"/>
      <c r="AB112" s="36"/>
      <c r="AC112" s="36"/>
      <c r="AD112" s="36"/>
      <c r="AE112" s="36"/>
      <c r="AF112" s="36"/>
      <c r="AG112" s="36"/>
      <c r="AH112" s="36"/>
      <c r="AI112" s="36"/>
      <c r="AJ112" s="36"/>
      <c r="AK112" s="36"/>
      <c r="AL112" s="36"/>
      <c r="AM112" s="36"/>
      <c r="AN112" s="36"/>
      <c r="AO112" s="36"/>
      <c r="AP112" s="36"/>
      <c r="AQ112" s="36"/>
      <c r="AR112" s="36"/>
      <c r="AS112" s="36"/>
      <c r="AT112" s="36"/>
      <c r="AU112" s="36"/>
      <c r="AV112" s="36"/>
      <c r="AW112" s="36"/>
      <c r="AX112" s="36"/>
      <c r="AY112" s="36"/>
      <c r="AZ112" s="36">
        <v>12</v>
      </c>
      <c r="BA112" s="36"/>
      <c r="BB112" s="36">
        <v>5</v>
      </c>
      <c r="BC112" s="36">
        <v>7</v>
      </c>
      <c r="BD112" s="36">
        <v>1</v>
      </c>
      <c r="BE112" s="36">
        <v>28</v>
      </c>
      <c r="BF112" s="36"/>
      <c r="BG112" s="36">
        <v>1</v>
      </c>
      <c r="BH112" s="36">
        <v>6</v>
      </c>
      <c r="BI112" s="36">
        <v>5</v>
      </c>
      <c r="BJ112" s="36"/>
      <c r="BK112" s="36">
        <v>1</v>
      </c>
      <c r="BL112" s="36">
        <v>11</v>
      </c>
      <c r="BM112" s="36"/>
      <c r="BN112" s="36">
        <v>8</v>
      </c>
      <c r="BO112" s="36">
        <v>18</v>
      </c>
      <c r="BP112" s="36">
        <v>1</v>
      </c>
      <c r="BQ112" s="36">
        <v>8</v>
      </c>
      <c r="BR112" s="36"/>
      <c r="BS112" s="36">
        <v>1</v>
      </c>
      <c r="BT112" s="36">
        <v>2</v>
      </c>
      <c r="BU112" s="36">
        <v>3</v>
      </c>
      <c r="BV112" s="36"/>
      <c r="BW112" s="36">
        <v>4</v>
      </c>
      <c r="BX112" s="36">
        <v>8</v>
      </c>
      <c r="BY112" s="36"/>
      <c r="BZ112" s="36">
        <v>2</v>
      </c>
      <c r="CA112" s="36">
        <v>3</v>
      </c>
      <c r="CB112" s="36"/>
      <c r="CC112" s="36">
        <v>2</v>
      </c>
      <c r="CD112" s="36"/>
      <c r="CE112" s="36"/>
      <c r="CF112" s="36">
        <v>1</v>
      </c>
      <c r="CG112" s="36">
        <v>29</v>
      </c>
      <c r="CH112" s="36"/>
      <c r="CI112" s="36"/>
      <c r="CK112" s="4" t="b">
        <f t="shared" si="1"/>
        <v>0</v>
      </c>
    </row>
    <row r="113" spans="1:89" ht="75" customHeight="1">
      <c r="A113" s="32" t="s">
        <v>109</v>
      </c>
      <c r="B113" s="32" t="s">
        <v>251</v>
      </c>
      <c r="C113" s="32" t="s">
        <v>252</v>
      </c>
      <c r="D113" s="34"/>
      <c r="E113" s="34"/>
      <c r="F113" s="34">
        <v>100</v>
      </c>
      <c r="G113" s="34">
        <v>100</v>
      </c>
      <c r="H113" s="34"/>
      <c r="I113" s="34">
        <v>100</v>
      </c>
      <c r="J113" s="34">
        <v>100</v>
      </c>
      <c r="K113" s="34"/>
      <c r="L113" s="34">
        <v>100</v>
      </c>
      <c r="M113" s="34"/>
      <c r="N113" s="34"/>
      <c r="O113" s="34">
        <v>100</v>
      </c>
      <c r="P113" s="34"/>
      <c r="Q113" s="34"/>
      <c r="R113" s="34">
        <v>100</v>
      </c>
      <c r="S113" s="34">
        <v>100</v>
      </c>
      <c r="T113" s="34"/>
      <c r="U113" s="34">
        <v>100</v>
      </c>
      <c r="V113" s="34">
        <v>100</v>
      </c>
      <c r="W113" s="34"/>
      <c r="X113" s="34"/>
      <c r="Y113" s="34"/>
      <c r="Z113" s="34"/>
      <c r="AA113" s="34">
        <v>100</v>
      </c>
      <c r="AB113" s="36"/>
      <c r="AC113" s="36"/>
      <c r="AD113" s="36">
        <v>10</v>
      </c>
      <c r="AE113" s="36">
        <v>12</v>
      </c>
      <c r="AF113" s="36">
        <v>15</v>
      </c>
      <c r="AG113" s="36">
        <v>13</v>
      </c>
      <c r="AH113" s="36">
        <v>8</v>
      </c>
      <c r="AI113" s="36">
        <v>8</v>
      </c>
      <c r="AJ113" s="36">
        <v>8</v>
      </c>
      <c r="AK113" s="36">
        <v>8</v>
      </c>
      <c r="AL113" s="36"/>
      <c r="AM113" s="36">
        <v>10</v>
      </c>
      <c r="AN113" s="36"/>
      <c r="AO113" s="36"/>
      <c r="AP113" s="36">
        <v>10</v>
      </c>
      <c r="AQ113" s="36">
        <v>10</v>
      </c>
      <c r="AR113" s="36">
        <v>12</v>
      </c>
      <c r="AS113" s="36">
        <v>14</v>
      </c>
      <c r="AT113" s="36">
        <v>4</v>
      </c>
      <c r="AU113" s="36">
        <v>8</v>
      </c>
      <c r="AV113" s="36">
        <v>9</v>
      </c>
      <c r="AW113" s="36">
        <v>9</v>
      </c>
      <c r="AX113" s="36"/>
      <c r="AY113" s="36">
        <v>10</v>
      </c>
      <c r="AZ113" s="36"/>
      <c r="BA113" s="36"/>
      <c r="BB113" s="36">
        <v>1</v>
      </c>
      <c r="BC113" s="36">
        <v>5</v>
      </c>
      <c r="BD113" s="36">
        <v>5</v>
      </c>
      <c r="BE113" s="36">
        <v>8</v>
      </c>
      <c r="BF113" s="36">
        <v>16</v>
      </c>
      <c r="BG113" s="36">
        <v>5</v>
      </c>
      <c r="BH113" s="36">
        <v>9</v>
      </c>
      <c r="BI113" s="36">
        <v>8</v>
      </c>
      <c r="BJ113" s="36"/>
      <c r="BK113" s="36"/>
      <c r="BL113" s="36"/>
      <c r="BM113" s="36"/>
      <c r="BN113" s="36"/>
      <c r="BO113" s="36">
        <v>2</v>
      </c>
      <c r="BP113" s="36">
        <v>1</v>
      </c>
      <c r="BQ113" s="36">
        <v>8</v>
      </c>
      <c r="BR113" s="36"/>
      <c r="BS113" s="36">
        <v>5</v>
      </c>
      <c r="BT113" s="36">
        <v>7</v>
      </c>
      <c r="BU113" s="36">
        <v>3</v>
      </c>
      <c r="BV113" s="36"/>
      <c r="BW113" s="36">
        <v>1</v>
      </c>
      <c r="BX113" s="36"/>
      <c r="BY113" s="36"/>
      <c r="BZ113" s="36"/>
      <c r="CA113" s="36">
        <v>1</v>
      </c>
      <c r="CB113" s="36"/>
      <c r="CC113" s="36">
        <v>8</v>
      </c>
      <c r="CD113" s="36"/>
      <c r="CE113" s="36">
        <v>5</v>
      </c>
      <c r="CF113" s="36">
        <v>4</v>
      </c>
      <c r="CG113" s="36">
        <v>5</v>
      </c>
      <c r="CH113" s="36"/>
      <c r="CI113" s="36">
        <v>2</v>
      </c>
      <c r="CK113" s="4" t="b">
        <f t="shared" si="1"/>
        <v>0</v>
      </c>
    </row>
    <row r="114" spans="1:89" ht="75" customHeight="1">
      <c r="A114" s="32" t="s">
        <v>87</v>
      </c>
      <c r="B114" s="32" t="s">
        <v>120</v>
      </c>
      <c r="C114" s="32" t="s">
        <v>253</v>
      </c>
      <c r="D114" s="34"/>
      <c r="E114" s="34">
        <v>40</v>
      </c>
      <c r="F114" s="34">
        <v>100</v>
      </c>
      <c r="G114" s="34">
        <v>100</v>
      </c>
      <c r="H114" s="34">
        <v>100</v>
      </c>
      <c r="I114" s="34">
        <v>100</v>
      </c>
      <c r="J114" s="34">
        <v>75</v>
      </c>
      <c r="K114" s="34">
        <v>100</v>
      </c>
      <c r="L114" s="34">
        <v>100</v>
      </c>
      <c r="M114" s="34">
        <v>100</v>
      </c>
      <c r="N114" s="34">
        <v>100</v>
      </c>
      <c r="O114" s="34">
        <v>100</v>
      </c>
      <c r="P114" s="34"/>
      <c r="Q114" s="34"/>
      <c r="R114" s="34"/>
      <c r="S114" s="34"/>
      <c r="T114" s="34"/>
      <c r="U114" s="34"/>
      <c r="V114" s="34"/>
      <c r="W114" s="34"/>
      <c r="X114" s="34"/>
      <c r="Y114" s="34"/>
      <c r="Z114" s="34"/>
      <c r="AA114" s="34">
        <v>50</v>
      </c>
      <c r="AB114" s="36"/>
      <c r="AC114" s="36">
        <v>13</v>
      </c>
      <c r="AD114" s="36">
        <v>13</v>
      </c>
      <c r="AE114" s="36">
        <v>4</v>
      </c>
      <c r="AF114" s="36">
        <v>15</v>
      </c>
      <c r="AG114" s="36">
        <v>19</v>
      </c>
      <c r="AH114" s="36">
        <v>20</v>
      </c>
      <c r="AI114" s="36">
        <v>23</v>
      </c>
      <c r="AJ114" s="36">
        <v>11</v>
      </c>
      <c r="AK114" s="36">
        <v>8</v>
      </c>
      <c r="AL114" s="36">
        <v>12</v>
      </c>
      <c r="AM114" s="36">
        <v>15</v>
      </c>
      <c r="AN114" s="36"/>
      <c r="AO114" s="36">
        <v>7</v>
      </c>
      <c r="AP114" s="36">
        <v>12</v>
      </c>
      <c r="AQ114" s="36">
        <v>13</v>
      </c>
      <c r="AR114" s="36">
        <v>16</v>
      </c>
      <c r="AS114" s="36">
        <v>6</v>
      </c>
      <c r="AT114" s="36">
        <v>14</v>
      </c>
      <c r="AU114" s="36">
        <v>15</v>
      </c>
      <c r="AV114" s="36">
        <v>30</v>
      </c>
      <c r="AW114" s="36">
        <v>22</v>
      </c>
      <c r="AX114" s="36">
        <v>16</v>
      </c>
      <c r="AY114" s="36">
        <v>12</v>
      </c>
      <c r="AZ114" s="36"/>
      <c r="BA114" s="36">
        <v>5</v>
      </c>
      <c r="BB114" s="36">
        <v>5</v>
      </c>
      <c r="BC114" s="36">
        <v>4</v>
      </c>
      <c r="BD114" s="36">
        <v>15</v>
      </c>
      <c r="BE114" s="36">
        <v>26</v>
      </c>
      <c r="BF114" s="36">
        <v>1</v>
      </c>
      <c r="BG114" s="36">
        <v>4</v>
      </c>
      <c r="BH114" s="36">
        <v>6</v>
      </c>
      <c r="BI114" s="36"/>
      <c r="BJ114" s="36">
        <v>16</v>
      </c>
      <c r="BK114" s="36"/>
      <c r="BL114" s="36"/>
      <c r="BM114" s="36">
        <v>1</v>
      </c>
      <c r="BN114" s="36">
        <v>2</v>
      </c>
      <c r="BO114" s="36"/>
      <c r="BP114" s="36">
        <v>1</v>
      </c>
      <c r="BQ114" s="36"/>
      <c r="BR114" s="36">
        <v>2</v>
      </c>
      <c r="BS114" s="36">
        <v>1</v>
      </c>
      <c r="BT114" s="36"/>
      <c r="BU114" s="36">
        <v>4</v>
      </c>
      <c r="BV114" s="36"/>
      <c r="BW114" s="36">
        <v>1</v>
      </c>
      <c r="BX114" s="36"/>
      <c r="BY114" s="36"/>
      <c r="BZ114" s="36"/>
      <c r="CA114" s="36"/>
      <c r="CB114" s="36"/>
      <c r="CC114" s="36"/>
      <c r="CD114" s="36"/>
      <c r="CE114" s="36"/>
      <c r="CF114" s="36"/>
      <c r="CG114" s="36">
        <v>2</v>
      </c>
      <c r="CH114" s="36"/>
      <c r="CI114" s="36"/>
      <c r="CK114" s="4" t="b">
        <f t="shared" si="1"/>
        <v>0</v>
      </c>
    </row>
    <row r="115" spans="1:89" ht="60" customHeight="1">
      <c r="A115" s="32" t="s">
        <v>144</v>
      </c>
      <c r="B115" s="32" t="s">
        <v>225</v>
      </c>
      <c r="C115" s="32" t="s">
        <v>254</v>
      </c>
      <c r="D115" s="34"/>
      <c r="E115" s="34">
        <v>50</v>
      </c>
      <c r="F115" s="34">
        <v>50</v>
      </c>
      <c r="G115" s="34">
        <v>50</v>
      </c>
      <c r="H115" s="34">
        <v>50</v>
      </c>
      <c r="I115" s="34">
        <v>50</v>
      </c>
      <c r="J115" s="34">
        <v>50</v>
      </c>
      <c r="K115" s="34">
        <v>50</v>
      </c>
      <c r="L115" s="34">
        <v>50</v>
      </c>
      <c r="M115" s="34">
        <v>50</v>
      </c>
      <c r="N115" s="34">
        <v>75</v>
      </c>
      <c r="O115" s="34">
        <v>50</v>
      </c>
      <c r="P115" s="34"/>
      <c r="Q115" s="34">
        <v>50</v>
      </c>
      <c r="R115" s="34"/>
      <c r="S115" s="34">
        <v>25</v>
      </c>
      <c r="T115" s="34">
        <v>50</v>
      </c>
      <c r="U115" s="34">
        <v>50</v>
      </c>
      <c r="V115" s="34">
        <v>50</v>
      </c>
      <c r="W115" s="34">
        <v>50</v>
      </c>
      <c r="X115" s="34">
        <v>50</v>
      </c>
      <c r="Y115" s="34">
        <v>50</v>
      </c>
      <c r="Z115" s="34">
        <v>100</v>
      </c>
      <c r="AA115" s="34">
        <v>66.67</v>
      </c>
      <c r="AB115" s="36"/>
      <c r="AC115" s="36">
        <v>3</v>
      </c>
      <c r="AD115" s="36">
        <v>1</v>
      </c>
      <c r="AE115" s="36">
        <v>3</v>
      </c>
      <c r="AF115" s="36">
        <v>4</v>
      </c>
      <c r="AG115" s="36">
        <v>2</v>
      </c>
      <c r="AH115" s="36">
        <v>3</v>
      </c>
      <c r="AI115" s="36">
        <v>5</v>
      </c>
      <c r="AJ115" s="36">
        <v>6</v>
      </c>
      <c r="AK115" s="36">
        <v>1</v>
      </c>
      <c r="AL115" s="36">
        <v>7</v>
      </c>
      <c r="AM115" s="36">
        <v>1</v>
      </c>
      <c r="AN115" s="36"/>
      <c r="AO115" s="36">
        <v>6</v>
      </c>
      <c r="AP115" s="36">
        <v>1</v>
      </c>
      <c r="AQ115" s="36">
        <v>3</v>
      </c>
      <c r="AR115" s="36">
        <v>4</v>
      </c>
      <c r="AS115" s="36">
        <v>3</v>
      </c>
      <c r="AT115" s="36"/>
      <c r="AU115" s="36">
        <v>3</v>
      </c>
      <c r="AV115" s="36">
        <v>5</v>
      </c>
      <c r="AW115" s="36">
        <v>4</v>
      </c>
      <c r="AX115" s="36">
        <v>6</v>
      </c>
      <c r="AY115" s="36">
        <v>2</v>
      </c>
      <c r="AZ115" s="36"/>
      <c r="BA115" s="36">
        <v>2</v>
      </c>
      <c r="BB115" s="36">
        <v>2</v>
      </c>
      <c r="BC115" s="36">
        <v>4</v>
      </c>
      <c r="BD115" s="36"/>
      <c r="BE115" s="36">
        <v>6</v>
      </c>
      <c r="BF115" s="36"/>
      <c r="BG115" s="36">
        <v>2</v>
      </c>
      <c r="BH115" s="36">
        <v>3</v>
      </c>
      <c r="BI115" s="36">
        <v>3</v>
      </c>
      <c r="BJ115" s="36">
        <v>2</v>
      </c>
      <c r="BK115" s="36">
        <v>1</v>
      </c>
      <c r="BL115" s="36"/>
      <c r="BM115" s="36"/>
      <c r="BN115" s="36">
        <v>9</v>
      </c>
      <c r="BO115" s="36">
        <v>5</v>
      </c>
      <c r="BP115" s="36">
        <v>4</v>
      </c>
      <c r="BQ115" s="36"/>
      <c r="BR115" s="36"/>
      <c r="BS115" s="36"/>
      <c r="BT115" s="36"/>
      <c r="BU115" s="36"/>
      <c r="BV115" s="36"/>
      <c r="BW115" s="36"/>
      <c r="BX115" s="36"/>
      <c r="BY115" s="36"/>
      <c r="BZ115" s="36"/>
      <c r="CA115" s="36"/>
      <c r="CB115" s="36">
        <v>4</v>
      </c>
      <c r="CC115" s="36"/>
      <c r="CD115" s="36">
        <v>2</v>
      </c>
      <c r="CE115" s="36"/>
      <c r="CF115" s="36"/>
      <c r="CG115" s="36"/>
      <c r="CH115" s="36"/>
      <c r="CI115" s="36">
        <v>6</v>
      </c>
      <c r="CK115" s="4" t="b">
        <f t="shared" si="1"/>
        <v>0</v>
      </c>
    </row>
    <row r="116" spans="1:89" ht="60" customHeight="1">
      <c r="A116" s="32" t="s">
        <v>87</v>
      </c>
      <c r="B116" s="32" t="s">
        <v>90</v>
      </c>
      <c r="C116" s="32" t="s">
        <v>255</v>
      </c>
      <c r="D116" s="34"/>
      <c r="E116" s="34"/>
      <c r="F116" s="34"/>
      <c r="G116" s="34"/>
      <c r="H116" s="34"/>
      <c r="I116" s="34"/>
      <c r="J116" s="34"/>
      <c r="K116" s="34"/>
      <c r="L116" s="34"/>
      <c r="M116" s="34"/>
      <c r="N116" s="34"/>
      <c r="O116" s="34"/>
      <c r="P116" s="34"/>
      <c r="Q116" s="34"/>
      <c r="R116" s="34"/>
      <c r="S116" s="34"/>
      <c r="T116" s="34"/>
      <c r="U116" s="34"/>
      <c r="V116" s="34"/>
      <c r="W116" s="34"/>
      <c r="X116" s="34"/>
      <c r="Y116" s="34"/>
      <c r="Z116" s="34"/>
      <c r="AA116" s="34"/>
      <c r="AB116" s="36"/>
      <c r="AC116" s="36"/>
      <c r="AD116" s="36"/>
      <c r="AE116" s="36"/>
      <c r="AF116" s="36"/>
      <c r="AG116" s="36"/>
      <c r="AH116" s="36"/>
      <c r="AI116" s="36">
        <v>73</v>
      </c>
      <c r="AJ116" s="36">
        <v>60</v>
      </c>
      <c r="AK116" s="36">
        <v>41</v>
      </c>
      <c r="AL116" s="36">
        <v>55</v>
      </c>
      <c r="AM116" s="36"/>
      <c r="AN116" s="36"/>
      <c r="AO116" s="36"/>
      <c r="AP116" s="36"/>
      <c r="AQ116" s="36"/>
      <c r="AR116" s="36"/>
      <c r="AS116" s="36"/>
      <c r="AT116" s="36"/>
      <c r="AU116" s="36">
        <v>45</v>
      </c>
      <c r="AV116" s="36">
        <v>58</v>
      </c>
      <c r="AW116" s="36">
        <v>45</v>
      </c>
      <c r="AX116" s="36">
        <v>47</v>
      </c>
      <c r="AY116" s="36"/>
      <c r="AZ116" s="36"/>
      <c r="BA116" s="36"/>
      <c r="BB116" s="36"/>
      <c r="BC116" s="36"/>
      <c r="BD116" s="36"/>
      <c r="BE116" s="36"/>
      <c r="BF116" s="36"/>
      <c r="BG116" s="36">
        <v>146</v>
      </c>
      <c r="BH116" s="36">
        <v>40</v>
      </c>
      <c r="BI116" s="36">
        <v>109</v>
      </c>
      <c r="BJ116" s="36">
        <v>138</v>
      </c>
      <c r="BK116" s="36"/>
      <c r="BL116" s="36"/>
      <c r="BM116" s="36"/>
      <c r="BN116" s="36"/>
      <c r="BO116" s="36"/>
      <c r="BP116" s="36"/>
      <c r="BQ116" s="36"/>
      <c r="BR116" s="36"/>
      <c r="BS116" s="36">
        <v>58</v>
      </c>
      <c r="BT116" s="36"/>
      <c r="BU116" s="36">
        <v>45</v>
      </c>
      <c r="BV116" s="36">
        <v>50</v>
      </c>
      <c r="BW116" s="36"/>
      <c r="BX116" s="36"/>
      <c r="BY116" s="36"/>
      <c r="BZ116" s="36"/>
      <c r="CA116" s="36"/>
      <c r="CB116" s="36"/>
      <c r="CC116" s="36"/>
      <c r="CD116" s="36"/>
      <c r="CE116" s="36">
        <v>47</v>
      </c>
      <c r="CF116" s="36"/>
      <c r="CG116" s="36">
        <v>40</v>
      </c>
      <c r="CH116" s="36">
        <v>47</v>
      </c>
      <c r="CI116" s="36"/>
      <c r="CK116" s="4" t="b">
        <f t="shared" si="1"/>
        <v>0</v>
      </c>
    </row>
    <row r="117" spans="1:89" ht="75" customHeight="1">
      <c r="A117" s="32" t="s">
        <v>87</v>
      </c>
      <c r="B117" s="32" t="s">
        <v>104</v>
      </c>
      <c r="C117" s="32" t="s">
        <v>256</v>
      </c>
      <c r="D117" s="34"/>
      <c r="E117" s="34"/>
      <c r="F117" s="34">
        <v>100</v>
      </c>
      <c r="G117" s="34">
        <v>100</v>
      </c>
      <c r="H117" s="34"/>
      <c r="I117" s="34">
        <v>100</v>
      </c>
      <c r="J117" s="34">
        <v>75</v>
      </c>
      <c r="K117" s="34">
        <v>75</v>
      </c>
      <c r="L117" s="34">
        <v>100</v>
      </c>
      <c r="M117" s="34">
        <v>100</v>
      </c>
      <c r="N117" s="34">
        <v>100</v>
      </c>
      <c r="O117" s="34">
        <v>100</v>
      </c>
      <c r="P117" s="34"/>
      <c r="Q117" s="34"/>
      <c r="R117" s="34">
        <v>100</v>
      </c>
      <c r="S117" s="34">
        <v>100</v>
      </c>
      <c r="T117" s="34"/>
      <c r="U117" s="34">
        <v>100</v>
      </c>
      <c r="V117" s="34">
        <v>75</v>
      </c>
      <c r="W117" s="34">
        <v>75</v>
      </c>
      <c r="X117" s="34">
        <v>75</v>
      </c>
      <c r="Y117" s="34">
        <v>25</v>
      </c>
      <c r="Z117" s="34">
        <v>100</v>
      </c>
      <c r="AA117" s="34">
        <v>75</v>
      </c>
      <c r="AB117" s="36"/>
      <c r="AC117" s="36"/>
      <c r="AD117" s="36">
        <v>29</v>
      </c>
      <c r="AE117" s="36">
        <v>31</v>
      </c>
      <c r="AF117" s="36"/>
      <c r="AG117" s="36">
        <v>45</v>
      </c>
      <c r="AH117" s="36">
        <v>32</v>
      </c>
      <c r="AI117" s="36">
        <v>28</v>
      </c>
      <c r="AJ117" s="36">
        <v>34</v>
      </c>
      <c r="AK117" s="36">
        <v>32</v>
      </c>
      <c r="AL117" s="36">
        <v>27</v>
      </c>
      <c r="AM117" s="36">
        <v>31</v>
      </c>
      <c r="AN117" s="36"/>
      <c r="AO117" s="36"/>
      <c r="AP117" s="36">
        <v>35</v>
      </c>
      <c r="AQ117" s="36">
        <v>39</v>
      </c>
      <c r="AR117" s="36"/>
      <c r="AS117" s="36">
        <v>35</v>
      </c>
      <c r="AT117" s="36">
        <v>27</v>
      </c>
      <c r="AU117" s="36">
        <v>26</v>
      </c>
      <c r="AV117" s="36">
        <v>31</v>
      </c>
      <c r="AW117" s="36">
        <v>22</v>
      </c>
      <c r="AX117" s="36">
        <v>38</v>
      </c>
      <c r="AY117" s="36">
        <v>32</v>
      </c>
      <c r="AZ117" s="36"/>
      <c r="BA117" s="36"/>
      <c r="BB117" s="36">
        <v>46</v>
      </c>
      <c r="BC117" s="36">
        <v>45</v>
      </c>
      <c r="BD117" s="36"/>
      <c r="BE117" s="36">
        <v>12</v>
      </c>
      <c r="BF117" s="36">
        <v>14</v>
      </c>
      <c r="BG117" s="36">
        <v>27</v>
      </c>
      <c r="BH117" s="36">
        <v>22</v>
      </c>
      <c r="BI117" s="36">
        <v>103</v>
      </c>
      <c r="BJ117" s="36">
        <v>27</v>
      </c>
      <c r="BK117" s="36">
        <v>22</v>
      </c>
      <c r="BL117" s="36"/>
      <c r="BM117" s="36"/>
      <c r="BN117" s="36">
        <v>4</v>
      </c>
      <c r="BO117" s="36">
        <v>5</v>
      </c>
      <c r="BP117" s="36"/>
      <c r="BQ117" s="36"/>
      <c r="BR117" s="36">
        <v>21</v>
      </c>
      <c r="BS117" s="36">
        <v>13</v>
      </c>
      <c r="BT117" s="36">
        <v>15</v>
      </c>
      <c r="BU117" s="36">
        <v>8</v>
      </c>
      <c r="BV117" s="36">
        <v>22</v>
      </c>
      <c r="BW117" s="36">
        <v>8</v>
      </c>
      <c r="BX117" s="36"/>
      <c r="BY117" s="36"/>
      <c r="BZ117" s="36"/>
      <c r="CA117" s="36"/>
      <c r="CB117" s="36"/>
      <c r="CC117" s="36"/>
      <c r="CD117" s="36">
        <v>1</v>
      </c>
      <c r="CE117" s="36"/>
      <c r="CF117" s="36"/>
      <c r="CG117" s="36">
        <v>2</v>
      </c>
      <c r="CH117" s="36">
        <v>7</v>
      </c>
      <c r="CI117" s="36">
        <v>8</v>
      </c>
      <c r="CK117" s="4" t="b">
        <f t="shared" si="1"/>
        <v>0</v>
      </c>
    </row>
    <row r="118" spans="1:89" ht="60" customHeight="1">
      <c r="A118" s="32" t="s">
        <v>92</v>
      </c>
      <c r="B118" s="32" t="s">
        <v>129</v>
      </c>
      <c r="C118" s="32" t="s">
        <v>257</v>
      </c>
      <c r="D118" s="34"/>
      <c r="E118" s="34">
        <v>100</v>
      </c>
      <c r="F118" s="34">
        <v>100</v>
      </c>
      <c r="G118" s="34">
        <v>100</v>
      </c>
      <c r="H118" s="34">
        <v>75</v>
      </c>
      <c r="I118" s="34">
        <v>100</v>
      </c>
      <c r="J118" s="34">
        <v>100</v>
      </c>
      <c r="K118" s="34">
        <v>100</v>
      </c>
      <c r="L118" s="34">
        <v>100</v>
      </c>
      <c r="M118" s="34">
        <v>100</v>
      </c>
      <c r="N118" s="34">
        <v>125</v>
      </c>
      <c r="O118" s="34">
        <v>100</v>
      </c>
      <c r="P118" s="34"/>
      <c r="Q118" s="34">
        <v>33.33</v>
      </c>
      <c r="R118" s="34">
        <v>50</v>
      </c>
      <c r="S118" s="34">
        <v>50</v>
      </c>
      <c r="T118" s="34">
        <v>200</v>
      </c>
      <c r="U118" s="34">
        <v>50</v>
      </c>
      <c r="V118" s="34">
        <v>25</v>
      </c>
      <c r="W118" s="34">
        <v>50</v>
      </c>
      <c r="X118" s="34">
        <v>50</v>
      </c>
      <c r="Y118" s="34">
        <v>50</v>
      </c>
      <c r="Z118" s="34">
        <v>50</v>
      </c>
      <c r="AA118" s="34">
        <v>50</v>
      </c>
      <c r="AB118" s="36"/>
      <c r="AC118" s="36">
        <v>19</v>
      </c>
      <c r="AD118" s="36">
        <v>33</v>
      </c>
      <c r="AE118" s="36">
        <v>44</v>
      </c>
      <c r="AF118" s="36">
        <v>168</v>
      </c>
      <c r="AG118" s="36">
        <v>41</v>
      </c>
      <c r="AH118" s="36">
        <v>29</v>
      </c>
      <c r="AI118" s="36">
        <v>50</v>
      </c>
      <c r="AJ118" s="36">
        <v>49</v>
      </c>
      <c r="AK118" s="36">
        <v>50</v>
      </c>
      <c r="AL118" s="36">
        <v>54</v>
      </c>
      <c r="AM118" s="36">
        <v>51</v>
      </c>
      <c r="AN118" s="36"/>
      <c r="AO118" s="36">
        <v>21</v>
      </c>
      <c r="AP118" s="36">
        <v>33</v>
      </c>
      <c r="AQ118" s="36">
        <v>46</v>
      </c>
      <c r="AR118" s="36">
        <v>167</v>
      </c>
      <c r="AS118" s="36">
        <v>43</v>
      </c>
      <c r="AT118" s="36">
        <v>31</v>
      </c>
      <c r="AU118" s="36">
        <v>48</v>
      </c>
      <c r="AV118" s="36">
        <v>47</v>
      </c>
      <c r="AW118" s="36">
        <v>48</v>
      </c>
      <c r="AX118" s="36">
        <v>51</v>
      </c>
      <c r="AY118" s="36">
        <v>56</v>
      </c>
      <c r="AZ118" s="36"/>
      <c r="BA118" s="36">
        <v>3</v>
      </c>
      <c r="BB118" s="36">
        <v>8</v>
      </c>
      <c r="BC118" s="36">
        <v>13</v>
      </c>
      <c r="BD118" s="36">
        <v>17</v>
      </c>
      <c r="BE118" s="36">
        <v>11</v>
      </c>
      <c r="BF118" s="36">
        <v>9</v>
      </c>
      <c r="BG118" s="36"/>
      <c r="BH118" s="36">
        <v>11</v>
      </c>
      <c r="BI118" s="36">
        <v>13</v>
      </c>
      <c r="BJ118" s="36">
        <v>14</v>
      </c>
      <c r="BK118" s="36">
        <v>9</v>
      </c>
      <c r="BL118" s="36"/>
      <c r="BM118" s="36"/>
      <c r="BN118" s="36">
        <v>9</v>
      </c>
      <c r="BO118" s="36">
        <v>11</v>
      </c>
      <c r="BP118" s="36">
        <v>9</v>
      </c>
      <c r="BQ118" s="36">
        <v>7</v>
      </c>
      <c r="BR118" s="36">
        <v>2</v>
      </c>
      <c r="BS118" s="36">
        <v>10</v>
      </c>
      <c r="BT118" s="36">
        <v>9</v>
      </c>
      <c r="BU118" s="36">
        <v>6</v>
      </c>
      <c r="BV118" s="36">
        <v>6</v>
      </c>
      <c r="BW118" s="36">
        <v>5</v>
      </c>
      <c r="BX118" s="36"/>
      <c r="BY118" s="36"/>
      <c r="BZ118" s="36"/>
      <c r="CA118" s="36">
        <v>2</v>
      </c>
      <c r="CB118" s="36"/>
      <c r="CC118" s="36">
        <v>2</v>
      </c>
      <c r="CD118" s="36"/>
      <c r="CE118" s="36">
        <v>4</v>
      </c>
      <c r="CF118" s="36">
        <v>3</v>
      </c>
      <c r="CG118" s="36">
        <v>1</v>
      </c>
      <c r="CH118" s="36"/>
      <c r="CI118" s="36"/>
      <c r="CK118" s="4" t="b">
        <f t="shared" si="1"/>
        <v>0</v>
      </c>
    </row>
    <row r="119" spans="1:89" ht="60" customHeight="1">
      <c r="A119" s="32" t="s">
        <v>109</v>
      </c>
      <c r="B119" s="32" t="s">
        <v>194</v>
      </c>
      <c r="C119" s="32" t="s">
        <v>258</v>
      </c>
      <c r="D119" s="34"/>
      <c r="E119" s="34">
        <v>100</v>
      </c>
      <c r="F119" s="34">
        <v>100</v>
      </c>
      <c r="G119" s="34">
        <v>100</v>
      </c>
      <c r="H119" s="34">
        <v>100</v>
      </c>
      <c r="I119" s="34">
        <v>100</v>
      </c>
      <c r="J119" s="34">
        <v>100</v>
      </c>
      <c r="K119" s="34">
        <v>100</v>
      </c>
      <c r="L119" s="34">
        <v>100</v>
      </c>
      <c r="M119" s="34"/>
      <c r="N119" s="34">
        <v>100</v>
      </c>
      <c r="O119" s="34">
        <v>100</v>
      </c>
      <c r="P119" s="34"/>
      <c r="Q119" s="34">
        <v>100</v>
      </c>
      <c r="R119" s="34">
        <v>100</v>
      </c>
      <c r="S119" s="34">
        <v>100</v>
      </c>
      <c r="T119" s="34">
        <v>100</v>
      </c>
      <c r="U119" s="34">
        <v>100</v>
      </c>
      <c r="V119" s="34">
        <v>100</v>
      </c>
      <c r="W119" s="34">
        <v>100</v>
      </c>
      <c r="X119" s="34">
        <v>100</v>
      </c>
      <c r="Y119" s="34">
        <v>100</v>
      </c>
      <c r="Z119" s="34">
        <v>100</v>
      </c>
      <c r="AA119" s="34">
        <v>100</v>
      </c>
      <c r="AB119" s="36"/>
      <c r="AC119" s="36">
        <v>45</v>
      </c>
      <c r="AD119" s="36">
        <v>16</v>
      </c>
      <c r="AE119" s="36">
        <v>40</v>
      </c>
      <c r="AF119" s="36">
        <v>23</v>
      </c>
      <c r="AG119" s="36">
        <v>37</v>
      </c>
      <c r="AH119" s="36">
        <v>36</v>
      </c>
      <c r="AI119" s="36">
        <v>40</v>
      </c>
      <c r="AJ119" s="36">
        <v>39</v>
      </c>
      <c r="AK119" s="36">
        <v>40</v>
      </c>
      <c r="AL119" s="36">
        <v>39</v>
      </c>
      <c r="AM119" s="36">
        <v>40</v>
      </c>
      <c r="AN119" s="36"/>
      <c r="AO119" s="36">
        <v>179</v>
      </c>
      <c r="AP119" s="36">
        <v>20</v>
      </c>
      <c r="AQ119" s="36">
        <v>36</v>
      </c>
      <c r="AR119" s="36">
        <v>37</v>
      </c>
      <c r="AS119" s="36">
        <v>36</v>
      </c>
      <c r="AT119" s="36">
        <v>37</v>
      </c>
      <c r="AU119" s="36">
        <v>39</v>
      </c>
      <c r="AV119" s="36">
        <v>40</v>
      </c>
      <c r="AW119" s="36">
        <v>39</v>
      </c>
      <c r="AX119" s="36">
        <v>40</v>
      </c>
      <c r="AY119" s="36">
        <v>36</v>
      </c>
      <c r="AZ119" s="36"/>
      <c r="BA119" s="36">
        <v>8</v>
      </c>
      <c r="BB119" s="36">
        <v>7</v>
      </c>
      <c r="BC119" s="36">
        <v>9</v>
      </c>
      <c r="BD119" s="36">
        <v>9</v>
      </c>
      <c r="BE119" s="36">
        <v>13</v>
      </c>
      <c r="BF119" s="36">
        <v>8</v>
      </c>
      <c r="BG119" s="36">
        <v>5</v>
      </c>
      <c r="BH119" s="36">
        <v>8</v>
      </c>
      <c r="BI119" s="36">
        <v>13</v>
      </c>
      <c r="BJ119" s="36">
        <v>7</v>
      </c>
      <c r="BK119" s="36">
        <v>5</v>
      </c>
      <c r="BL119" s="36"/>
      <c r="BM119" s="36">
        <v>2</v>
      </c>
      <c r="BN119" s="36">
        <v>2</v>
      </c>
      <c r="BO119" s="36">
        <v>5</v>
      </c>
      <c r="BP119" s="36">
        <v>3</v>
      </c>
      <c r="BQ119" s="36">
        <v>5</v>
      </c>
      <c r="BR119" s="36">
        <v>7</v>
      </c>
      <c r="BS119" s="36"/>
      <c r="BT119" s="36">
        <v>7</v>
      </c>
      <c r="BU119" s="36">
        <v>7</v>
      </c>
      <c r="BV119" s="36">
        <v>7</v>
      </c>
      <c r="BW119" s="36">
        <v>4</v>
      </c>
      <c r="BX119" s="36"/>
      <c r="BY119" s="36"/>
      <c r="BZ119" s="36"/>
      <c r="CA119" s="36"/>
      <c r="CB119" s="36">
        <v>1</v>
      </c>
      <c r="CC119" s="36"/>
      <c r="CD119" s="36"/>
      <c r="CE119" s="36"/>
      <c r="CF119" s="36">
        <v>2</v>
      </c>
      <c r="CG119" s="36">
        <v>3</v>
      </c>
      <c r="CH119" s="36">
        <v>4</v>
      </c>
      <c r="CI119" s="36">
        <v>3</v>
      </c>
      <c r="CK119" s="4" t="b">
        <f t="shared" si="1"/>
        <v>0</v>
      </c>
    </row>
    <row r="120" spans="1:89" ht="75" customHeight="1">
      <c r="A120" s="32" t="s">
        <v>92</v>
      </c>
      <c r="B120" s="32" t="s">
        <v>129</v>
      </c>
      <c r="C120" s="32" t="s">
        <v>259</v>
      </c>
      <c r="D120" s="34"/>
      <c r="E120" s="34">
        <v>100</v>
      </c>
      <c r="F120" s="34">
        <v>100</v>
      </c>
      <c r="G120" s="34">
        <v>100</v>
      </c>
      <c r="H120" s="34">
        <v>100</v>
      </c>
      <c r="I120" s="34">
        <v>100</v>
      </c>
      <c r="J120" s="34">
        <v>100</v>
      </c>
      <c r="K120" s="34">
        <v>75</v>
      </c>
      <c r="L120" s="34">
        <v>100</v>
      </c>
      <c r="M120" s="34">
        <v>100</v>
      </c>
      <c r="N120" s="34">
        <v>100</v>
      </c>
      <c r="O120" s="34">
        <v>75</v>
      </c>
      <c r="P120" s="34"/>
      <c r="Q120" s="34">
        <v>100</v>
      </c>
      <c r="R120" s="34">
        <v>100</v>
      </c>
      <c r="S120" s="34">
        <v>100</v>
      </c>
      <c r="T120" s="34">
        <v>100</v>
      </c>
      <c r="U120" s="34">
        <v>100</v>
      </c>
      <c r="V120" s="34">
        <v>100</v>
      </c>
      <c r="W120" s="34">
        <v>75</v>
      </c>
      <c r="X120" s="34">
        <v>100</v>
      </c>
      <c r="Y120" s="34">
        <v>100</v>
      </c>
      <c r="Z120" s="34">
        <v>100</v>
      </c>
      <c r="AA120" s="34">
        <v>75</v>
      </c>
      <c r="AB120" s="36"/>
      <c r="AC120" s="36">
        <v>66</v>
      </c>
      <c r="AD120" s="36">
        <v>71</v>
      </c>
      <c r="AE120" s="36">
        <v>55</v>
      </c>
      <c r="AF120" s="36">
        <v>78</v>
      </c>
      <c r="AG120" s="36">
        <v>78</v>
      </c>
      <c r="AH120" s="36">
        <v>70</v>
      </c>
      <c r="AI120" s="36">
        <v>57</v>
      </c>
      <c r="AJ120" s="36">
        <v>58</v>
      </c>
      <c r="AK120" s="36">
        <v>75</v>
      </c>
      <c r="AL120" s="36">
        <v>76</v>
      </c>
      <c r="AM120" s="36">
        <v>64</v>
      </c>
      <c r="AN120" s="36"/>
      <c r="AO120" s="36">
        <v>48</v>
      </c>
      <c r="AP120" s="36">
        <v>60</v>
      </c>
      <c r="AQ120" s="36">
        <v>59</v>
      </c>
      <c r="AR120" s="36">
        <v>57</v>
      </c>
      <c r="AS120" s="36">
        <v>63</v>
      </c>
      <c r="AT120" s="36">
        <v>65</v>
      </c>
      <c r="AU120" s="36">
        <v>55</v>
      </c>
      <c r="AV120" s="36">
        <v>59</v>
      </c>
      <c r="AW120" s="36">
        <v>74</v>
      </c>
      <c r="AX120" s="36">
        <v>66</v>
      </c>
      <c r="AY120" s="36">
        <v>60</v>
      </c>
      <c r="AZ120" s="36"/>
      <c r="BA120" s="36">
        <v>28</v>
      </c>
      <c r="BB120" s="36">
        <v>20</v>
      </c>
      <c r="BC120" s="36">
        <v>16</v>
      </c>
      <c r="BD120" s="36">
        <v>23</v>
      </c>
      <c r="BE120" s="36">
        <v>11</v>
      </c>
      <c r="BF120" s="36">
        <v>25</v>
      </c>
      <c r="BG120" s="36">
        <v>13</v>
      </c>
      <c r="BH120" s="36">
        <v>12</v>
      </c>
      <c r="BI120" s="36">
        <v>6</v>
      </c>
      <c r="BJ120" s="36">
        <v>24</v>
      </c>
      <c r="BK120" s="36">
        <v>11</v>
      </c>
      <c r="BL120" s="36"/>
      <c r="BM120" s="36">
        <v>3</v>
      </c>
      <c r="BN120" s="36">
        <v>2</v>
      </c>
      <c r="BO120" s="36">
        <v>12</v>
      </c>
      <c r="BP120" s="36">
        <v>17</v>
      </c>
      <c r="BQ120" s="36">
        <v>8</v>
      </c>
      <c r="BR120" s="36">
        <v>10</v>
      </c>
      <c r="BS120" s="36">
        <v>8</v>
      </c>
      <c r="BT120" s="36">
        <v>12</v>
      </c>
      <c r="BU120" s="36">
        <v>12</v>
      </c>
      <c r="BV120" s="36">
        <v>9</v>
      </c>
      <c r="BW120" s="36">
        <v>3</v>
      </c>
      <c r="BX120" s="36"/>
      <c r="BY120" s="36"/>
      <c r="BZ120" s="36"/>
      <c r="CA120" s="36"/>
      <c r="CB120" s="36">
        <v>1</v>
      </c>
      <c r="CC120" s="36"/>
      <c r="CD120" s="36">
        <v>1</v>
      </c>
      <c r="CE120" s="36"/>
      <c r="CF120" s="36"/>
      <c r="CG120" s="36"/>
      <c r="CH120" s="36">
        <v>5</v>
      </c>
      <c r="CI120" s="36">
        <v>1</v>
      </c>
      <c r="CK120" s="4" t="b">
        <f t="shared" si="1"/>
        <v>0</v>
      </c>
    </row>
    <row r="121" spans="1:89" ht="60" customHeight="1">
      <c r="A121" s="32" t="s">
        <v>109</v>
      </c>
      <c r="B121" s="32" t="s">
        <v>251</v>
      </c>
      <c r="C121" s="32" t="s">
        <v>260</v>
      </c>
      <c r="D121" s="34"/>
      <c r="E121" s="34"/>
      <c r="F121" s="34">
        <v>100</v>
      </c>
      <c r="G121" s="34">
        <v>100</v>
      </c>
      <c r="H121" s="34">
        <v>100</v>
      </c>
      <c r="I121" s="34">
        <v>100</v>
      </c>
      <c r="J121" s="34"/>
      <c r="K121" s="34"/>
      <c r="L121" s="34">
        <v>150</v>
      </c>
      <c r="M121" s="34"/>
      <c r="N121" s="34">
        <v>100</v>
      </c>
      <c r="O121" s="34">
        <v>75</v>
      </c>
      <c r="P121" s="34"/>
      <c r="Q121" s="34"/>
      <c r="R121" s="34">
        <v>100</v>
      </c>
      <c r="S121" s="34">
        <v>100</v>
      </c>
      <c r="T121" s="34">
        <v>100</v>
      </c>
      <c r="U121" s="34">
        <v>100</v>
      </c>
      <c r="V121" s="34"/>
      <c r="W121" s="34"/>
      <c r="X121" s="34">
        <v>100</v>
      </c>
      <c r="Y121" s="34"/>
      <c r="Z121" s="34">
        <v>100</v>
      </c>
      <c r="AA121" s="34">
        <v>75</v>
      </c>
      <c r="AB121" s="36"/>
      <c r="AC121" s="36">
        <v>55</v>
      </c>
      <c r="AD121" s="36">
        <v>23</v>
      </c>
      <c r="AE121" s="36">
        <v>36</v>
      </c>
      <c r="AF121" s="36">
        <v>24</v>
      </c>
      <c r="AG121" s="36">
        <v>12</v>
      </c>
      <c r="AH121" s="36"/>
      <c r="AI121" s="36">
        <v>20</v>
      </c>
      <c r="AJ121" s="36">
        <v>20</v>
      </c>
      <c r="AK121" s="36">
        <v>12</v>
      </c>
      <c r="AL121" s="36">
        <v>10</v>
      </c>
      <c r="AM121" s="36">
        <v>64</v>
      </c>
      <c r="AN121" s="36"/>
      <c r="AO121" s="36">
        <v>19</v>
      </c>
      <c r="AP121" s="36">
        <v>17</v>
      </c>
      <c r="AQ121" s="36">
        <v>39</v>
      </c>
      <c r="AR121" s="36">
        <v>12</v>
      </c>
      <c r="AS121" s="36">
        <v>6</v>
      </c>
      <c r="AT121" s="36"/>
      <c r="AU121" s="36">
        <v>18</v>
      </c>
      <c r="AV121" s="36">
        <v>14</v>
      </c>
      <c r="AW121" s="36">
        <v>18</v>
      </c>
      <c r="AX121" s="36">
        <v>16</v>
      </c>
      <c r="AY121" s="36">
        <v>60</v>
      </c>
      <c r="AZ121" s="36"/>
      <c r="BA121" s="36"/>
      <c r="BB121" s="36">
        <v>4</v>
      </c>
      <c r="BC121" s="36">
        <v>6</v>
      </c>
      <c r="BD121" s="36">
        <v>4</v>
      </c>
      <c r="BE121" s="36">
        <v>9</v>
      </c>
      <c r="BF121" s="36"/>
      <c r="BG121" s="36">
        <v>4</v>
      </c>
      <c r="BH121" s="36">
        <v>16</v>
      </c>
      <c r="BI121" s="36">
        <v>10</v>
      </c>
      <c r="BJ121" s="36">
        <v>2</v>
      </c>
      <c r="BK121" s="36">
        <v>11</v>
      </c>
      <c r="BL121" s="36"/>
      <c r="BM121" s="36"/>
      <c r="BN121" s="36"/>
      <c r="BO121" s="36">
        <v>2</v>
      </c>
      <c r="BP121" s="36">
        <v>2</v>
      </c>
      <c r="BQ121" s="36"/>
      <c r="BR121" s="36"/>
      <c r="BS121" s="36"/>
      <c r="BT121" s="36">
        <v>2</v>
      </c>
      <c r="BU121" s="36"/>
      <c r="BV121" s="36"/>
      <c r="BW121" s="36">
        <v>3</v>
      </c>
      <c r="BX121" s="36"/>
      <c r="BY121" s="36"/>
      <c r="BZ121" s="36"/>
      <c r="CA121" s="36"/>
      <c r="CB121" s="36"/>
      <c r="CC121" s="36"/>
      <c r="CD121" s="36"/>
      <c r="CE121" s="36"/>
      <c r="CF121" s="36"/>
      <c r="CG121" s="36"/>
      <c r="CH121" s="36"/>
      <c r="CI121" s="36">
        <v>1</v>
      </c>
      <c r="CK121" s="4" t="b">
        <f t="shared" si="1"/>
        <v>0</v>
      </c>
    </row>
    <row r="122" spans="1:89" ht="105" customHeight="1">
      <c r="A122" s="32" t="s">
        <v>87</v>
      </c>
      <c r="B122" s="32" t="s">
        <v>160</v>
      </c>
      <c r="C122" s="32" t="s">
        <v>261</v>
      </c>
      <c r="D122" s="34"/>
      <c r="E122" s="34">
        <v>100</v>
      </c>
      <c r="F122" s="34">
        <v>100</v>
      </c>
      <c r="G122" s="34">
        <v>100</v>
      </c>
      <c r="H122" s="34">
        <v>100</v>
      </c>
      <c r="I122" s="34">
        <v>100</v>
      </c>
      <c r="J122" s="34">
        <v>92.31</v>
      </c>
      <c r="K122" s="34">
        <v>78.569999999999993</v>
      </c>
      <c r="L122" s="34">
        <v>91.67</v>
      </c>
      <c r="M122" s="34">
        <v>100</v>
      </c>
      <c r="N122" s="34">
        <v>100</v>
      </c>
      <c r="O122" s="34">
        <v>100</v>
      </c>
      <c r="P122" s="34"/>
      <c r="Q122" s="34">
        <v>100</v>
      </c>
      <c r="R122" s="34">
        <v>50</v>
      </c>
      <c r="S122" s="34">
        <v>75</v>
      </c>
      <c r="T122" s="34">
        <v>75</v>
      </c>
      <c r="U122" s="34">
        <v>100</v>
      </c>
      <c r="V122" s="34">
        <v>75</v>
      </c>
      <c r="W122" s="34">
        <v>75</v>
      </c>
      <c r="X122" s="34">
        <v>50</v>
      </c>
      <c r="Y122" s="34">
        <v>100</v>
      </c>
      <c r="Z122" s="34">
        <v>100</v>
      </c>
      <c r="AA122" s="34">
        <v>100</v>
      </c>
      <c r="AB122" s="36">
        <v>6</v>
      </c>
      <c r="AC122" s="36">
        <v>74</v>
      </c>
      <c r="AD122" s="36">
        <v>26</v>
      </c>
      <c r="AE122" s="36">
        <v>64</v>
      </c>
      <c r="AF122" s="36">
        <v>76</v>
      </c>
      <c r="AG122" s="36">
        <v>79</v>
      </c>
      <c r="AH122" s="36">
        <v>107</v>
      </c>
      <c r="AI122" s="36">
        <v>54</v>
      </c>
      <c r="AJ122" s="36">
        <v>21</v>
      </c>
      <c r="AK122" s="36">
        <v>58</v>
      </c>
      <c r="AL122" s="36">
        <v>59</v>
      </c>
      <c r="AM122" s="36">
        <v>66</v>
      </c>
      <c r="AN122" s="36">
        <v>13</v>
      </c>
      <c r="AO122" s="36">
        <v>130</v>
      </c>
      <c r="AP122" s="36">
        <v>43</v>
      </c>
      <c r="AQ122" s="36">
        <v>81</v>
      </c>
      <c r="AR122" s="36">
        <v>52</v>
      </c>
      <c r="AS122" s="36">
        <v>62</v>
      </c>
      <c r="AT122" s="36">
        <v>92</v>
      </c>
      <c r="AU122" s="36">
        <v>83</v>
      </c>
      <c r="AV122" s="36">
        <v>70</v>
      </c>
      <c r="AW122" s="36">
        <v>56</v>
      </c>
      <c r="AX122" s="36">
        <v>40</v>
      </c>
      <c r="AY122" s="36">
        <v>60</v>
      </c>
      <c r="AZ122" s="36"/>
      <c r="BA122" s="36">
        <v>16</v>
      </c>
      <c r="BB122" s="36">
        <v>36</v>
      </c>
      <c r="BC122" s="36">
        <v>50</v>
      </c>
      <c r="BD122" s="36">
        <v>33</v>
      </c>
      <c r="BE122" s="36">
        <v>99</v>
      </c>
      <c r="BF122" s="36">
        <v>30</v>
      </c>
      <c r="BG122" s="36">
        <v>33</v>
      </c>
      <c r="BH122" s="36">
        <v>38</v>
      </c>
      <c r="BI122" s="36">
        <v>47</v>
      </c>
      <c r="BJ122" s="36">
        <v>40</v>
      </c>
      <c r="BK122" s="36">
        <v>133</v>
      </c>
      <c r="BL122" s="36"/>
      <c r="BM122" s="36"/>
      <c r="BN122" s="36">
        <v>5</v>
      </c>
      <c r="BO122" s="36">
        <v>4</v>
      </c>
      <c r="BP122" s="36">
        <v>13</v>
      </c>
      <c r="BQ122" s="36">
        <v>17</v>
      </c>
      <c r="BR122" s="36">
        <v>24</v>
      </c>
      <c r="BS122" s="36">
        <v>25</v>
      </c>
      <c r="BT122" s="36">
        <v>8</v>
      </c>
      <c r="BU122" s="36">
        <v>18</v>
      </c>
      <c r="BV122" s="36">
        <v>14</v>
      </c>
      <c r="BW122" s="36">
        <v>26</v>
      </c>
      <c r="BX122" s="36"/>
      <c r="BY122" s="36"/>
      <c r="BZ122" s="36"/>
      <c r="CA122" s="36"/>
      <c r="CB122" s="36"/>
      <c r="CC122" s="36">
        <v>1</v>
      </c>
      <c r="CD122" s="36"/>
      <c r="CE122" s="36">
        <v>6</v>
      </c>
      <c r="CF122" s="36">
        <v>2</v>
      </c>
      <c r="CG122" s="36">
        <v>4</v>
      </c>
      <c r="CH122" s="36">
        <v>1</v>
      </c>
      <c r="CI122" s="36"/>
      <c r="CK122" s="4" t="b">
        <f t="shared" si="1"/>
        <v>0</v>
      </c>
    </row>
    <row r="123" spans="1:89" ht="90" customHeight="1">
      <c r="A123" s="32" t="s">
        <v>109</v>
      </c>
      <c r="B123" s="32" t="s">
        <v>194</v>
      </c>
      <c r="C123" s="32" t="s">
        <v>262</v>
      </c>
      <c r="D123" s="34"/>
      <c r="E123" s="34"/>
      <c r="F123" s="34">
        <v>100</v>
      </c>
      <c r="G123" s="34"/>
      <c r="H123" s="34">
        <v>100</v>
      </c>
      <c r="I123" s="34"/>
      <c r="J123" s="34"/>
      <c r="K123" s="34">
        <v>100</v>
      </c>
      <c r="L123" s="34">
        <v>100</v>
      </c>
      <c r="M123" s="34">
        <v>100</v>
      </c>
      <c r="N123" s="34">
        <v>100</v>
      </c>
      <c r="O123" s="34"/>
      <c r="P123" s="34"/>
      <c r="Q123" s="34"/>
      <c r="R123" s="34">
        <v>100</v>
      </c>
      <c r="S123" s="34"/>
      <c r="T123" s="34">
        <v>100</v>
      </c>
      <c r="U123" s="34"/>
      <c r="V123" s="34"/>
      <c r="W123" s="34">
        <v>50</v>
      </c>
      <c r="X123" s="34">
        <v>100</v>
      </c>
      <c r="Y123" s="34">
        <v>100</v>
      </c>
      <c r="Z123" s="34">
        <v>100</v>
      </c>
      <c r="AA123" s="34"/>
      <c r="AB123" s="36"/>
      <c r="AC123" s="36">
        <v>21</v>
      </c>
      <c r="AD123" s="36">
        <v>11</v>
      </c>
      <c r="AE123" s="36"/>
      <c r="AF123" s="36">
        <v>9</v>
      </c>
      <c r="AG123" s="36"/>
      <c r="AH123" s="36">
        <v>8</v>
      </c>
      <c r="AI123" s="36">
        <v>6</v>
      </c>
      <c r="AJ123" s="36">
        <v>8</v>
      </c>
      <c r="AK123" s="36">
        <v>8</v>
      </c>
      <c r="AL123" s="36">
        <v>8</v>
      </c>
      <c r="AM123" s="36"/>
      <c r="AN123" s="36"/>
      <c r="AO123" s="36"/>
      <c r="AP123" s="36">
        <v>12</v>
      </c>
      <c r="AQ123" s="36"/>
      <c r="AR123" s="36">
        <v>11</v>
      </c>
      <c r="AS123" s="36"/>
      <c r="AT123" s="36">
        <v>8</v>
      </c>
      <c r="AU123" s="36">
        <v>10</v>
      </c>
      <c r="AV123" s="36">
        <v>8</v>
      </c>
      <c r="AW123" s="36">
        <v>12</v>
      </c>
      <c r="AX123" s="36">
        <v>11</v>
      </c>
      <c r="AY123" s="36"/>
      <c r="AZ123" s="36"/>
      <c r="BA123" s="36">
        <v>2</v>
      </c>
      <c r="BB123" s="36"/>
      <c r="BC123" s="36"/>
      <c r="BD123" s="36"/>
      <c r="BE123" s="36"/>
      <c r="BF123" s="36"/>
      <c r="BG123" s="36">
        <v>3</v>
      </c>
      <c r="BH123" s="36">
        <v>1</v>
      </c>
      <c r="BI123" s="36">
        <v>4</v>
      </c>
      <c r="BJ123" s="36">
        <v>3</v>
      </c>
      <c r="BK123" s="36"/>
      <c r="BL123" s="36"/>
      <c r="BM123" s="36"/>
      <c r="BN123" s="36"/>
      <c r="BO123" s="36"/>
      <c r="BP123" s="36"/>
      <c r="BQ123" s="36"/>
      <c r="BR123" s="36"/>
      <c r="BS123" s="36"/>
      <c r="BT123" s="36"/>
      <c r="BU123" s="36"/>
      <c r="BV123" s="36">
        <v>1</v>
      </c>
      <c r="BW123" s="36"/>
      <c r="BX123" s="36"/>
      <c r="BY123" s="36"/>
      <c r="BZ123" s="36"/>
      <c r="CA123" s="36"/>
      <c r="CB123" s="36">
        <v>1</v>
      </c>
      <c r="CC123" s="36"/>
      <c r="CD123" s="36">
        <v>3</v>
      </c>
      <c r="CE123" s="36">
        <v>3</v>
      </c>
      <c r="CF123" s="36"/>
      <c r="CG123" s="36"/>
      <c r="CH123" s="36"/>
      <c r="CI123" s="36"/>
      <c r="CK123" s="4" t="b">
        <f t="shared" si="1"/>
        <v>0</v>
      </c>
    </row>
    <row r="124" spans="1:89" ht="60" customHeight="1">
      <c r="A124" s="32" t="s">
        <v>109</v>
      </c>
      <c r="B124" s="32" t="s">
        <v>194</v>
      </c>
      <c r="C124" s="32" t="s">
        <v>263</v>
      </c>
      <c r="D124" s="34"/>
      <c r="E124" s="34">
        <v>25</v>
      </c>
      <c r="F124" s="34">
        <v>100</v>
      </c>
      <c r="G124" s="34">
        <v>100</v>
      </c>
      <c r="H124" s="34"/>
      <c r="I124" s="34"/>
      <c r="J124" s="34"/>
      <c r="K124" s="34">
        <v>100</v>
      </c>
      <c r="L124" s="34"/>
      <c r="M124" s="34">
        <v>100</v>
      </c>
      <c r="N124" s="34">
        <v>100</v>
      </c>
      <c r="O124" s="34"/>
      <c r="P124" s="34"/>
      <c r="Q124" s="34"/>
      <c r="R124" s="34"/>
      <c r="S124" s="34"/>
      <c r="T124" s="34"/>
      <c r="U124" s="34"/>
      <c r="V124" s="34"/>
      <c r="W124" s="34"/>
      <c r="X124" s="34"/>
      <c r="Y124" s="34"/>
      <c r="Z124" s="34">
        <v>100</v>
      </c>
      <c r="AA124" s="34"/>
      <c r="AB124" s="36"/>
      <c r="AC124" s="36">
        <v>6</v>
      </c>
      <c r="AD124" s="36">
        <v>7</v>
      </c>
      <c r="AE124" s="36">
        <v>6</v>
      </c>
      <c r="AF124" s="36">
        <v>8</v>
      </c>
      <c r="AG124" s="36">
        <v>7</v>
      </c>
      <c r="AH124" s="36">
        <v>3</v>
      </c>
      <c r="AI124" s="36">
        <v>11</v>
      </c>
      <c r="AJ124" s="36">
        <v>13</v>
      </c>
      <c r="AK124" s="36">
        <v>16</v>
      </c>
      <c r="AL124" s="36">
        <v>18</v>
      </c>
      <c r="AM124" s="36"/>
      <c r="AN124" s="36"/>
      <c r="AO124" s="36">
        <v>3</v>
      </c>
      <c r="AP124" s="36">
        <v>7</v>
      </c>
      <c r="AQ124" s="36">
        <v>6</v>
      </c>
      <c r="AR124" s="36">
        <v>7</v>
      </c>
      <c r="AS124" s="36">
        <v>4</v>
      </c>
      <c r="AT124" s="36">
        <v>8</v>
      </c>
      <c r="AU124" s="36">
        <v>16</v>
      </c>
      <c r="AV124" s="36">
        <v>16</v>
      </c>
      <c r="AW124" s="36">
        <v>16</v>
      </c>
      <c r="AX124" s="36">
        <v>18</v>
      </c>
      <c r="AY124" s="36"/>
      <c r="AZ124" s="36"/>
      <c r="BA124" s="36">
        <v>1</v>
      </c>
      <c r="BB124" s="36">
        <v>5</v>
      </c>
      <c r="BC124" s="36">
        <v>1</v>
      </c>
      <c r="BD124" s="36">
        <v>2</v>
      </c>
      <c r="BE124" s="36">
        <v>1</v>
      </c>
      <c r="BF124" s="36">
        <v>4</v>
      </c>
      <c r="BG124" s="36">
        <v>8</v>
      </c>
      <c r="BH124" s="36">
        <v>4</v>
      </c>
      <c r="BI124" s="36"/>
      <c r="BJ124" s="36">
        <v>5</v>
      </c>
      <c r="BK124" s="36"/>
      <c r="BL124" s="36"/>
      <c r="BM124" s="36"/>
      <c r="BN124" s="36"/>
      <c r="BO124" s="36"/>
      <c r="BP124" s="36">
        <v>2</v>
      </c>
      <c r="BQ124" s="36"/>
      <c r="BR124" s="36"/>
      <c r="BS124" s="36">
        <v>2</v>
      </c>
      <c r="BT124" s="36"/>
      <c r="BU124" s="36">
        <v>3</v>
      </c>
      <c r="BV124" s="36"/>
      <c r="BW124" s="36"/>
      <c r="BX124" s="36"/>
      <c r="BY124" s="36"/>
      <c r="BZ124" s="36"/>
      <c r="CA124" s="36"/>
      <c r="CB124" s="36"/>
      <c r="CC124" s="36"/>
      <c r="CD124" s="36"/>
      <c r="CE124" s="36"/>
      <c r="CF124" s="36"/>
      <c r="CG124" s="36"/>
      <c r="CH124" s="36"/>
      <c r="CI124" s="36"/>
      <c r="CK124" s="4" t="b">
        <f t="shared" si="1"/>
        <v>0</v>
      </c>
    </row>
    <row r="125" spans="1:89" ht="75" customHeight="1">
      <c r="A125" s="32" t="s">
        <v>87</v>
      </c>
      <c r="B125" s="32" t="s">
        <v>188</v>
      </c>
      <c r="C125" s="32" t="s">
        <v>264</v>
      </c>
      <c r="D125" s="34"/>
      <c r="E125" s="34">
        <v>100</v>
      </c>
      <c r="F125" s="34">
        <v>100</v>
      </c>
      <c r="G125" s="34">
        <v>100</v>
      </c>
      <c r="H125" s="34">
        <v>100</v>
      </c>
      <c r="I125" s="34">
        <v>100</v>
      </c>
      <c r="J125" s="34"/>
      <c r="K125" s="34">
        <v>100</v>
      </c>
      <c r="L125" s="34">
        <v>100</v>
      </c>
      <c r="M125" s="34"/>
      <c r="N125" s="34"/>
      <c r="O125" s="34"/>
      <c r="P125" s="34"/>
      <c r="Q125" s="34"/>
      <c r="R125" s="34"/>
      <c r="S125" s="34"/>
      <c r="T125" s="34"/>
      <c r="U125" s="34"/>
      <c r="V125" s="34"/>
      <c r="W125" s="34"/>
      <c r="X125" s="34"/>
      <c r="Y125" s="34"/>
      <c r="Z125" s="34"/>
      <c r="AA125" s="34"/>
      <c r="AB125" s="36"/>
      <c r="AC125" s="36">
        <v>33</v>
      </c>
      <c r="AD125" s="36">
        <v>20</v>
      </c>
      <c r="AE125" s="36">
        <v>5</v>
      </c>
      <c r="AF125" s="36">
        <v>16</v>
      </c>
      <c r="AG125" s="36">
        <v>8</v>
      </c>
      <c r="AH125" s="36">
        <v>6</v>
      </c>
      <c r="AI125" s="36">
        <v>12</v>
      </c>
      <c r="AJ125" s="36">
        <v>5</v>
      </c>
      <c r="AK125" s="36"/>
      <c r="AL125" s="36"/>
      <c r="AM125" s="36"/>
      <c r="AN125" s="36"/>
      <c r="AO125" s="36">
        <v>22</v>
      </c>
      <c r="AP125" s="36">
        <v>25</v>
      </c>
      <c r="AQ125" s="36">
        <v>27</v>
      </c>
      <c r="AR125" s="36">
        <v>16</v>
      </c>
      <c r="AS125" s="36">
        <v>7</v>
      </c>
      <c r="AT125" s="36">
        <v>7</v>
      </c>
      <c r="AU125" s="36">
        <v>15</v>
      </c>
      <c r="AV125" s="36">
        <v>15</v>
      </c>
      <c r="AW125" s="36"/>
      <c r="AX125" s="36"/>
      <c r="AY125" s="36"/>
      <c r="AZ125" s="36"/>
      <c r="BA125" s="36">
        <v>4</v>
      </c>
      <c r="BB125" s="36">
        <v>4</v>
      </c>
      <c r="BC125" s="36">
        <v>5</v>
      </c>
      <c r="BD125" s="36"/>
      <c r="BE125" s="36">
        <v>4</v>
      </c>
      <c r="BF125" s="36">
        <v>2</v>
      </c>
      <c r="BG125" s="36">
        <v>3</v>
      </c>
      <c r="BH125" s="36">
        <v>4</v>
      </c>
      <c r="BI125" s="36"/>
      <c r="BJ125" s="36"/>
      <c r="BK125" s="36"/>
      <c r="BL125" s="36"/>
      <c r="BM125" s="36"/>
      <c r="BN125" s="36">
        <v>1</v>
      </c>
      <c r="BO125" s="36">
        <v>1</v>
      </c>
      <c r="BP125" s="36">
        <v>1</v>
      </c>
      <c r="BQ125" s="36">
        <v>2</v>
      </c>
      <c r="BR125" s="36">
        <v>1</v>
      </c>
      <c r="BS125" s="36">
        <v>1</v>
      </c>
      <c r="BT125" s="36">
        <v>2</v>
      </c>
      <c r="BU125" s="36"/>
      <c r="BV125" s="36"/>
      <c r="BW125" s="36"/>
      <c r="BX125" s="36"/>
      <c r="BY125" s="36"/>
      <c r="BZ125" s="36">
        <v>1</v>
      </c>
      <c r="CA125" s="36"/>
      <c r="CB125" s="36"/>
      <c r="CC125" s="36"/>
      <c r="CD125" s="36"/>
      <c r="CE125" s="36">
        <v>1</v>
      </c>
      <c r="CF125" s="36"/>
      <c r="CG125" s="36"/>
      <c r="CH125" s="36"/>
      <c r="CI125" s="36"/>
      <c r="CK125" s="4" t="b">
        <f t="shared" si="1"/>
        <v>0</v>
      </c>
    </row>
    <row r="126" spans="1:89" ht="75" customHeight="1">
      <c r="A126" s="32" t="s">
        <v>87</v>
      </c>
      <c r="B126" s="32" t="s">
        <v>181</v>
      </c>
      <c r="C126" s="32" t="s">
        <v>265</v>
      </c>
      <c r="D126" s="34"/>
      <c r="E126" s="34">
        <v>30.77</v>
      </c>
      <c r="F126" s="34">
        <v>66.67</v>
      </c>
      <c r="G126" s="34">
        <v>100</v>
      </c>
      <c r="H126" s="34">
        <v>100</v>
      </c>
      <c r="I126" s="34">
        <v>100</v>
      </c>
      <c r="J126" s="34">
        <v>88.89</v>
      </c>
      <c r="K126" s="34">
        <v>61.54</v>
      </c>
      <c r="L126" s="34">
        <v>78.569999999999993</v>
      </c>
      <c r="M126" s="34">
        <v>100</v>
      </c>
      <c r="N126" s="34">
        <v>75</v>
      </c>
      <c r="O126" s="34">
        <v>100</v>
      </c>
      <c r="P126" s="34"/>
      <c r="Q126" s="34"/>
      <c r="R126" s="34"/>
      <c r="S126" s="34"/>
      <c r="T126" s="34"/>
      <c r="U126" s="34"/>
      <c r="V126" s="34"/>
      <c r="W126" s="34"/>
      <c r="X126" s="34">
        <v>100</v>
      </c>
      <c r="Y126" s="34">
        <v>100</v>
      </c>
      <c r="Z126" s="34"/>
      <c r="AA126" s="34">
        <v>100</v>
      </c>
      <c r="AB126" s="36"/>
      <c r="AC126" s="36">
        <v>16</v>
      </c>
      <c r="AD126" s="36">
        <v>20</v>
      </c>
      <c r="AE126" s="36">
        <v>36</v>
      </c>
      <c r="AF126" s="36">
        <v>52</v>
      </c>
      <c r="AG126" s="36">
        <v>69</v>
      </c>
      <c r="AH126" s="36">
        <v>40</v>
      </c>
      <c r="AI126" s="36">
        <v>75</v>
      </c>
      <c r="AJ126" s="36">
        <v>52</v>
      </c>
      <c r="AK126" s="36">
        <v>62</v>
      </c>
      <c r="AL126" s="36">
        <v>60</v>
      </c>
      <c r="AM126" s="36">
        <v>69</v>
      </c>
      <c r="AN126" s="36"/>
      <c r="AO126" s="36">
        <v>22</v>
      </c>
      <c r="AP126" s="36">
        <v>28</v>
      </c>
      <c r="AQ126" s="36">
        <v>39</v>
      </c>
      <c r="AR126" s="36">
        <v>63</v>
      </c>
      <c r="AS126" s="36">
        <v>75</v>
      </c>
      <c r="AT126" s="36">
        <v>57</v>
      </c>
      <c r="AU126" s="36">
        <v>92</v>
      </c>
      <c r="AV126" s="36">
        <v>70</v>
      </c>
      <c r="AW126" s="36">
        <v>76</v>
      </c>
      <c r="AX126" s="36">
        <v>71</v>
      </c>
      <c r="AY126" s="36">
        <v>63</v>
      </c>
      <c r="AZ126" s="36"/>
      <c r="BA126" s="36">
        <v>38</v>
      </c>
      <c r="BB126" s="36">
        <v>52</v>
      </c>
      <c r="BC126" s="36">
        <v>60</v>
      </c>
      <c r="BD126" s="36">
        <v>57</v>
      </c>
      <c r="BE126" s="36">
        <v>58</v>
      </c>
      <c r="BF126" s="36">
        <v>46</v>
      </c>
      <c r="BG126" s="36">
        <v>69</v>
      </c>
      <c r="BH126" s="36">
        <v>43</v>
      </c>
      <c r="BI126" s="36">
        <v>68</v>
      </c>
      <c r="BJ126" s="36">
        <v>56</v>
      </c>
      <c r="BK126" s="36">
        <v>71</v>
      </c>
      <c r="BL126" s="36"/>
      <c r="BM126" s="36">
        <v>3</v>
      </c>
      <c r="BN126" s="36">
        <v>4</v>
      </c>
      <c r="BO126" s="36">
        <v>21</v>
      </c>
      <c r="BP126" s="36">
        <v>37</v>
      </c>
      <c r="BQ126" s="36">
        <v>35</v>
      </c>
      <c r="BR126" s="36">
        <v>50</v>
      </c>
      <c r="BS126" s="36">
        <v>24</v>
      </c>
      <c r="BT126" s="36">
        <v>41</v>
      </c>
      <c r="BU126" s="36">
        <v>38</v>
      </c>
      <c r="BV126" s="36">
        <v>70</v>
      </c>
      <c r="BW126" s="36">
        <v>51</v>
      </c>
      <c r="BX126" s="36"/>
      <c r="BY126" s="36"/>
      <c r="BZ126" s="36"/>
      <c r="CA126" s="36">
        <v>1</v>
      </c>
      <c r="CB126" s="36">
        <v>3</v>
      </c>
      <c r="CC126" s="36">
        <v>2</v>
      </c>
      <c r="CD126" s="36">
        <v>7</v>
      </c>
      <c r="CE126" s="36">
        <v>5</v>
      </c>
      <c r="CF126" s="36">
        <v>11</v>
      </c>
      <c r="CG126" s="36">
        <v>19</v>
      </c>
      <c r="CH126" s="36">
        <v>15</v>
      </c>
      <c r="CI126" s="36">
        <v>18</v>
      </c>
      <c r="CK126" s="4" t="b">
        <f t="shared" si="1"/>
        <v>0</v>
      </c>
    </row>
    <row r="127" spans="1:89" ht="90" customHeight="1">
      <c r="A127" s="32" t="s">
        <v>109</v>
      </c>
      <c r="B127" s="32" t="s">
        <v>194</v>
      </c>
      <c r="C127" s="32" t="s">
        <v>266</v>
      </c>
      <c r="D127" s="34"/>
      <c r="E127" s="34">
        <v>100</v>
      </c>
      <c r="F127" s="34">
        <v>100</v>
      </c>
      <c r="G127" s="34">
        <v>100</v>
      </c>
      <c r="H127" s="34">
        <v>100</v>
      </c>
      <c r="I127" s="34">
        <v>100</v>
      </c>
      <c r="J127" s="34">
        <v>100</v>
      </c>
      <c r="K127" s="34"/>
      <c r="L127" s="34">
        <v>100</v>
      </c>
      <c r="M127" s="34"/>
      <c r="N127" s="34">
        <v>100</v>
      </c>
      <c r="O127" s="34"/>
      <c r="P127" s="34"/>
      <c r="Q127" s="34">
        <v>100</v>
      </c>
      <c r="R127" s="34">
        <v>100</v>
      </c>
      <c r="S127" s="34">
        <v>100</v>
      </c>
      <c r="T127" s="34">
        <v>100</v>
      </c>
      <c r="U127" s="34">
        <v>100</v>
      </c>
      <c r="V127" s="34">
        <v>100</v>
      </c>
      <c r="W127" s="34"/>
      <c r="X127" s="34">
        <v>100</v>
      </c>
      <c r="Y127" s="34"/>
      <c r="Z127" s="34">
        <v>100</v>
      </c>
      <c r="AA127" s="34"/>
      <c r="AB127" s="36"/>
      <c r="AC127" s="36">
        <v>1</v>
      </c>
      <c r="AD127" s="36">
        <v>4</v>
      </c>
      <c r="AE127" s="36">
        <v>2</v>
      </c>
      <c r="AF127" s="36">
        <v>6</v>
      </c>
      <c r="AG127" s="36">
        <v>5</v>
      </c>
      <c r="AH127" s="36">
        <v>4</v>
      </c>
      <c r="AI127" s="36">
        <v>4</v>
      </c>
      <c r="AJ127" s="36">
        <v>3</v>
      </c>
      <c r="AK127" s="36"/>
      <c r="AL127" s="36">
        <v>5</v>
      </c>
      <c r="AM127" s="36"/>
      <c r="AN127" s="36"/>
      <c r="AO127" s="36">
        <v>9</v>
      </c>
      <c r="AP127" s="36">
        <v>12</v>
      </c>
      <c r="AQ127" s="36">
        <v>14</v>
      </c>
      <c r="AR127" s="36">
        <v>14</v>
      </c>
      <c r="AS127" s="36">
        <v>16</v>
      </c>
      <c r="AT127" s="36">
        <v>14</v>
      </c>
      <c r="AU127" s="36">
        <v>15</v>
      </c>
      <c r="AV127" s="36">
        <v>14</v>
      </c>
      <c r="AW127" s="36"/>
      <c r="AX127" s="36">
        <v>16</v>
      </c>
      <c r="AY127" s="36"/>
      <c r="AZ127" s="36"/>
      <c r="BA127" s="36">
        <v>3</v>
      </c>
      <c r="BB127" s="36">
        <v>4</v>
      </c>
      <c r="BC127" s="36">
        <v>2</v>
      </c>
      <c r="BD127" s="36">
        <v>12</v>
      </c>
      <c r="BE127" s="36"/>
      <c r="BF127" s="36"/>
      <c r="BG127" s="36">
        <v>3</v>
      </c>
      <c r="BH127" s="36">
        <v>5</v>
      </c>
      <c r="BI127" s="36"/>
      <c r="BJ127" s="36">
        <v>1</v>
      </c>
      <c r="BK127" s="36"/>
      <c r="BL127" s="36"/>
      <c r="BM127" s="36"/>
      <c r="BN127" s="36">
        <v>1</v>
      </c>
      <c r="BO127" s="36"/>
      <c r="BP127" s="36"/>
      <c r="BQ127" s="36"/>
      <c r="BR127" s="36"/>
      <c r="BS127" s="36">
        <v>2</v>
      </c>
      <c r="BT127" s="36"/>
      <c r="BU127" s="36"/>
      <c r="BV127" s="36"/>
      <c r="BW127" s="36"/>
      <c r="BX127" s="36"/>
      <c r="BY127" s="36"/>
      <c r="BZ127" s="36"/>
      <c r="CA127" s="36"/>
      <c r="CB127" s="36"/>
      <c r="CC127" s="36"/>
      <c r="CD127" s="36"/>
      <c r="CE127" s="36"/>
      <c r="CF127" s="36"/>
      <c r="CG127" s="36"/>
      <c r="CH127" s="36"/>
      <c r="CI127" s="36"/>
      <c r="CK127" s="4" t="b">
        <f t="shared" si="1"/>
        <v>0</v>
      </c>
    </row>
    <row r="128" spans="1:89" ht="60" customHeight="1">
      <c r="A128" s="32" t="s">
        <v>92</v>
      </c>
      <c r="B128" s="32" t="s">
        <v>129</v>
      </c>
      <c r="C128" s="32" t="s">
        <v>267</v>
      </c>
      <c r="D128" s="34"/>
      <c r="E128" s="34">
        <v>100</v>
      </c>
      <c r="F128" s="34">
        <v>100</v>
      </c>
      <c r="G128" s="34">
        <v>100</v>
      </c>
      <c r="H128" s="34">
        <v>150</v>
      </c>
      <c r="I128" s="34">
        <v>125</v>
      </c>
      <c r="J128" s="34">
        <v>80</v>
      </c>
      <c r="K128" s="34">
        <v>100</v>
      </c>
      <c r="L128" s="34">
        <v>100</v>
      </c>
      <c r="M128" s="34">
        <v>100</v>
      </c>
      <c r="N128" s="34">
        <v>100</v>
      </c>
      <c r="O128" s="34">
        <v>100</v>
      </c>
      <c r="P128" s="34"/>
      <c r="Q128" s="34">
        <v>75</v>
      </c>
      <c r="R128" s="34">
        <v>75</v>
      </c>
      <c r="S128" s="34">
        <v>75</v>
      </c>
      <c r="T128" s="34">
        <v>150</v>
      </c>
      <c r="U128" s="34"/>
      <c r="V128" s="34">
        <v>60</v>
      </c>
      <c r="W128" s="34">
        <v>75</v>
      </c>
      <c r="X128" s="34">
        <v>50</v>
      </c>
      <c r="Y128" s="34">
        <v>50</v>
      </c>
      <c r="Z128" s="34">
        <v>100</v>
      </c>
      <c r="AA128" s="34">
        <v>100</v>
      </c>
      <c r="AB128" s="36"/>
      <c r="AC128" s="36">
        <v>45</v>
      </c>
      <c r="AD128" s="36">
        <v>38</v>
      </c>
      <c r="AE128" s="36">
        <v>39</v>
      </c>
      <c r="AF128" s="36">
        <v>43</v>
      </c>
      <c r="AG128" s="36">
        <v>36</v>
      </c>
      <c r="AH128" s="36">
        <v>36</v>
      </c>
      <c r="AI128" s="36">
        <v>42</v>
      </c>
      <c r="AJ128" s="36">
        <v>42</v>
      </c>
      <c r="AK128" s="36">
        <v>44</v>
      </c>
      <c r="AL128" s="36">
        <v>47</v>
      </c>
      <c r="AM128" s="36">
        <v>53</v>
      </c>
      <c r="AN128" s="36"/>
      <c r="AO128" s="36">
        <v>33</v>
      </c>
      <c r="AP128" s="36">
        <v>32</v>
      </c>
      <c r="AQ128" s="36">
        <v>40</v>
      </c>
      <c r="AR128" s="36">
        <v>34</v>
      </c>
      <c r="AS128" s="36">
        <v>38</v>
      </c>
      <c r="AT128" s="36">
        <v>31</v>
      </c>
      <c r="AU128" s="36">
        <v>47</v>
      </c>
      <c r="AV128" s="36">
        <v>43</v>
      </c>
      <c r="AW128" s="36">
        <v>48</v>
      </c>
      <c r="AX128" s="36">
        <v>46</v>
      </c>
      <c r="AY128" s="36">
        <v>43</v>
      </c>
      <c r="AZ128" s="36"/>
      <c r="BA128" s="36">
        <v>16</v>
      </c>
      <c r="BB128" s="36">
        <v>2</v>
      </c>
      <c r="BC128" s="36"/>
      <c r="BD128" s="36">
        <v>9</v>
      </c>
      <c r="BE128" s="36"/>
      <c r="BF128" s="36">
        <v>1</v>
      </c>
      <c r="BG128" s="36">
        <v>4</v>
      </c>
      <c r="BH128" s="36">
        <v>2</v>
      </c>
      <c r="BI128" s="36">
        <v>27</v>
      </c>
      <c r="BJ128" s="36">
        <v>40</v>
      </c>
      <c r="BK128" s="36">
        <v>21</v>
      </c>
      <c r="BL128" s="36"/>
      <c r="BM128" s="36"/>
      <c r="BN128" s="36">
        <v>2</v>
      </c>
      <c r="BO128" s="36"/>
      <c r="BP128" s="36"/>
      <c r="BQ128" s="36">
        <v>1</v>
      </c>
      <c r="BR128" s="36"/>
      <c r="BS128" s="36"/>
      <c r="BT128" s="36">
        <v>3</v>
      </c>
      <c r="BU128" s="36">
        <v>3</v>
      </c>
      <c r="BV128" s="36">
        <v>4</v>
      </c>
      <c r="BW128" s="36">
        <v>1</v>
      </c>
      <c r="BX128" s="36"/>
      <c r="BY128" s="36"/>
      <c r="BZ128" s="36"/>
      <c r="CA128" s="36"/>
      <c r="CB128" s="36">
        <v>9</v>
      </c>
      <c r="CC128" s="36"/>
      <c r="CD128" s="36"/>
      <c r="CE128" s="36"/>
      <c r="CF128" s="36"/>
      <c r="CG128" s="36"/>
      <c r="CH128" s="36"/>
      <c r="CI128" s="36"/>
      <c r="CK128" s="4" t="b">
        <f t="shared" si="1"/>
        <v>0</v>
      </c>
    </row>
    <row r="129" spans="1:89" ht="75" customHeight="1">
      <c r="A129" s="32" t="s">
        <v>124</v>
      </c>
      <c r="B129" s="32" t="s">
        <v>268</v>
      </c>
      <c r="C129" s="32" t="s">
        <v>269</v>
      </c>
      <c r="D129" s="34"/>
      <c r="E129" s="34">
        <v>25</v>
      </c>
      <c r="F129" s="34">
        <v>75</v>
      </c>
      <c r="G129" s="34">
        <v>100</v>
      </c>
      <c r="H129" s="34">
        <v>100</v>
      </c>
      <c r="I129" s="34">
        <v>100</v>
      </c>
      <c r="J129" s="34">
        <v>100</v>
      </c>
      <c r="K129" s="34">
        <v>100</v>
      </c>
      <c r="L129" s="34">
        <v>50</v>
      </c>
      <c r="M129" s="34">
        <v>100</v>
      </c>
      <c r="N129" s="34">
        <v>100</v>
      </c>
      <c r="O129" s="34">
        <v>100</v>
      </c>
      <c r="P129" s="34"/>
      <c r="Q129" s="34">
        <v>25</v>
      </c>
      <c r="R129" s="34"/>
      <c r="S129" s="34"/>
      <c r="T129" s="34"/>
      <c r="U129" s="34">
        <v>100</v>
      </c>
      <c r="V129" s="34"/>
      <c r="W129" s="34"/>
      <c r="X129" s="34">
        <v>50</v>
      </c>
      <c r="Y129" s="34">
        <v>100</v>
      </c>
      <c r="Z129" s="34"/>
      <c r="AA129" s="34">
        <v>33.33</v>
      </c>
      <c r="AB129" s="36"/>
      <c r="AC129" s="36">
        <v>41</v>
      </c>
      <c r="AD129" s="36">
        <v>31</v>
      </c>
      <c r="AE129" s="36">
        <v>42</v>
      </c>
      <c r="AF129" s="36">
        <v>43</v>
      </c>
      <c r="AG129" s="36">
        <v>50</v>
      </c>
      <c r="AH129" s="36">
        <v>43</v>
      </c>
      <c r="AI129" s="36">
        <v>43</v>
      </c>
      <c r="AJ129" s="36">
        <v>41</v>
      </c>
      <c r="AK129" s="36">
        <v>50</v>
      </c>
      <c r="AL129" s="36">
        <v>54</v>
      </c>
      <c r="AM129" s="36">
        <v>56</v>
      </c>
      <c r="AN129" s="36"/>
      <c r="AO129" s="36">
        <v>212</v>
      </c>
      <c r="AP129" s="36">
        <v>23</v>
      </c>
      <c r="AQ129" s="36">
        <v>41</v>
      </c>
      <c r="AR129" s="36">
        <v>40</v>
      </c>
      <c r="AS129" s="36">
        <v>46</v>
      </c>
      <c r="AT129" s="36">
        <v>40</v>
      </c>
      <c r="AU129" s="36">
        <v>41</v>
      </c>
      <c r="AV129" s="36">
        <v>43</v>
      </c>
      <c r="AW129" s="36">
        <v>53</v>
      </c>
      <c r="AX129" s="36">
        <v>51</v>
      </c>
      <c r="AY129" s="36">
        <v>54</v>
      </c>
      <c r="AZ129" s="36"/>
      <c r="BA129" s="36">
        <v>59</v>
      </c>
      <c r="BB129" s="36">
        <v>20</v>
      </c>
      <c r="BC129" s="36">
        <v>20</v>
      </c>
      <c r="BD129" s="36">
        <v>20</v>
      </c>
      <c r="BE129" s="36">
        <v>30</v>
      </c>
      <c r="BF129" s="36">
        <v>25</v>
      </c>
      <c r="BG129" s="36">
        <v>16</v>
      </c>
      <c r="BH129" s="36">
        <v>25</v>
      </c>
      <c r="BI129" s="36">
        <v>30</v>
      </c>
      <c r="BJ129" s="36">
        <v>30</v>
      </c>
      <c r="BK129" s="36">
        <v>20</v>
      </c>
      <c r="BL129" s="36"/>
      <c r="BM129" s="36">
        <v>6</v>
      </c>
      <c r="BN129" s="36">
        <v>9</v>
      </c>
      <c r="BO129" s="36">
        <v>15</v>
      </c>
      <c r="BP129" s="36">
        <v>15</v>
      </c>
      <c r="BQ129" s="36">
        <v>16</v>
      </c>
      <c r="BR129" s="36"/>
      <c r="BS129" s="36">
        <v>14</v>
      </c>
      <c r="BT129" s="36">
        <v>22</v>
      </c>
      <c r="BU129" s="36">
        <v>21</v>
      </c>
      <c r="BV129" s="36">
        <v>16</v>
      </c>
      <c r="BW129" s="36">
        <v>12</v>
      </c>
      <c r="BX129" s="36"/>
      <c r="BY129" s="36">
        <v>3</v>
      </c>
      <c r="BZ129" s="36">
        <v>1</v>
      </c>
      <c r="CA129" s="36">
        <v>5</v>
      </c>
      <c r="CB129" s="36">
        <v>5</v>
      </c>
      <c r="CC129" s="36">
        <v>8</v>
      </c>
      <c r="CD129" s="36"/>
      <c r="CE129" s="36">
        <v>1</v>
      </c>
      <c r="CF129" s="36">
        <v>6</v>
      </c>
      <c r="CG129" s="36">
        <v>5</v>
      </c>
      <c r="CH129" s="36">
        <v>15</v>
      </c>
      <c r="CI129" s="36">
        <v>10</v>
      </c>
      <c r="CK129" s="4" t="b">
        <f t="shared" si="1"/>
        <v>0</v>
      </c>
    </row>
    <row r="130" spans="1:89" ht="60" customHeight="1">
      <c r="A130" s="32" t="s">
        <v>87</v>
      </c>
      <c r="B130" s="32" t="s">
        <v>232</v>
      </c>
      <c r="C130" s="32" t="s">
        <v>270</v>
      </c>
      <c r="D130" s="34"/>
      <c r="E130" s="34">
        <v>100</v>
      </c>
      <c r="F130" s="34">
        <v>100</v>
      </c>
      <c r="G130" s="34">
        <v>100</v>
      </c>
      <c r="H130" s="34">
        <v>100</v>
      </c>
      <c r="I130" s="34">
        <v>100</v>
      </c>
      <c r="J130" s="34">
        <v>75</v>
      </c>
      <c r="K130" s="34">
        <v>80</v>
      </c>
      <c r="L130" s="34">
        <v>100</v>
      </c>
      <c r="M130" s="34">
        <v>100</v>
      </c>
      <c r="N130" s="34"/>
      <c r="O130" s="34">
        <v>100</v>
      </c>
      <c r="P130" s="34"/>
      <c r="Q130" s="34"/>
      <c r="R130" s="34"/>
      <c r="S130" s="34"/>
      <c r="T130" s="34">
        <v>100</v>
      </c>
      <c r="U130" s="34"/>
      <c r="V130" s="34"/>
      <c r="W130" s="34"/>
      <c r="X130" s="34"/>
      <c r="Y130" s="34"/>
      <c r="Z130" s="34"/>
      <c r="AA130" s="34"/>
      <c r="AB130" s="36"/>
      <c r="AC130" s="36">
        <v>7</v>
      </c>
      <c r="AD130" s="36">
        <v>8</v>
      </c>
      <c r="AE130" s="36">
        <v>19</v>
      </c>
      <c r="AF130" s="36">
        <v>37</v>
      </c>
      <c r="AG130" s="36">
        <v>18</v>
      </c>
      <c r="AH130" s="36">
        <v>9</v>
      </c>
      <c r="AI130" s="36">
        <v>17</v>
      </c>
      <c r="AJ130" s="36">
        <v>20</v>
      </c>
      <c r="AK130" s="36">
        <v>14</v>
      </c>
      <c r="AL130" s="36"/>
      <c r="AM130" s="36">
        <v>14</v>
      </c>
      <c r="AN130" s="36"/>
      <c r="AO130" s="36">
        <v>13</v>
      </c>
      <c r="AP130" s="36">
        <v>8</v>
      </c>
      <c r="AQ130" s="36">
        <v>20</v>
      </c>
      <c r="AR130" s="36">
        <v>18</v>
      </c>
      <c r="AS130" s="36">
        <v>13</v>
      </c>
      <c r="AT130" s="36">
        <v>12</v>
      </c>
      <c r="AU130" s="36">
        <v>11</v>
      </c>
      <c r="AV130" s="36">
        <v>22</v>
      </c>
      <c r="AW130" s="36">
        <v>30</v>
      </c>
      <c r="AX130" s="36"/>
      <c r="AY130" s="36">
        <v>22</v>
      </c>
      <c r="AZ130" s="36"/>
      <c r="BA130" s="36">
        <v>22</v>
      </c>
      <c r="BB130" s="36">
        <v>8</v>
      </c>
      <c r="BC130" s="36">
        <v>12</v>
      </c>
      <c r="BD130" s="36">
        <v>4</v>
      </c>
      <c r="BE130" s="36">
        <v>5</v>
      </c>
      <c r="BF130" s="36">
        <v>2</v>
      </c>
      <c r="BG130" s="36">
        <v>7</v>
      </c>
      <c r="BH130" s="36">
        <v>5</v>
      </c>
      <c r="BI130" s="36">
        <v>9</v>
      </c>
      <c r="BJ130" s="36"/>
      <c r="BK130" s="36">
        <v>5</v>
      </c>
      <c r="BL130" s="36"/>
      <c r="BM130" s="36"/>
      <c r="BN130" s="36">
        <v>2</v>
      </c>
      <c r="BO130" s="36"/>
      <c r="BP130" s="36">
        <v>4</v>
      </c>
      <c r="BQ130" s="36">
        <v>4</v>
      </c>
      <c r="BR130" s="36">
        <v>4</v>
      </c>
      <c r="BS130" s="36">
        <v>3</v>
      </c>
      <c r="BT130" s="36">
        <v>4</v>
      </c>
      <c r="BU130" s="36">
        <v>2</v>
      </c>
      <c r="BV130" s="36"/>
      <c r="BW130" s="36"/>
      <c r="BX130" s="36"/>
      <c r="BY130" s="36"/>
      <c r="BZ130" s="36"/>
      <c r="CA130" s="36"/>
      <c r="CB130" s="36"/>
      <c r="CC130" s="36"/>
      <c r="CD130" s="36"/>
      <c r="CE130" s="36"/>
      <c r="CF130" s="36"/>
      <c r="CG130" s="36"/>
      <c r="CH130" s="36"/>
      <c r="CI130" s="36">
        <v>21</v>
      </c>
      <c r="CK130" s="4" t="b">
        <f t="shared" si="1"/>
        <v>0</v>
      </c>
    </row>
    <row r="131" spans="1:89" ht="90" customHeight="1">
      <c r="A131" s="32" t="s">
        <v>87</v>
      </c>
      <c r="B131" s="32" t="s">
        <v>188</v>
      </c>
      <c r="C131" s="32" t="s">
        <v>271</v>
      </c>
      <c r="D131" s="34"/>
      <c r="E131" s="34"/>
      <c r="F131" s="34"/>
      <c r="G131" s="34"/>
      <c r="H131" s="34"/>
      <c r="I131" s="34"/>
      <c r="J131" s="34"/>
      <c r="K131" s="34"/>
      <c r="L131" s="34"/>
      <c r="M131" s="34"/>
      <c r="N131" s="34"/>
      <c r="O131" s="34"/>
      <c r="P131" s="34"/>
      <c r="Q131" s="34"/>
      <c r="R131" s="34"/>
      <c r="S131" s="34"/>
      <c r="T131" s="34"/>
      <c r="U131" s="34"/>
      <c r="V131" s="34"/>
      <c r="W131" s="34"/>
      <c r="X131" s="34"/>
      <c r="Y131" s="34"/>
      <c r="Z131" s="34"/>
      <c r="AA131" s="34"/>
      <c r="AB131" s="36"/>
      <c r="AC131" s="36"/>
      <c r="AD131" s="36"/>
      <c r="AE131" s="36"/>
      <c r="AF131" s="36"/>
      <c r="AG131" s="36"/>
      <c r="AH131" s="36"/>
      <c r="AI131" s="36"/>
      <c r="AJ131" s="36"/>
      <c r="AK131" s="36"/>
      <c r="AL131" s="36"/>
      <c r="AM131" s="36"/>
      <c r="AN131" s="36"/>
      <c r="AO131" s="36"/>
      <c r="AP131" s="36"/>
      <c r="AQ131" s="36"/>
      <c r="AR131" s="36"/>
      <c r="AS131" s="36"/>
      <c r="AT131" s="36"/>
      <c r="AU131" s="36"/>
      <c r="AV131" s="36"/>
      <c r="AW131" s="36"/>
      <c r="AX131" s="36"/>
      <c r="AY131" s="36"/>
      <c r="AZ131" s="36"/>
      <c r="BA131" s="36"/>
      <c r="BB131" s="36"/>
      <c r="BC131" s="36"/>
      <c r="BD131" s="36"/>
      <c r="BE131" s="36"/>
      <c r="BF131" s="36">
        <v>3</v>
      </c>
      <c r="BG131" s="36"/>
      <c r="BH131" s="36">
        <v>10</v>
      </c>
      <c r="BI131" s="36">
        <v>1</v>
      </c>
      <c r="BJ131" s="36">
        <v>4</v>
      </c>
      <c r="BK131" s="36"/>
      <c r="BL131" s="36"/>
      <c r="BM131" s="36"/>
      <c r="BN131" s="36"/>
      <c r="BO131" s="36"/>
      <c r="BP131" s="36"/>
      <c r="BQ131" s="36"/>
      <c r="BR131" s="36">
        <v>2</v>
      </c>
      <c r="BS131" s="36"/>
      <c r="BT131" s="36">
        <v>2</v>
      </c>
      <c r="BU131" s="36">
        <v>4</v>
      </c>
      <c r="BV131" s="36">
        <v>1</v>
      </c>
      <c r="BW131" s="36">
        <v>4</v>
      </c>
      <c r="BX131" s="36"/>
      <c r="BY131" s="36"/>
      <c r="BZ131" s="36"/>
      <c r="CA131" s="36"/>
      <c r="CB131" s="36"/>
      <c r="CC131" s="36"/>
      <c r="CD131" s="36">
        <v>1</v>
      </c>
      <c r="CE131" s="36"/>
      <c r="CF131" s="36"/>
      <c r="CG131" s="36"/>
      <c r="CH131" s="36">
        <v>2</v>
      </c>
      <c r="CI131" s="36">
        <v>29</v>
      </c>
      <c r="CK131" s="4" t="b">
        <f t="shared" si="1"/>
        <v>0</v>
      </c>
    </row>
    <row r="132" spans="1:89" ht="75" customHeight="1">
      <c r="A132" s="32" t="s">
        <v>124</v>
      </c>
      <c r="B132" s="32" t="s">
        <v>179</v>
      </c>
      <c r="C132" s="32" t="s">
        <v>272</v>
      </c>
      <c r="D132" s="34"/>
      <c r="E132" s="34"/>
      <c r="F132" s="34"/>
      <c r="G132" s="34"/>
      <c r="H132" s="34"/>
      <c r="I132" s="34"/>
      <c r="J132" s="34"/>
      <c r="K132" s="34"/>
      <c r="L132" s="34"/>
      <c r="M132" s="34"/>
      <c r="N132" s="34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34"/>
      <c r="AA132" s="34"/>
      <c r="AB132" s="36"/>
      <c r="AC132" s="36"/>
      <c r="AD132" s="36"/>
      <c r="AE132" s="36"/>
      <c r="AF132" s="36"/>
      <c r="AG132" s="36"/>
      <c r="AH132" s="36"/>
      <c r="AI132" s="36"/>
      <c r="AJ132" s="36"/>
      <c r="AK132" s="36"/>
      <c r="AL132" s="36"/>
      <c r="AM132" s="36"/>
      <c r="AN132" s="36"/>
      <c r="AO132" s="36"/>
      <c r="AP132" s="36"/>
      <c r="AQ132" s="36"/>
      <c r="AR132" s="36"/>
      <c r="AS132" s="36"/>
      <c r="AT132" s="36"/>
      <c r="AU132" s="36"/>
      <c r="AV132" s="36"/>
      <c r="AW132" s="36"/>
      <c r="AX132" s="36"/>
      <c r="AY132" s="36"/>
      <c r="AZ132" s="36"/>
      <c r="BA132" s="36"/>
      <c r="BB132" s="36"/>
      <c r="BC132" s="36"/>
      <c r="BD132" s="36"/>
      <c r="BE132" s="36"/>
      <c r="BF132" s="36">
        <v>5</v>
      </c>
      <c r="BG132" s="36"/>
      <c r="BH132" s="36"/>
      <c r="BI132" s="36"/>
      <c r="BJ132" s="36">
        <v>1</v>
      </c>
      <c r="BK132" s="36"/>
      <c r="BL132" s="36"/>
      <c r="BM132" s="36"/>
      <c r="BN132" s="36"/>
      <c r="BO132" s="36"/>
      <c r="BP132" s="36"/>
      <c r="BQ132" s="36"/>
      <c r="BR132" s="36">
        <v>1</v>
      </c>
      <c r="BS132" s="36"/>
      <c r="BT132" s="36"/>
      <c r="BU132" s="36">
        <v>1</v>
      </c>
      <c r="BV132" s="36">
        <v>2</v>
      </c>
      <c r="BW132" s="36"/>
      <c r="BX132" s="36"/>
      <c r="BY132" s="36"/>
      <c r="BZ132" s="36"/>
      <c r="CA132" s="36"/>
      <c r="CB132" s="36"/>
      <c r="CC132" s="36"/>
      <c r="CD132" s="36"/>
      <c r="CE132" s="36"/>
      <c r="CF132" s="36"/>
      <c r="CG132" s="36"/>
      <c r="CH132" s="36"/>
      <c r="CI132" s="36"/>
      <c r="CK132" s="4" t="b">
        <f t="shared" ref="CK132:CK195" si="2">ISNUMBER(D132)</f>
        <v>0</v>
      </c>
    </row>
    <row r="133" spans="1:89" ht="60" customHeight="1">
      <c r="A133" s="32" t="s">
        <v>101</v>
      </c>
      <c r="B133" s="32" t="s">
        <v>201</v>
      </c>
      <c r="C133" s="32" t="s">
        <v>273</v>
      </c>
      <c r="D133" s="34"/>
      <c r="E133" s="34">
        <v>100</v>
      </c>
      <c r="F133" s="34">
        <v>100</v>
      </c>
      <c r="G133" s="34">
        <v>50</v>
      </c>
      <c r="H133" s="34">
        <v>100</v>
      </c>
      <c r="I133" s="34">
        <v>150</v>
      </c>
      <c r="J133" s="34">
        <v>100</v>
      </c>
      <c r="K133" s="34">
        <v>100</v>
      </c>
      <c r="L133" s="34">
        <v>75</v>
      </c>
      <c r="M133" s="34">
        <v>75</v>
      </c>
      <c r="N133" s="34">
        <v>25</v>
      </c>
      <c r="O133" s="34">
        <v>75</v>
      </c>
      <c r="P133" s="34"/>
      <c r="Q133" s="34">
        <v>66.67</v>
      </c>
      <c r="R133" s="34">
        <v>66.67</v>
      </c>
      <c r="S133" s="34">
        <v>100</v>
      </c>
      <c r="T133" s="34">
        <v>100</v>
      </c>
      <c r="U133" s="34">
        <v>150</v>
      </c>
      <c r="V133" s="34">
        <v>100</v>
      </c>
      <c r="W133" s="34">
        <v>100</v>
      </c>
      <c r="X133" s="34">
        <v>100</v>
      </c>
      <c r="Y133" s="34">
        <v>75</v>
      </c>
      <c r="Z133" s="34">
        <v>125</v>
      </c>
      <c r="AA133" s="34">
        <v>75</v>
      </c>
      <c r="AB133" s="36"/>
      <c r="AC133" s="36">
        <v>23</v>
      </c>
      <c r="AD133" s="36">
        <v>17</v>
      </c>
      <c r="AE133" s="36">
        <v>10</v>
      </c>
      <c r="AF133" s="36">
        <v>23</v>
      </c>
      <c r="AG133" s="36">
        <v>10</v>
      </c>
      <c r="AH133" s="36"/>
      <c r="AI133" s="36">
        <v>34</v>
      </c>
      <c r="AJ133" s="36">
        <v>18</v>
      </c>
      <c r="AK133" s="36">
        <v>14</v>
      </c>
      <c r="AL133" s="36">
        <v>13</v>
      </c>
      <c r="AM133" s="36">
        <v>15</v>
      </c>
      <c r="AN133" s="36"/>
      <c r="AO133" s="36">
        <v>137</v>
      </c>
      <c r="AP133" s="36">
        <v>3</v>
      </c>
      <c r="AQ133" s="36">
        <v>7</v>
      </c>
      <c r="AR133" s="36">
        <v>14</v>
      </c>
      <c r="AS133" s="36">
        <v>14</v>
      </c>
      <c r="AT133" s="36">
        <v>28</v>
      </c>
      <c r="AU133" s="36">
        <v>11</v>
      </c>
      <c r="AV133" s="36">
        <v>10</v>
      </c>
      <c r="AW133" s="36">
        <v>22</v>
      </c>
      <c r="AX133" s="36">
        <v>14</v>
      </c>
      <c r="AY133" s="36">
        <v>20</v>
      </c>
      <c r="AZ133" s="36"/>
      <c r="BA133" s="36">
        <v>10</v>
      </c>
      <c r="BB133" s="36">
        <v>2</v>
      </c>
      <c r="BC133" s="36">
        <v>2</v>
      </c>
      <c r="BD133" s="36">
        <v>1</v>
      </c>
      <c r="BE133" s="36">
        <v>37</v>
      </c>
      <c r="BF133" s="36">
        <v>5</v>
      </c>
      <c r="BG133" s="36">
        <v>2</v>
      </c>
      <c r="BH133" s="36">
        <v>6</v>
      </c>
      <c r="BI133" s="36">
        <v>5</v>
      </c>
      <c r="BJ133" s="36">
        <v>3</v>
      </c>
      <c r="BK133" s="36">
        <v>3</v>
      </c>
      <c r="BL133" s="36"/>
      <c r="BM133" s="36"/>
      <c r="BN133" s="36">
        <v>1</v>
      </c>
      <c r="BO133" s="36">
        <v>3</v>
      </c>
      <c r="BP133" s="36">
        <v>2</v>
      </c>
      <c r="BQ133" s="36">
        <v>21</v>
      </c>
      <c r="BR133" s="36">
        <v>2</v>
      </c>
      <c r="BS133" s="36">
        <v>2</v>
      </c>
      <c r="BT133" s="36">
        <v>5</v>
      </c>
      <c r="BU133" s="36">
        <v>2</v>
      </c>
      <c r="BV133" s="36">
        <v>2</v>
      </c>
      <c r="BW133" s="36">
        <v>6</v>
      </c>
      <c r="BX133" s="36"/>
      <c r="BY133" s="36"/>
      <c r="BZ133" s="36"/>
      <c r="CA133" s="36"/>
      <c r="CB133" s="36"/>
      <c r="CC133" s="36"/>
      <c r="CD133" s="36"/>
      <c r="CE133" s="36"/>
      <c r="CF133" s="36">
        <v>1</v>
      </c>
      <c r="CG133" s="36"/>
      <c r="CH133" s="36"/>
      <c r="CI133" s="36"/>
      <c r="CK133" s="4" t="b">
        <f t="shared" si="2"/>
        <v>0</v>
      </c>
    </row>
    <row r="134" spans="1:89" ht="60" customHeight="1">
      <c r="A134" s="32" t="s">
        <v>109</v>
      </c>
      <c r="B134" s="32" t="s">
        <v>274</v>
      </c>
      <c r="C134" s="32" t="s">
        <v>275</v>
      </c>
      <c r="D134" s="34"/>
      <c r="E134" s="34"/>
      <c r="F134" s="34">
        <v>100</v>
      </c>
      <c r="G134" s="34"/>
      <c r="H134" s="34">
        <v>100</v>
      </c>
      <c r="I134" s="34">
        <v>100</v>
      </c>
      <c r="J134" s="34">
        <v>100</v>
      </c>
      <c r="K134" s="34"/>
      <c r="L134" s="34">
        <v>100</v>
      </c>
      <c r="M134" s="34"/>
      <c r="N134" s="34">
        <v>100</v>
      </c>
      <c r="O134" s="34"/>
      <c r="P134" s="34"/>
      <c r="Q134" s="34"/>
      <c r="R134" s="34">
        <v>100</v>
      </c>
      <c r="S134" s="34"/>
      <c r="T134" s="34">
        <v>100</v>
      </c>
      <c r="U134" s="34">
        <v>100</v>
      </c>
      <c r="V134" s="34">
        <v>100</v>
      </c>
      <c r="W134" s="34"/>
      <c r="X134" s="34">
        <v>100</v>
      </c>
      <c r="Y134" s="34"/>
      <c r="Z134" s="34">
        <v>100</v>
      </c>
      <c r="AA134" s="34">
        <v>100</v>
      </c>
      <c r="AB134" s="36"/>
      <c r="AC134" s="36"/>
      <c r="AD134" s="36">
        <v>15</v>
      </c>
      <c r="AE134" s="36"/>
      <c r="AF134" s="36">
        <v>12</v>
      </c>
      <c r="AG134" s="36">
        <v>15</v>
      </c>
      <c r="AH134" s="36">
        <v>12</v>
      </c>
      <c r="AI134" s="36"/>
      <c r="AJ134" s="36">
        <v>14</v>
      </c>
      <c r="AK134" s="36"/>
      <c r="AL134" s="36">
        <v>12</v>
      </c>
      <c r="AM134" s="36">
        <v>5</v>
      </c>
      <c r="AN134" s="36"/>
      <c r="AO134" s="36"/>
      <c r="AP134" s="36">
        <v>15</v>
      </c>
      <c r="AQ134" s="36"/>
      <c r="AR134" s="36">
        <v>14</v>
      </c>
      <c r="AS134" s="36">
        <v>15</v>
      </c>
      <c r="AT134" s="36">
        <v>10</v>
      </c>
      <c r="AU134" s="36"/>
      <c r="AV134" s="36">
        <v>15</v>
      </c>
      <c r="AW134" s="36"/>
      <c r="AX134" s="36">
        <v>14</v>
      </c>
      <c r="AY134" s="36">
        <v>5</v>
      </c>
      <c r="AZ134" s="36"/>
      <c r="BA134" s="36"/>
      <c r="BB134" s="36">
        <v>8</v>
      </c>
      <c r="BC134" s="36"/>
      <c r="BD134" s="36">
        <v>9</v>
      </c>
      <c r="BE134" s="36">
        <v>11</v>
      </c>
      <c r="BF134" s="36">
        <v>11</v>
      </c>
      <c r="BG134" s="36"/>
      <c r="BH134" s="36">
        <v>6</v>
      </c>
      <c r="BI134" s="36"/>
      <c r="BJ134" s="36">
        <v>12</v>
      </c>
      <c r="BK134" s="36">
        <v>9</v>
      </c>
      <c r="BL134" s="36"/>
      <c r="BM134" s="36"/>
      <c r="BN134" s="36">
        <v>2</v>
      </c>
      <c r="BO134" s="36"/>
      <c r="BP134" s="36">
        <v>4</v>
      </c>
      <c r="BQ134" s="36">
        <v>3</v>
      </c>
      <c r="BR134" s="36">
        <v>9</v>
      </c>
      <c r="BS134" s="36"/>
      <c r="BT134" s="36">
        <v>3</v>
      </c>
      <c r="BU134" s="36"/>
      <c r="BV134" s="36">
        <v>2</v>
      </c>
      <c r="BW134" s="36">
        <v>1</v>
      </c>
      <c r="BX134" s="36"/>
      <c r="BY134" s="36"/>
      <c r="BZ134" s="36"/>
      <c r="CA134" s="36"/>
      <c r="CB134" s="36">
        <v>2</v>
      </c>
      <c r="CC134" s="36">
        <v>1</v>
      </c>
      <c r="CD134" s="36">
        <v>5</v>
      </c>
      <c r="CE134" s="36"/>
      <c r="CF134" s="36">
        <v>1</v>
      </c>
      <c r="CG134" s="36"/>
      <c r="CH134" s="36">
        <v>3</v>
      </c>
      <c r="CI134" s="36"/>
      <c r="CK134" s="4" t="b">
        <f t="shared" si="2"/>
        <v>0</v>
      </c>
    </row>
    <row r="135" spans="1:89" ht="75" customHeight="1">
      <c r="A135" s="32" t="s">
        <v>124</v>
      </c>
      <c r="B135" s="32" t="s">
        <v>135</v>
      </c>
      <c r="C135" s="32" t="s">
        <v>276</v>
      </c>
      <c r="D135" s="34"/>
      <c r="E135" s="34"/>
      <c r="F135" s="34"/>
      <c r="G135" s="34"/>
      <c r="H135" s="34"/>
      <c r="I135" s="34"/>
      <c r="J135" s="34"/>
      <c r="K135" s="34"/>
      <c r="L135" s="34"/>
      <c r="M135" s="34"/>
      <c r="N135" s="34"/>
      <c r="O135" s="34"/>
      <c r="P135" s="34"/>
      <c r="Q135" s="34"/>
      <c r="R135" s="34"/>
      <c r="S135" s="34"/>
      <c r="T135" s="34"/>
      <c r="U135" s="34"/>
      <c r="V135" s="34"/>
      <c r="W135" s="34"/>
      <c r="X135" s="34"/>
      <c r="Y135" s="34"/>
      <c r="Z135" s="34"/>
      <c r="AA135" s="34"/>
      <c r="AB135" s="36"/>
      <c r="AC135" s="36"/>
      <c r="AD135" s="36"/>
      <c r="AE135" s="36"/>
      <c r="AF135" s="36"/>
      <c r="AG135" s="36"/>
      <c r="AH135" s="36"/>
      <c r="AI135" s="36"/>
      <c r="AJ135" s="36"/>
      <c r="AK135" s="36"/>
      <c r="AL135" s="36"/>
      <c r="AM135" s="36"/>
      <c r="AN135" s="36"/>
      <c r="AO135" s="36"/>
      <c r="AP135" s="36"/>
      <c r="AQ135" s="36"/>
      <c r="AR135" s="36"/>
      <c r="AS135" s="36"/>
      <c r="AT135" s="36"/>
      <c r="AU135" s="36"/>
      <c r="AV135" s="36"/>
      <c r="AW135" s="36"/>
      <c r="AX135" s="36"/>
      <c r="AY135" s="36"/>
      <c r="AZ135" s="36"/>
      <c r="BA135" s="36"/>
      <c r="BB135" s="36"/>
      <c r="BC135" s="36"/>
      <c r="BD135" s="36"/>
      <c r="BE135" s="36">
        <v>1</v>
      </c>
      <c r="BF135" s="36"/>
      <c r="BG135" s="36"/>
      <c r="BH135" s="36">
        <v>3</v>
      </c>
      <c r="BI135" s="36">
        <v>2</v>
      </c>
      <c r="BJ135" s="36">
        <v>1</v>
      </c>
      <c r="BK135" s="36"/>
      <c r="BL135" s="36"/>
      <c r="BM135" s="36"/>
      <c r="BN135" s="36"/>
      <c r="BO135" s="36">
        <v>1</v>
      </c>
      <c r="BP135" s="36"/>
      <c r="BQ135" s="36"/>
      <c r="BR135" s="36"/>
      <c r="BS135" s="36"/>
      <c r="BT135" s="36"/>
      <c r="BU135" s="36"/>
      <c r="BV135" s="36">
        <v>1</v>
      </c>
      <c r="BW135" s="36"/>
      <c r="BX135" s="36"/>
      <c r="BY135" s="36"/>
      <c r="BZ135" s="36"/>
      <c r="CA135" s="36"/>
      <c r="CB135" s="36"/>
      <c r="CC135" s="36"/>
      <c r="CD135" s="36"/>
      <c r="CE135" s="36"/>
      <c r="CF135" s="36"/>
      <c r="CG135" s="36"/>
      <c r="CH135" s="36"/>
      <c r="CI135" s="36"/>
      <c r="CK135" s="4" t="b">
        <f t="shared" si="2"/>
        <v>0</v>
      </c>
    </row>
    <row r="136" spans="1:89" ht="75" customHeight="1">
      <c r="A136" s="32" t="s">
        <v>87</v>
      </c>
      <c r="B136" s="32" t="s">
        <v>88</v>
      </c>
      <c r="C136" s="32" t="s">
        <v>277</v>
      </c>
      <c r="D136" s="34"/>
      <c r="E136" s="34">
        <v>100</v>
      </c>
      <c r="F136" s="34">
        <v>100</v>
      </c>
      <c r="G136" s="34">
        <v>100</v>
      </c>
      <c r="H136" s="34">
        <v>100</v>
      </c>
      <c r="I136" s="34">
        <v>100</v>
      </c>
      <c r="J136" s="34">
        <v>100</v>
      </c>
      <c r="K136" s="34">
        <v>100</v>
      </c>
      <c r="L136" s="34">
        <v>100</v>
      </c>
      <c r="M136" s="34">
        <v>100</v>
      </c>
      <c r="N136" s="34">
        <v>100</v>
      </c>
      <c r="O136" s="34"/>
      <c r="P136" s="34"/>
      <c r="Q136" s="34"/>
      <c r="R136" s="34"/>
      <c r="S136" s="34"/>
      <c r="T136" s="34"/>
      <c r="U136" s="34"/>
      <c r="V136" s="34"/>
      <c r="W136" s="34"/>
      <c r="X136" s="34"/>
      <c r="Y136" s="34"/>
      <c r="Z136" s="34"/>
      <c r="AA136" s="34"/>
      <c r="AB136" s="36"/>
      <c r="AC136" s="36">
        <v>34</v>
      </c>
      <c r="AD136" s="36">
        <v>51</v>
      </c>
      <c r="AE136" s="36">
        <v>58</v>
      </c>
      <c r="AF136" s="36">
        <v>90</v>
      </c>
      <c r="AG136" s="36">
        <v>78</v>
      </c>
      <c r="AH136" s="36">
        <v>78</v>
      </c>
      <c r="AI136" s="36">
        <v>74</v>
      </c>
      <c r="AJ136" s="36">
        <v>49</v>
      </c>
      <c r="AK136" s="36">
        <v>75</v>
      </c>
      <c r="AL136" s="36">
        <v>81</v>
      </c>
      <c r="AM136" s="36">
        <v>81</v>
      </c>
      <c r="AN136" s="36"/>
      <c r="AO136" s="36">
        <v>75</v>
      </c>
      <c r="AP136" s="36">
        <v>58</v>
      </c>
      <c r="AQ136" s="36">
        <v>76</v>
      </c>
      <c r="AR136" s="36">
        <v>54</v>
      </c>
      <c r="AS136" s="36">
        <v>75</v>
      </c>
      <c r="AT136" s="36">
        <v>86</v>
      </c>
      <c r="AU136" s="36">
        <v>71</v>
      </c>
      <c r="AV136" s="36">
        <v>47</v>
      </c>
      <c r="AW136" s="36">
        <v>70</v>
      </c>
      <c r="AX136" s="36">
        <v>58</v>
      </c>
      <c r="AY136" s="36">
        <v>65</v>
      </c>
      <c r="AZ136" s="36"/>
      <c r="BA136" s="36">
        <v>26</v>
      </c>
      <c r="BB136" s="36">
        <v>41</v>
      </c>
      <c r="BC136" s="36">
        <v>41</v>
      </c>
      <c r="BD136" s="36">
        <v>43</v>
      </c>
      <c r="BE136" s="36">
        <v>41</v>
      </c>
      <c r="BF136" s="36">
        <v>28</v>
      </c>
      <c r="BG136" s="36">
        <v>33</v>
      </c>
      <c r="BH136" s="36">
        <v>30</v>
      </c>
      <c r="BI136" s="36">
        <v>24</v>
      </c>
      <c r="BJ136" s="36">
        <v>22</v>
      </c>
      <c r="BK136" s="36">
        <v>36</v>
      </c>
      <c r="BL136" s="36"/>
      <c r="BM136" s="36"/>
      <c r="BN136" s="36">
        <v>1</v>
      </c>
      <c r="BO136" s="36">
        <v>4</v>
      </c>
      <c r="BP136" s="36">
        <v>12</v>
      </c>
      <c r="BQ136" s="36">
        <v>15</v>
      </c>
      <c r="BR136" s="36">
        <v>18</v>
      </c>
      <c r="BS136" s="36">
        <v>25</v>
      </c>
      <c r="BT136" s="36">
        <v>18</v>
      </c>
      <c r="BU136" s="36">
        <v>16</v>
      </c>
      <c r="BV136" s="36">
        <v>34</v>
      </c>
      <c r="BW136" s="36">
        <v>14</v>
      </c>
      <c r="BX136" s="36"/>
      <c r="BY136" s="36"/>
      <c r="BZ136" s="36"/>
      <c r="CA136" s="36"/>
      <c r="CB136" s="36"/>
      <c r="CC136" s="36"/>
      <c r="CD136" s="36"/>
      <c r="CE136" s="36">
        <v>3</v>
      </c>
      <c r="CF136" s="36">
        <v>2</v>
      </c>
      <c r="CG136" s="36">
        <v>4</v>
      </c>
      <c r="CH136" s="36">
        <v>9</v>
      </c>
      <c r="CI136" s="36"/>
      <c r="CK136" s="4" t="b">
        <f t="shared" si="2"/>
        <v>0</v>
      </c>
    </row>
    <row r="137" spans="1:89" ht="60" customHeight="1">
      <c r="A137" s="32" t="s">
        <v>109</v>
      </c>
      <c r="B137" s="32" t="s">
        <v>205</v>
      </c>
      <c r="C137" s="32" t="s">
        <v>278</v>
      </c>
      <c r="D137" s="34"/>
      <c r="E137" s="34">
        <v>100</v>
      </c>
      <c r="F137" s="34">
        <v>100</v>
      </c>
      <c r="G137" s="34">
        <v>100</v>
      </c>
      <c r="H137" s="34">
        <v>100</v>
      </c>
      <c r="I137" s="34">
        <v>100</v>
      </c>
      <c r="J137" s="34">
        <v>100</v>
      </c>
      <c r="K137" s="34">
        <v>100</v>
      </c>
      <c r="L137" s="34">
        <v>100</v>
      </c>
      <c r="M137" s="34"/>
      <c r="N137" s="34">
        <v>100</v>
      </c>
      <c r="O137" s="34">
        <v>50</v>
      </c>
      <c r="P137" s="34"/>
      <c r="Q137" s="34">
        <v>100</v>
      </c>
      <c r="R137" s="34">
        <v>100</v>
      </c>
      <c r="S137" s="34">
        <v>100</v>
      </c>
      <c r="T137" s="34">
        <v>100</v>
      </c>
      <c r="U137" s="34">
        <v>100</v>
      </c>
      <c r="V137" s="34">
        <v>100</v>
      </c>
      <c r="W137" s="34">
        <v>100</v>
      </c>
      <c r="X137" s="34">
        <v>100</v>
      </c>
      <c r="Y137" s="34"/>
      <c r="Z137" s="34">
        <v>100</v>
      </c>
      <c r="AA137" s="34">
        <v>50</v>
      </c>
      <c r="AB137" s="36"/>
      <c r="AC137" s="36">
        <v>7</v>
      </c>
      <c r="AD137" s="36">
        <v>7</v>
      </c>
      <c r="AE137" s="36">
        <v>5</v>
      </c>
      <c r="AF137" s="36">
        <v>12</v>
      </c>
      <c r="AG137" s="36">
        <v>2</v>
      </c>
      <c r="AH137" s="36">
        <v>6</v>
      </c>
      <c r="AI137" s="36"/>
      <c r="AJ137" s="36">
        <v>7</v>
      </c>
      <c r="AK137" s="36"/>
      <c r="AL137" s="36">
        <v>6</v>
      </c>
      <c r="AM137" s="36">
        <v>6</v>
      </c>
      <c r="AN137" s="36"/>
      <c r="AO137" s="36">
        <v>35</v>
      </c>
      <c r="AP137" s="36">
        <v>6</v>
      </c>
      <c r="AQ137" s="36">
        <v>5</v>
      </c>
      <c r="AR137" s="36">
        <v>11</v>
      </c>
      <c r="AS137" s="36">
        <v>10</v>
      </c>
      <c r="AT137" s="36">
        <v>7</v>
      </c>
      <c r="AU137" s="36">
        <v>10</v>
      </c>
      <c r="AV137" s="36">
        <v>5</v>
      </c>
      <c r="AW137" s="36"/>
      <c r="AX137" s="36">
        <v>6</v>
      </c>
      <c r="AY137" s="36">
        <v>6</v>
      </c>
      <c r="AZ137" s="36"/>
      <c r="BA137" s="36">
        <v>3</v>
      </c>
      <c r="BB137" s="36"/>
      <c r="BC137" s="36">
        <v>2</v>
      </c>
      <c r="BD137" s="36">
        <v>3</v>
      </c>
      <c r="BE137" s="36"/>
      <c r="BF137" s="36">
        <v>2</v>
      </c>
      <c r="BG137" s="36">
        <v>5</v>
      </c>
      <c r="BH137" s="36">
        <v>2</v>
      </c>
      <c r="BI137" s="36"/>
      <c r="BJ137" s="36">
        <v>2</v>
      </c>
      <c r="BK137" s="36">
        <v>3</v>
      </c>
      <c r="BL137" s="36"/>
      <c r="BM137" s="36">
        <v>2</v>
      </c>
      <c r="BN137" s="36"/>
      <c r="BO137" s="36">
        <v>3</v>
      </c>
      <c r="BP137" s="36"/>
      <c r="BQ137" s="36">
        <v>5</v>
      </c>
      <c r="BR137" s="36">
        <v>2</v>
      </c>
      <c r="BS137" s="36">
        <v>2</v>
      </c>
      <c r="BT137" s="36">
        <v>1</v>
      </c>
      <c r="BU137" s="36"/>
      <c r="BV137" s="36">
        <v>1</v>
      </c>
      <c r="BW137" s="36">
        <v>1</v>
      </c>
      <c r="BX137" s="36"/>
      <c r="BY137" s="36">
        <v>3</v>
      </c>
      <c r="BZ137" s="36">
        <v>2</v>
      </c>
      <c r="CA137" s="36"/>
      <c r="CB137" s="36"/>
      <c r="CC137" s="36"/>
      <c r="CD137" s="36"/>
      <c r="CE137" s="36"/>
      <c r="CF137" s="36"/>
      <c r="CG137" s="36"/>
      <c r="CH137" s="36"/>
      <c r="CI137" s="36"/>
      <c r="CK137" s="4" t="b">
        <f t="shared" si="2"/>
        <v>0</v>
      </c>
    </row>
    <row r="138" spans="1:89" ht="90" customHeight="1">
      <c r="A138" s="32" t="s">
        <v>109</v>
      </c>
      <c r="B138" s="32" t="s">
        <v>205</v>
      </c>
      <c r="C138" s="32" t="s">
        <v>279</v>
      </c>
      <c r="D138" s="34"/>
      <c r="E138" s="34">
        <v>25</v>
      </c>
      <c r="F138" s="34">
        <v>50</v>
      </c>
      <c r="G138" s="34">
        <v>50</v>
      </c>
      <c r="H138" s="34">
        <v>100</v>
      </c>
      <c r="I138" s="34">
        <v>100</v>
      </c>
      <c r="J138" s="34">
        <v>100</v>
      </c>
      <c r="K138" s="34">
        <v>100</v>
      </c>
      <c r="L138" s="34">
        <v>100</v>
      </c>
      <c r="M138" s="34">
        <v>100</v>
      </c>
      <c r="N138" s="34">
        <v>100</v>
      </c>
      <c r="O138" s="34">
        <v>66.67</v>
      </c>
      <c r="P138" s="34"/>
      <c r="Q138" s="34">
        <v>25</v>
      </c>
      <c r="R138" s="34">
        <v>25</v>
      </c>
      <c r="S138" s="34">
        <v>50</v>
      </c>
      <c r="T138" s="34">
        <v>100</v>
      </c>
      <c r="U138" s="34">
        <v>66.67</v>
      </c>
      <c r="V138" s="34">
        <v>100</v>
      </c>
      <c r="W138" s="34">
        <v>66.67</v>
      </c>
      <c r="X138" s="34">
        <v>100</v>
      </c>
      <c r="Y138" s="34">
        <v>100</v>
      </c>
      <c r="Z138" s="34">
        <v>100</v>
      </c>
      <c r="AA138" s="34">
        <v>33.33</v>
      </c>
      <c r="AB138" s="36"/>
      <c r="AC138" s="36">
        <v>27</v>
      </c>
      <c r="AD138" s="36">
        <v>11</v>
      </c>
      <c r="AE138" s="36">
        <v>19</v>
      </c>
      <c r="AF138" s="36">
        <v>38</v>
      </c>
      <c r="AG138" s="36">
        <v>49</v>
      </c>
      <c r="AH138" s="36">
        <v>61</v>
      </c>
      <c r="AI138" s="36">
        <v>54</v>
      </c>
      <c r="AJ138" s="36">
        <v>53</v>
      </c>
      <c r="AK138" s="36">
        <v>48</v>
      </c>
      <c r="AL138" s="36">
        <v>51</v>
      </c>
      <c r="AM138" s="36">
        <v>27</v>
      </c>
      <c r="AN138" s="36"/>
      <c r="AO138" s="36">
        <v>87</v>
      </c>
      <c r="AP138" s="36">
        <v>14</v>
      </c>
      <c r="AQ138" s="36">
        <v>20</v>
      </c>
      <c r="AR138" s="36">
        <v>38</v>
      </c>
      <c r="AS138" s="36">
        <v>50</v>
      </c>
      <c r="AT138" s="36">
        <v>63</v>
      </c>
      <c r="AU138" s="36">
        <v>54</v>
      </c>
      <c r="AV138" s="36">
        <v>53</v>
      </c>
      <c r="AW138" s="36">
        <v>48</v>
      </c>
      <c r="AX138" s="36">
        <v>51</v>
      </c>
      <c r="AY138" s="36">
        <v>26</v>
      </c>
      <c r="AZ138" s="36"/>
      <c r="BA138" s="36">
        <v>3</v>
      </c>
      <c r="BB138" s="36">
        <v>3</v>
      </c>
      <c r="BC138" s="36">
        <v>8</v>
      </c>
      <c r="BD138" s="36">
        <v>9</v>
      </c>
      <c r="BE138" s="36">
        <v>7</v>
      </c>
      <c r="BF138" s="36">
        <v>4</v>
      </c>
      <c r="BG138" s="36">
        <v>13</v>
      </c>
      <c r="BH138" s="36">
        <v>6</v>
      </c>
      <c r="BI138" s="36">
        <v>10</v>
      </c>
      <c r="BJ138" s="36">
        <v>8</v>
      </c>
      <c r="BK138" s="36">
        <v>2</v>
      </c>
      <c r="BL138" s="36"/>
      <c r="BM138" s="36">
        <v>8</v>
      </c>
      <c r="BN138" s="36">
        <v>8</v>
      </c>
      <c r="BO138" s="36">
        <v>9</v>
      </c>
      <c r="BP138" s="36">
        <v>2</v>
      </c>
      <c r="BQ138" s="36">
        <v>6</v>
      </c>
      <c r="BR138" s="36">
        <v>11</v>
      </c>
      <c r="BS138" s="36">
        <v>5</v>
      </c>
      <c r="BT138" s="36">
        <v>7</v>
      </c>
      <c r="BU138" s="36">
        <v>4</v>
      </c>
      <c r="BV138" s="36">
        <v>6</v>
      </c>
      <c r="BW138" s="36">
        <v>1</v>
      </c>
      <c r="BX138" s="36"/>
      <c r="BY138" s="36"/>
      <c r="BZ138" s="36"/>
      <c r="CA138" s="36"/>
      <c r="CB138" s="36"/>
      <c r="CC138" s="36"/>
      <c r="CD138" s="36">
        <v>2</v>
      </c>
      <c r="CE138" s="36">
        <v>4</v>
      </c>
      <c r="CF138" s="36">
        <v>2</v>
      </c>
      <c r="CG138" s="36">
        <v>1</v>
      </c>
      <c r="CH138" s="36">
        <v>1</v>
      </c>
      <c r="CI138" s="36">
        <v>3</v>
      </c>
      <c r="CK138" s="4" t="b">
        <f t="shared" si="2"/>
        <v>0</v>
      </c>
    </row>
    <row r="139" spans="1:89" ht="60" customHeight="1">
      <c r="A139" s="32" t="s">
        <v>144</v>
      </c>
      <c r="B139" s="32" t="s">
        <v>225</v>
      </c>
      <c r="C139" s="32" t="s">
        <v>280</v>
      </c>
      <c r="D139" s="34"/>
      <c r="E139" s="34"/>
      <c r="F139" s="34">
        <v>100</v>
      </c>
      <c r="G139" s="34">
        <v>100</v>
      </c>
      <c r="H139" s="34">
        <v>100</v>
      </c>
      <c r="I139" s="34">
        <v>100</v>
      </c>
      <c r="J139" s="34">
        <v>100</v>
      </c>
      <c r="K139" s="34">
        <v>100</v>
      </c>
      <c r="L139" s="34">
        <v>100</v>
      </c>
      <c r="M139" s="34">
        <v>100</v>
      </c>
      <c r="N139" s="34">
        <v>100</v>
      </c>
      <c r="O139" s="34">
        <v>100</v>
      </c>
      <c r="P139" s="34"/>
      <c r="Q139" s="34"/>
      <c r="R139" s="34">
        <v>100</v>
      </c>
      <c r="S139" s="34">
        <v>100</v>
      </c>
      <c r="T139" s="34">
        <v>100</v>
      </c>
      <c r="U139" s="34">
        <v>100</v>
      </c>
      <c r="V139" s="34">
        <v>100</v>
      </c>
      <c r="W139" s="34">
        <v>100</v>
      </c>
      <c r="X139" s="34">
        <v>100</v>
      </c>
      <c r="Y139" s="34">
        <v>100</v>
      </c>
      <c r="Z139" s="34">
        <v>100</v>
      </c>
      <c r="AA139" s="34">
        <v>100</v>
      </c>
      <c r="AB139" s="36"/>
      <c r="AC139" s="36"/>
      <c r="AD139" s="36">
        <v>4</v>
      </c>
      <c r="AE139" s="36">
        <v>5</v>
      </c>
      <c r="AF139" s="36">
        <v>6</v>
      </c>
      <c r="AG139" s="36">
        <v>5</v>
      </c>
      <c r="AH139" s="36">
        <v>4</v>
      </c>
      <c r="AI139" s="36">
        <v>4</v>
      </c>
      <c r="AJ139" s="36">
        <v>4</v>
      </c>
      <c r="AK139" s="36">
        <v>5</v>
      </c>
      <c r="AL139" s="36">
        <v>4</v>
      </c>
      <c r="AM139" s="36">
        <v>4</v>
      </c>
      <c r="AN139" s="36"/>
      <c r="AO139" s="36"/>
      <c r="AP139" s="36">
        <v>6</v>
      </c>
      <c r="AQ139" s="36">
        <v>8</v>
      </c>
      <c r="AR139" s="36">
        <v>13</v>
      </c>
      <c r="AS139" s="36">
        <v>8</v>
      </c>
      <c r="AT139" s="36">
        <v>6</v>
      </c>
      <c r="AU139" s="36">
        <v>7</v>
      </c>
      <c r="AV139" s="36">
        <v>9</v>
      </c>
      <c r="AW139" s="36">
        <v>8</v>
      </c>
      <c r="AX139" s="36">
        <v>7</v>
      </c>
      <c r="AY139" s="36">
        <v>7</v>
      </c>
      <c r="AZ139" s="36"/>
      <c r="BA139" s="36"/>
      <c r="BB139" s="36">
        <v>12</v>
      </c>
      <c r="BC139" s="36">
        <v>2</v>
      </c>
      <c r="BD139" s="36"/>
      <c r="BE139" s="36">
        <v>4</v>
      </c>
      <c r="BF139" s="36">
        <v>12</v>
      </c>
      <c r="BG139" s="36">
        <v>12</v>
      </c>
      <c r="BH139" s="36">
        <v>10</v>
      </c>
      <c r="BI139" s="36">
        <v>8</v>
      </c>
      <c r="BJ139" s="36">
        <v>8</v>
      </c>
      <c r="BK139" s="36">
        <v>8</v>
      </c>
      <c r="BL139" s="36"/>
      <c r="BM139" s="36"/>
      <c r="BN139" s="36">
        <v>7</v>
      </c>
      <c r="BO139" s="36"/>
      <c r="BP139" s="36">
        <v>9</v>
      </c>
      <c r="BQ139" s="36"/>
      <c r="BR139" s="36">
        <v>7</v>
      </c>
      <c r="BS139" s="36">
        <v>7</v>
      </c>
      <c r="BT139" s="36">
        <v>9</v>
      </c>
      <c r="BU139" s="36">
        <v>5</v>
      </c>
      <c r="BV139" s="36">
        <v>5</v>
      </c>
      <c r="BW139" s="36">
        <v>5</v>
      </c>
      <c r="BX139" s="36"/>
      <c r="BY139" s="36"/>
      <c r="BZ139" s="36">
        <v>5</v>
      </c>
      <c r="CA139" s="36"/>
      <c r="CB139" s="36">
        <v>2</v>
      </c>
      <c r="CC139" s="36">
        <v>4</v>
      </c>
      <c r="CD139" s="36"/>
      <c r="CE139" s="36">
        <v>5</v>
      </c>
      <c r="CF139" s="36">
        <v>1</v>
      </c>
      <c r="CG139" s="36">
        <v>3</v>
      </c>
      <c r="CH139" s="36">
        <v>3</v>
      </c>
      <c r="CI139" s="36">
        <v>5</v>
      </c>
      <c r="CK139" s="4" t="b">
        <f t="shared" si="2"/>
        <v>0</v>
      </c>
    </row>
    <row r="140" spans="1:89" ht="60" customHeight="1">
      <c r="A140" s="32" t="s">
        <v>87</v>
      </c>
      <c r="B140" s="32" t="s">
        <v>181</v>
      </c>
      <c r="C140" s="32" t="s">
        <v>281</v>
      </c>
      <c r="D140" s="34"/>
      <c r="E140" s="34">
        <v>25</v>
      </c>
      <c r="F140" s="34">
        <v>25</v>
      </c>
      <c r="G140" s="34">
        <v>25</v>
      </c>
      <c r="H140" s="34"/>
      <c r="I140" s="34">
        <v>25</v>
      </c>
      <c r="J140" s="34">
        <v>50</v>
      </c>
      <c r="K140" s="34">
        <v>25</v>
      </c>
      <c r="L140" s="34"/>
      <c r="M140" s="34">
        <v>50</v>
      </c>
      <c r="N140" s="34">
        <v>75</v>
      </c>
      <c r="O140" s="34"/>
      <c r="P140" s="34"/>
      <c r="Q140" s="34"/>
      <c r="R140" s="34"/>
      <c r="S140" s="34"/>
      <c r="T140" s="34"/>
      <c r="U140" s="34"/>
      <c r="V140" s="34">
        <v>25</v>
      </c>
      <c r="W140" s="34"/>
      <c r="X140" s="34"/>
      <c r="Y140" s="34"/>
      <c r="Z140" s="34"/>
      <c r="AA140" s="34"/>
      <c r="AB140" s="36"/>
      <c r="AC140" s="36"/>
      <c r="AD140" s="36"/>
      <c r="AE140" s="36">
        <v>1</v>
      </c>
      <c r="AF140" s="36"/>
      <c r="AG140" s="36">
        <v>1</v>
      </c>
      <c r="AH140" s="36">
        <v>3</v>
      </c>
      <c r="AI140" s="36">
        <v>4</v>
      </c>
      <c r="AJ140" s="36"/>
      <c r="AK140" s="36">
        <v>1</v>
      </c>
      <c r="AL140" s="36">
        <v>2</v>
      </c>
      <c r="AM140" s="36"/>
      <c r="AN140" s="36"/>
      <c r="AO140" s="36"/>
      <c r="AP140" s="36">
        <v>3</v>
      </c>
      <c r="AQ140" s="36">
        <v>2</v>
      </c>
      <c r="AR140" s="36">
        <v>2</v>
      </c>
      <c r="AS140" s="36">
        <v>1</v>
      </c>
      <c r="AT140" s="36"/>
      <c r="AU140" s="36">
        <v>1</v>
      </c>
      <c r="AV140" s="36"/>
      <c r="AW140" s="36">
        <v>8</v>
      </c>
      <c r="AX140" s="36">
        <v>1</v>
      </c>
      <c r="AY140" s="36"/>
      <c r="AZ140" s="36"/>
      <c r="BA140" s="36"/>
      <c r="BB140" s="36"/>
      <c r="BC140" s="36"/>
      <c r="BD140" s="36"/>
      <c r="BE140" s="36">
        <v>1</v>
      </c>
      <c r="BF140" s="36">
        <v>5</v>
      </c>
      <c r="BG140" s="36">
        <v>2</v>
      </c>
      <c r="BH140" s="36">
        <v>2</v>
      </c>
      <c r="BI140" s="36">
        <v>3</v>
      </c>
      <c r="BJ140" s="36">
        <v>8</v>
      </c>
      <c r="BK140" s="36"/>
      <c r="BL140" s="36"/>
      <c r="BM140" s="36"/>
      <c r="BN140" s="36"/>
      <c r="BO140" s="36"/>
      <c r="BP140" s="36"/>
      <c r="BQ140" s="36"/>
      <c r="BR140" s="36"/>
      <c r="BS140" s="36">
        <v>2</v>
      </c>
      <c r="BT140" s="36">
        <v>1</v>
      </c>
      <c r="BU140" s="36">
        <v>3</v>
      </c>
      <c r="BV140" s="36">
        <v>4</v>
      </c>
      <c r="BW140" s="36"/>
      <c r="BX140" s="36"/>
      <c r="BY140" s="36"/>
      <c r="BZ140" s="36"/>
      <c r="CA140" s="36"/>
      <c r="CB140" s="36"/>
      <c r="CC140" s="36"/>
      <c r="CD140" s="36"/>
      <c r="CE140" s="36"/>
      <c r="CF140" s="36"/>
      <c r="CG140" s="36">
        <v>2</v>
      </c>
      <c r="CH140" s="36">
        <v>3</v>
      </c>
      <c r="CI140" s="36"/>
      <c r="CK140" s="4" t="b">
        <f t="shared" si="2"/>
        <v>0</v>
      </c>
    </row>
    <row r="141" spans="1:89" ht="75" customHeight="1">
      <c r="A141" s="32" t="s">
        <v>87</v>
      </c>
      <c r="B141" s="32" t="s">
        <v>88</v>
      </c>
      <c r="C141" s="32" t="s">
        <v>282</v>
      </c>
      <c r="D141" s="34"/>
      <c r="E141" s="34">
        <v>50</v>
      </c>
      <c r="F141" s="34">
        <v>100</v>
      </c>
      <c r="G141" s="34">
        <v>100</v>
      </c>
      <c r="H141" s="34">
        <v>100</v>
      </c>
      <c r="I141" s="34">
        <v>100</v>
      </c>
      <c r="J141" s="34">
        <v>100</v>
      </c>
      <c r="K141" s="34">
        <v>100</v>
      </c>
      <c r="L141" s="34">
        <v>100</v>
      </c>
      <c r="M141" s="34">
        <v>100</v>
      </c>
      <c r="N141" s="34">
        <v>100</v>
      </c>
      <c r="O141" s="34">
        <v>100</v>
      </c>
      <c r="P141" s="34"/>
      <c r="Q141" s="34">
        <v>100</v>
      </c>
      <c r="R141" s="34"/>
      <c r="S141" s="34"/>
      <c r="T141" s="34"/>
      <c r="U141" s="34"/>
      <c r="V141" s="34"/>
      <c r="W141" s="34"/>
      <c r="X141" s="34"/>
      <c r="Y141" s="34"/>
      <c r="Z141" s="34">
        <v>100</v>
      </c>
      <c r="AA141" s="34">
        <v>100</v>
      </c>
      <c r="AB141" s="36"/>
      <c r="AC141" s="36">
        <v>119</v>
      </c>
      <c r="AD141" s="36">
        <v>147</v>
      </c>
      <c r="AE141" s="36">
        <v>105</v>
      </c>
      <c r="AF141" s="36">
        <v>189</v>
      </c>
      <c r="AG141" s="36">
        <v>144</v>
      </c>
      <c r="AH141" s="36">
        <v>125</v>
      </c>
      <c r="AI141" s="36">
        <v>12</v>
      </c>
      <c r="AJ141" s="36">
        <v>67</v>
      </c>
      <c r="AK141" s="36">
        <v>100</v>
      </c>
      <c r="AL141" s="36">
        <v>127</v>
      </c>
      <c r="AM141" s="36">
        <v>97</v>
      </c>
      <c r="AN141" s="36"/>
      <c r="AO141" s="36">
        <v>133</v>
      </c>
      <c r="AP141" s="36">
        <v>77</v>
      </c>
      <c r="AQ141" s="36">
        <v>125</v>
      </c>
      <c r="AR141" s="36">
        <v>161</v>
      </c>
      <c r="AS141" s="36">
        <v>105</v>
      </c>
      <c r="AT141" s="36">
        <v>123</v>
      </c>
      <c r="AU141" s="36">
        <v>9</v>
      </c>
      <c r="AV141" s="36">
        <v>74</v>
      </c>
      <c r="AW141" s="36">
        <v>86</v>
      </c>
      <c r="AX141" s="36">
        <v>114</v>
      </c>
      <c r="AY141" s="36">
        <v>95</v>
      </c>
      <c r="AZ141" s="36"/>
      <c r="BA141" s="36">
        <v>6</v>
      </c>
      <c r="BB141" s="36">
        <v>11</v>
      </c>
      <c r="BC141" s="36">
        <v>7</v>
      </c>
      <c r="BD141" s="36">
        <v>14</v>
      </c>
      <c r="BE141" s="36">
        <v>12</v>
      </c>
      <c r="BF141" s="36">
        <v>11</v>
      </c>
      <c r="BG141" s="36">
        <v>7</v>
      </c>
      <c r="BH141" s="36"/>
      <c r="BI141" s="36">
        <v>7</v>
      </c>
      <c r="BJ141" s="36">
        <v>4</v>
      </c>
      <c r="BK141" s="36">
        <v>7</v>
      </c>
      <c r="BL141" s="36"/>
      <c r="BM141" s="36">
        <v>4</v>
      </c>
      <c r="BN141" s="36">
        <v>1</v>
      </c>
      <c r="BO141" s="36">
        <v>1</v>
      </c>
      <c r="BP141" s="36">
        <v>4</v>
      </c>
      <c r="BQ141" s="36">
        <v>9</v>
      </c>
      <c r="BR141" s="36">
        <v>3</v>
      </c>
      <c r="BS141" s="36">
        <v>3</v>
      </c>
      <c r="BT141" s="36">
        <v>5</v>
      </c>
      <c r="BU141" s="36">
        <v>3</v>
      </c>
      <c r="BV141" s="36">
        <v>6</v>
      </c>
      <c r="BW141" s="36">
        <v>1</v>
      </c>
      <c r="BX141" s="36"/>
      <c r="BY141" s="36"/>
      <c r="BZ141" s="36">
        <v>17</v>
      </c>
      <c r="CA141" s="36"/>
      <c r="CB141" s="36"/>
      <c r="CC141" s="36"/>
      <c r="CD141" s="36">
        <v>1</v>
      </c>
      <c r="CE141" s="36">
        <v>1</v>
      </c>
      <c r="CF141" s="36">
        <v>3</v>
      </c>
      <c r="CG141" s="36">
        <v>1</v>
      </c>
      <c r="CH141" s="36"/>
      <c r="CI141" s="36">
        <v>1</v>
      </c>
      <c r="CK141" s="4" t="b">
        <f t="shared" si="2"/>
        <v>0</v>
      </c>
    </row>
    <row r="142" spans="1:89" ht="60" customHeight="1">
      <c r="A142" s="32" t="s">
        <v>92</v>
      </c>
      <c r="B142" s="32" t="s">
        <v>153</v>
      </c>
      <c r="C142" s="32" t="s">
        <v>283</v>
      </c>
      <c r="D142" s="34"/>
      <c r="E142" s="34">
        <v>100</v>
      </c>
      <c r="F142" s="34">
        <v>66.67</v>
      </c>
      <c r="G142" s="34">
        <v>100</v>
      </c>
      <c r="H142" s="34">
        <v>100</v>
      </c>
      <c r="I142" s="34">
        <v>100</v>
      </c>
      <c r="J142" s="34">
        <v>100</v>
      </c>
      <c r="K142" s="34">
        <v>100</v>
      </c>
      <c r="L142" s="34">
        <v>100</v>
      </c>
      <c r="M142" s="34">
        <v>100</v>
      </c>
      <c r="N142" s="34">
        <v>100</v>
      </c>
      <c r="O142" s="34">
        <v>100</v>
      </c>
      <c r="P142" s="34"/>
      <c r="Q142" s="34">
        <v>100</v>
      </c>
      <c r="R142" s="34">
        <v>133.33000000000001</v>
      </c>
      <c r="S142" s="34">
        <v>100</v>
      </c>
      <c r="T142" s="34">
        <v>100</v>
      </c>
      <c r="U142" s="34">
        <v>100</v>
      </c>
      <c r="V142" s="34">
        <v>100</v>
      </c>
      <c r="W142" s="34">
        <v>100</v>
      </c>
      <c r="X142" s="34">
        <v>200</v>
      </c>
      <c r="Y142" s="34">
        <v>100</v>
      </c>
      <c r="Z142" s="34">
        <v>100</v>
      </c>
      <c r="AA142" s="34">
        <v>100</v>
      </c>
      <c r="AB142" s="36"/>
      <c r="AC142" s="36">
        <v>44</v>
      </c>
      <c r="AD142" s="36">
        <v>23</v>
      </c>
      <c r="AE142" s="36">
        <v>20</v>
      </c>
      <c r="AF142" s="36">
        <v>14</v>
      </c>
      <c r="AG142" s="36">
        <v>10</v>
      </c>
      <c r="AH142" s="36">
        <v>8</v>
      </c>
      <c r="AI142" s="36">
        <v>11</v>
      </c>
      <c r="AJ142" s="36">
        <v>10</v>
      </c>
      <c r="AK142" s="36">
        <v>10</v>
      </c>
      <c r="AL142" s="36">
        <v>10</v>
      </c>
      <c r="AM142" s="36">
        <v>9</v>
      </c>
      <c r="AN142" s="36"/>
      <c r="AO142" s="36">
        <v>40</v>
      </c>
      <c r="AP142" s="36">
        <v>45</v>
      </c>
      <c r="AQ142" s="36">
        <v>44</v>
      </c>
      <c r="AR142" s="36">
        <v>23</v>
      </c>
      <c r="AS142" s="36">
        <v>20</v>
      </c>
      <c r="AT142" s="36">
        <v>15</v>
      </c>
      <c r="AU142" s="36">
        <v>10</v>
      </c>
      <c r="AV142" s="36">
        <v>8</v>
      </c>
      <c r="AW142" s="36">
        <v>11</v>
      </c>
      <c r="AX142" s="36">
        <v>9</v>
      </c>
      <c r="AY142" s="36">
        <v>10</v>
      </c>
      <c r="AZ142" s="36"/>
      <c r="BA142" s="36">
        <v>30</v>
      </c>
      <c r="BB142" s="36">
        <v>25</v>
      </c>
      <c r="BC142" s="36">
        <v>25</v>
      </c>
      <c r="BD142" s="36">
        <v>24</v>
      </c>
      <c r="BE142" s="36">
        <v>5</v>
      </c>
      <c r="BF142" s="36">
        <v>19</v>
      </c>
      <c r="BG142" s="36">
        <v>16</v>
      </c>
      <c r="BH142" s="36">
        <v>14</v>
      </c>
      <c r="BI142" s="36">
        <v>10</v>
      </c>
      <c r="BJ142" s="36"/>
      <c r="BK142" s="36">
        <v>12</v>
      </c>
      <c r="BL142" s="36"/>
      <c r="BM142" s="36">
        <v>4</v>
      </c>
      <c r="BN142" s="36">
        <v>9</v>
      </c>
      <c r="BO142" s="36">
        <v>8</v>
      </c>
      <c r="BP142" s="36">
        <v>6</v>
      </c>
      <c r="BQ142" s="36">
        <v>8</v>
      </c>
      <c r="BR142" s="36">
        <v>5</v>
      </c>
      <c r="BS142" s="36"/>
      <c r="BT142" s="36"/>
      <c r="BU142" s="36"/>
      <c r="BV142" s="36"/>
      <c r="BW142" s="36">
        <v>4</v>
      </c>
      <c r="BX142" s="36"/>
      <c r="BY142" s="36">
        <v>3</v>
      </c>
      <c r="BZ142" s="36">
        <v>4</v>
      </c>
      <c r="CA142" s="36">
        <v>4</v>
      </c>
      <c r="CB142" s="36">
        <v>4</v>
      </c>
      <c r="CC142" s="36">
        <v>8</v>
      </c>
      <c r="CD142" s="36">
        <v>2</v>
      </c>
      <c r="CE142" s="36"/>
      <c r="CF142" s="36"/>
      <c r="CG142" s="36"/>
      <c r="CH142" s="36"/>
      <c r="CI142" s="36"/>
      <c r="CK142" s="4" t="b">
        <f t="shared" si="2"/>
        <v>0</v>
      </c>
    </row>
    <row r="143" spans="1:89" ht="60" customHeight="1">
      <c r="A143" s="32" t="s">
        <v>101</v>
      </c>
      <c r="B143" s="32" t="s">
        <v>284</v>
      </c>
      <c r="C143" s="32" t="s">
        <v>285</v>
      </c>
      <c r="D143" s="34"/>
      <c r="E143" s="34">
        <v>100</v>
      </c>
      <c r="F143" s="34">
        <v>100</v>
      </c>
      <c r="G143" s="34">
        <v>100</v>
      </c>
      <c r="H143" s="34">
        <v>100</v>
      </c>
      <c r="I143" s="34">
        <v>100</v>
      </c>
      <c r="J143" s="34">
        <v>75</v>
      </c>
      <c r="K143" s="34">
        <v>75</v>
      </c>
      <c r="L143" s="34">
        <v>75</v>
      </c>
      <c r="M143" s="34">
        <v>100</v>
      </c>
      <c r="N143" s="34">
        <v>50</v>
      </c>
      <c r="O143" s="34">
        <v>50</v>
      </c>
      <c r="P143" s="34"/>
      <c r="Q143" s="34">
        <v>66.67</v>
      </c>
      <c r="R143" s="34">
        <v>100</v>
      </c>
      <c r="S143" s="34">
        <v>66.67</v>
      </c>
      <c r="T143" s="34">
        <v>333.33</v>
      </c>
      <c r="U143" s="34">
        <v>266.67</v>
      </c>
      <c r="V143" s="34">
        <v>66.67</v>
      </c>
      <c r="W143" s="34">
        <v>75</v>
      </c>
      <c r="X143" s="34">
        <v>75</v>
      </c>
      <c r="Y143" s="34">
        <v>100</v>
      </c>
      <c r="Z143" s="34">
        <v>25</v>
      </c>
      <c r="AA143" s="34">
        <v>50</v>
      </c>
      <c r="AB143" s="36"/>
      <c r="AC143" s="36">
        <v>15</v>
      </c>
      <c r="AD143" s="36">
        <v>14</v>
      </c>
      <c r="AE143" s="36">
        <v>14</v>
      </c>
      <c r="AF143" s="36">
        <v>20</v>
      </c>
      <c r="AG143" s="36">
        <v>11</v>
      </c>
      <c r="AH143" s="36">
        <v>14</v>
      </c>
      <c r="AI143" s="36">
        <v>15</v>
      </c>
      <c r="AJ143" s="36">
        <v>20</v>
      </c>
      <c r="AK143" s="36">
        <v>8</v>
      </c>
      <c r="AL143" s="36">
        <v>11</v>
      </c>
      <c r="AM143" s="36">
        <v>20</v>
      </c>
      <c r="AN143" s="36"/>
      <c r="AO143" s="36"/>
      <c r="AP143" s="36">
        <v>13</v>
      </c>
      <c r="AQ143" s="36">
        <v>13</v>
      </c>
      <c r="AR143" s="36">
        <v>17</v>
      </c>
      <c r="AS143" s="36">
        <v>12</v>
      </c>
      <c r="AT143" s="36">
        <v>14</v>
      </c>
      <c r="AU143" s="36">
        <v>15</v>
      </c>
      <c r="AV143" s="36">
        <v>17</v>
      </c>
      <c r="AW143" s="36">
        <v>16</v>
      </c>
      <c r="AX143" s="36">
        <v>11</v>
      </c>
      <c r="AY143" s="36">
        <v>17</v>
      </c>
      <c r="AZ143" s="36"/>
      <c r="BA143" s="36">
        <v>8</v>
      </c>
      <c r="BB143" s="36">
        <v>8</v>
      </c>
      <c r="BC143" s="36">
        <v>22</v>
      </c>
      <c r="BD143" s="36">
        <v>2</v>
      </c>
      <c r="BE143" s="36">
        <v>11</v>
      </c>
      <c r="BF143" s="36">
        <v>3</v>
      </c>
      <c r="BG143" s="36">
        <v>3</v>
      </c>
      <c r="BH143" s="36">
        <v>3</v>
      </c>
      <c r="BI143" s="36">
        <v>2</v>
      </c>
      <c r="BJ143" s="36">
        <v>4</v>
      </c>
      <c r="BK143" s="36">
        <v>8</v>
      </c>
      <c r="BL143" s="36"/>
      <c r="BM143" s="36"/>
      <c r="BN143" s="36"/>
      <c r="BO143" s="36"/>
      <c r="BP143" s="36"/>
      <c r="BQ143" s="36">
        <v>1</v>
      </c>
      <c r="BR143" s="36"/>
      <c r="BS143" s="36">
        <v>1</v>
      </c>
      <c r="BT143" s="36">
        <v>1</v>
      </c>
      <c r="BU143" s="36"/>
      <c r="BV143" s="36">
        <v>5</v>
      </c>
      <c r="BW143" s="36">
        <v>2</v>
      </c>
      <c r="BX143" s="36"/>
      <c r="BY143" s="36"/>
      <c r="BZ143" s="36"/>
      <c r="CA143" s="36"/>
      <c r="CB143" s="36"/>
      <c r="CC143" s="36"/>
      <c r="CD143" s="36"/>
      <c r="CE143" s="36"/>
      <c r="CF143" s="36"/>
      <c r="CG143" s="36"/>
      <c r="CH143" s="36"/>
      <c r="CI143" s="36"/>
      <c r="CK143" s="4" t="b">
        <f t="shared" si="2"/>
        <v>0</v>
      </c>
    </row>
    <row r="144" spans="1:89" ht="60" customHeight="1">
      <c r="A144" s="32" t="s">
        <v>92</v>
      </c>
      <c r="B144" s="32" t="s">
        <v>153</v>
      </c>
      <c r="C144" s="32" t="s">
        <v>286</v>
      </c>
      <c r="D144" s="34"/>
      <c r="E144" s="34">
        <v>100</v>
      </c>
      <c r="F144" s="34">
        <v>100</v>
      </c>
      <c r="G144" s="34">
        <v>100</v>
      </c>
      <c r="H144" s="34">
        <v>100</v>
      </c>
      <c r="I144" s="34">
        <v>100</v>
      </c>
      <c r="J144" s="34">
        <v>100</v>
      </c>
      <c r="K144" s="34">
        <v>100</v>
      </c>
      <c r="L144" s="34">
        <v>100</v>
      </c>
      <c r="M144" s="34">
        <v>100</v>
      </c>
      <c r="N144" s="34">
        <v>100</v>
      </c>
      <c r="O144" s="34">
        <v>100</v>
      </c>
      <c r="P144" s="34"/>
      <c r="Q144" s="34"/>
      <c r="R144" s="34">
        <v>100</v>
      </c>
      <c r="S144" s="34">
        <v>100</v>
      </c>
      <c r="T144" s="34">
        <v>166.67</v>
      </c>
      <c r="U144" s="34">
        <v>100</v>
      </c>
      <c r="V144" s="34">
        <v>100</v>
      </c>
      <c r="W144" s="34">
        <v>100</v>
      </c>
      <c r="X144" s="34">
        <v>100</v>
      </c>
      <c r="Y144" s="34">
        <v>100</v>
      </c>
      <c r="Z144" s="34">
        <v>100</v>
      </c>
      <c r="AA144" s="34">
        <v>100</v>
      </c>
      <c r="AB144" s="36"/>
      <c r="AC144" s="36">
        <v>44</v>
      </c>
      <c r="AD144" s="36">
        <v>38</v>
      </c>
      <c r="AE144" s="36">
        <v>38</v>
      </c>
      <c r="AF144" s="36">
        <v>39</v>
      </c>
      <c r="AG144" s="36">
        <v>51</v>
      </c>
      <c r="AH144" s="36">
        <v>51</v>
      </c>
      <c r="AI144" s="36">
        <v>39</v>
      </c>
      <c r="AJ144" s="36">
        <v>40</v>
      </c>
      <c r="AK144" s="36">
        <v>39</v>
      </c>
      <c r="AL144" s="36">
        <v>39</v>
      </c>
      <c r="AM144" s="36">
        <v>39</v>
      </c>
      <c r="AN144" s="36"/>
      <c r="AO144" s="36">
        <v>46</v>
      </c>
      <c r="AP144" s="36">
        <v>38</v>
      </c>
      <c r="AQ144" s="36">
        <v>38</v>
      </c>
      <c r="AR144" s="36">
        <v>39</v>
      </c>
      <c r="AS144" s="36">
        <v>47</v>
      </c>
      <c r="AT144" s="36">
        <v>46</v>
      </c>
      <c r="AU144" s="36">
        <v>37</v>
      </c>
      <c r="AV144" s="36">
        <v>37</v>
      </c>
      <c r="AW144" s="36">
        <v>37</v>
      </c>
      <c r="AX144" s="36">
        <v>37</v>
      </c>
      <c r="AY144" s="36">
        <v>37</v>
      </c>
      <c r="AZ144" s="36"/>
      <c r="BA144" s="36"/>
      <c r="BB144" s="36">
        <v>31</v>
      </c>
      <c r="BC144" s="36">
        <v>11</v>
      </c>
      <c r="BD144" s="36">
        <v>24</v>
      </c>
      <c r="BE144" s="36">
        <v>40</v>
      </c>
      <c r="BF144" s="36">
        <v>13</v>
      </c>
      <c r="BG144" s="36">
        <v>30</v>
      </c>
      <c r="BH144" s="36">
        <v>14</v>
      </c>
      <c r="BI144" s="36">
        <v>6</v>
      </c>
      <c r="BJ144" s="36">
        <v>11</v>
      </c>
      <c r="BK144" s="36">
        <v>13</v>
      </c>
      <c r="BL144" s="36"/>
      <c r="BM144" s="36"/>
      <c r="BN144" s="36"/>
      <c r="BO144" s="36"/>
      <c r="BP144" s="36"/>
      <c r="BQ144" s="36"/>
      <c r="BR144" s="36"/>
      <c r="BS144" s="36"/>
      <c r="BT144" s="36"/>
      <c r="BU144" s="36"/>
      <c r="BV144" s="36"/>
      <c r="BW144" s="36"/>
      <c r="BX144" s="36"/>
      <c r="BY144" s="36">
        <v>68</v>
      </c>
      <c r="BZ144" s="36"/>
      <c r="CA144" s="36"/>
      <c r="CB144" s="36"/>
      <c r="CC144" s="36"/>
      <c r="CD144" s="36"/>
      <c r="CE144" s="36"/>
      <c r="CF144" s="36"/>
      <c r="CG144" s="36"/>
      <c r="CH144" s="36"/>
      <c r="CI144" s="36"/>
      <c r="CK144" s="4" t="b">
        <f t="shared" si="2"/>
        <v>0</v>
      </c>
    </row>
    <row r="145" spans="1:89" ht="75" customHeight="1">
      <c r="A145" s="32" t="s">
        <v>124</v>
      </c>
      <c r="B145" s="32" t="s">
        <v>139</v>
      </c>
      <c r="C145" s="32" t="s">
        <v>287</v>
      </c>
      <c r="D145" s="34"/>
      <c r="E145" s="34">
        <v>100</v>
      </c>
      <c r="F145" s="34">
        <v>100</v>
      </c>
      <c r="G145" s="34">
        <v>100</v>
      </c>
      <c r="H145" s="34">
        <v>100</v>
      </c>
      <c r="I145" s="34">
        <v>100</v>
      </c>
      <c r="J145" s="34">
        <v>100</v>
      </c>
      <c r="K145" s="34">
        <v>66.67</v>
      </c>
      <c r="L145" s="34">
        <v>100</v>
      </c>
      <c r="M145" s="34">
        <v>100</v>
      </c>
      <c r="N145" s="34">
        <v>100</v>
      </c>
      <c r="O145" s="34">
        <v>100</v>
      </c>
      <c r="P145" s="34"/>
      <c r="Q145" s="34">
        <v>100</v>
      </c>
      <c r="R145" s="34">
        <v>1033.33</v>
      </c>
      <c r="S145" s="34">
        <v>100</v>
      </c>
      <c r="T145" s="34">
        <v>100</v>
      </c>
      <c r="U145" s="34">
        <v>66.67</v>
      </c>
      <c r="V145" s="34">
        <v>100</v>
      </c>
      <c r="W145" s="34">
        <v>100</v>
      </c>
      <c r="X145" s="34">
        <v>100</v>
      </c>
      <c r="Y145" s="34">
        <v>100</v>
      </c>
      <c r="Z145" s="34">
        <v>100</v>
      </c>
      <c r="AA145" s="34">
        <v>100</v>
      </c>
      <c r="AB145" s="36"/>
      <c r="AC145" s="36"/>
      <c r="AD145" s="36">
        <v>55</v>
      </c>
      <c r="AE145" s="36">
        <v>51</v>
      </c>
      <c r="AF145" s="36">
        <v>48</v>
      </c>
      <c r="AG145" s="36">
        <v>46</v>
      </c>
      <c r="AH145" s="36">
        <v>45</v>
      </c>
      <c r="AI145" s="36">
        <v>40</v>
      </c>
      <c r="AJ145" s="36">
        <v>53</v>
      </c>
      <c r="AK145" s="36">
        <v>51</v>
      </c>
      <c r="AL145" s="36">
        <v>46</v>
      </c>
      <c r="AM145" s="36">
        <v>51</v>
      </c>
      <c r="AN145" s="36"/>
      <c r="AO145" s="36">
        <v>322</v>
      </c>
      <c r="AP145" s="36">
        <v>54</v>
      </c>
      <c r="AQ145" s="36">
        <v>49</v>
      </c>
      <c r="AR145" s="36">
        <v>45</v>
      </c>
      <c r="AS145" s="36">
        <v>44</v>
      </c>
      <c r="AT145" s="36">
        <v>44</v>
      </c>
      <c r="AU145" s="36">
        <v>38</v>
      </c>
      <c r="AV145" s="36">
        <v>49</v>
      </c>
      <c r="AW145" s="36">
        <v>48</v>
      </c>
      <c r="AX145" s="36">
        <v>47</v>
      </c>
      <c r="AY145" s="36">
        <v>46</v>
      </c>
      <c r="AZ145" s="36"/>
      <c r="BA145" s="36">
        <v>10</v>
      </c>
      <c r="BB145" s="36">
        <v>14</v>
      </c>
      <c r="BC145" s="36">
        <v>11</v>
      </c>
      <c r="BD145" s="36">
        <v>7</v>
      </c>
      <c r="BE145" s="36">
        <v>6</v>
      </c>
      <c r="BF145" s="36">
        <v>9</v>
      </c>
      <c r="BG145" s="36">
        <v>9</v>
      </c>
      <c r="BH145" s="36">
        <v>29</v>
      </c>
      <c r="BI145" s="36">
        <v>10</v>
      </c>
      <c r="BJ145" s="36">
        <v>14</v>
      </c>
      <c r="BK145" s="36">
        <v>10</v>
      </c>
      <c r="BL145" s="36"/>
      <c r="BM145" s="36">
        <v>4</v>
      </c>
      <c r="BN145" s="36">
        <v>9</v>
      </c>
      <c r="BO145" s="36">
        <v>9</v>
      </c>
      <c r="BP145" s="36">
        <v>18</v>
      </c>
      <c r="BQ145" s="36">
        <v>6</v>
      </c>
      <c r="BR145" s="36">
        <v>7</v>
      </c>
      <c r="BS145" s="36">
        <v>12</v>
      </c>
      <c r="BT145" s="36">
        <v>29</v>
      </c>
      <c r="BU145" s="36">
        <v>5</v>
      </c>
      <c r="BV145" s="36">
        <v>16</v>
      </c>
      <c r="BW145" s="36">
        <v>6</v>
      </c>
      <c r="BX145" s="36"/>
      <c r="BY145" s="36">
        <v>3</v>
      </c>
      <c r="BZ145" s="36">
        <v>6</v>
      </c>
      <c r="CA145" s="36">
        <v>6</v>
      </c>
      <c r="CB145" s="36">
        <v>4</v>
      </c>
      <c r="CC145" s="36">
        <v>2</v>
      </c>
      <c r="CD145" s="36">
        <v>3</v>
      </c>
      <c r="CE145" s="36">
        <v>3</v>
      </c>
      <c r="CF145" s="36">
        <v>11</v>
      </c>
      <c r="CG145" s="36">
        <v>3</v>
      </c>
      <c r="CH145" s="36">
        <v>9</v>
      </c>
      <c r="CI145" s="36">
        <v>4</v>
      </c>
      <c r="CK145" s="4" t="b">
        <f t="shared" si="2"/>
        <v>0</v>
      </c>
    </row>
    <row r="146" spans="1:89" ht="60" customHeight="1">
      <c r="A146" s="32" t="s">
        <v>87</v>
      </c>
      <c r="B146" s="32" t="s">
        <v>188</v>
      </c>
      <c r="C146" s="32" t="s">
        <v>288</v>
      </c>
      <c r="D146" s="34"/>
      <c r="E146" s="34">
        <v>77.78</v>
      </c>
      <c r="F146" s="34">
        <v>100</v>
      </c>
      <c r="G146" s="34">
        <v>94.12</v>
      </c>
      <c r="H146" s="34">
        <v>105.26</v>
      </c>
      <c r="I146" s="34">
        <v>100</v>
      </c>
      <c r="J146" s="34">
        <v>100</v>
      </c>
      <c r="K146" s="34">
        <v>77.78</v>
      </c>
      <c r="L146" s="34">
        <v>81.25</v>
      </c>
      <c r="M146" s="34">
        <v>100</v>
      </c>
      <c r="N146" s="34">
        <v>100</v>
      </c>
      <c r="O146" s="34">
        <v>100</v>
      </c>
      <c r="P146" s="34"/>
      <c r="Q146" s="34"/>
      <c r="R146" s="34"/>
      <c r="S146" s="34"/>
      <c r="T146" s="34"/>
      <c r="U146" s="34"/>
      <c r="V146" s="34"/>
      <c r="W146" s="34">
        <v>25</v>
      </c>
      <c r="X146" s="34">
        <v>25</v>
      </c>
      <c r="Y146" s="34"/>
      <c r="Z146" s="34"/>
      <c r="AA146" s="34"/>
      <c r="AB146" s="36"/>
      <c r="AC146" s="36">
        <v>89</v>
      </c>
      <c r="AD146" s="36">
        <v>88</v>
      </c>
      <c r="AE146" s="36">
        <v>115</v>
      </c>
      <c r="AF146" s="36">
        <v>125</v>
      </c>
      <c r="AG146" s="36">
        <v>123</v>
      </c>
      <c r="AH146" s="36">
        <v>99</v>
      </c>
      <c r="AI146" s="36">
        <v>85</v>
      </c>
      <c r="AJ146" s="36">
        <v>69</v>
      </c>
      <c r="AK146" s="36">
        <v>75</v>
      </c>
      <c r="AL146" s="36">
        <v>106</v>
      </c>
      <c r="AM146" s="36">
        <v>98</v>
      </c>
      <c r="AN146" s="36"/>
      <c r="AO146" s="36">
        <v>48</v>
      </c>
      <c r="AP146" s="36">
        <v>83</v>
      </c>
      <c r="AQ146" s="36">
        <v>92</v>
      </c>
      <c r="AR146" s="36">
        <v>104</v>
      </c>
      <c r="AS146" s="36">
        <v>81</v>
      </c>
      <c r="AT146" s="36">
        <v>82</v>
      </c>
      <c r="AU146" s="36">
        <v>119</v>
      </c>
      <c r="AV146" s="36">
        <v>87</v>
      </c>
      <c r="AW146" s="36">
        <v>67</v>
      </c>
      <c r="AX146" s="36">
        <v>74</v>
      </c>
      <c r="AY146" s="36">
        <v>46</v>
      </c>
      <c r="AZ146" s="36"/>
      <c r="BA146" s="36">
        <v>28</v>
      </c>
      <c r="BB146" s="36">
        <v>34</v>
      </c>
      <c r="BC146" s="36">
        <v>45</v>
      </c>
      <c r="BD146" s="36">
        <v>36</v>
      </c>
      <c r="BE146" s="36">
        <v>51</v>
      </c>
      <c r="BF146" s="36">
        <v>46</v>
      </c>
      <c r="BG146" s="36">
        <v>46</v>
      </c>
      <c r="BH146" s="36">
        <v>49</v>
      </c>
      <c r="BI146" s="36">
        <v>45</v>
      </c>
      <c r="BJ146" s="36">
        <v>165</v>
      </c>
      <c r="BK146" s="36">
        <v>40</v>
      </c>
      <c r="BL146" s="36"/>
      <c r="BM146" s="36">
        <v>10</v>
      </c>
      <c r="BN146" s="36">
        <v>15</v>
      </c>
      <c r="BO146" s="36">
        <v>18</v>
      </c>
      <c r="BP146" s="36">
        <v>17</v>
      </c>
      <c r="BQ146" s="36">
        <v>21</v>
      </c>
      <c r="BR146" s="36">
        <v>23</v>
      </c>
      <c r="BS146" s="36">
        <v>11</v>
      </c>
      <c r="BT146" s="36">
        <v>21</v>
      </c>
      <c r="BU146" s="36">
        <v>15</v>
      </c>
      <c r="BV146" s="36">
        <v>26</v>
      </c>
      <c r="BW146" s="36">
        <v>14</v>
      </c>
      <c r="BX146" s="36"/>
      <c r="BY146" s="36">
        <v>1</v>
      </c>
      <c r="BZ146" s="36"/>
      <c r="CA146" s="36"/>
      <c r="CB146" s="36">
        <v>4</v>
      </c>
      <c r="CC146" s="36"/>
      <c r="CD146" s="36"/>
      <c r="CE146" s="36">
        <v>1</v>
      </c>
      <c r="CF146" s="36"/>
      <c r="CG146" s="36">
        <v>4</v>
      </c>
      <c r="CH146" s="36">
        <v>2</v>
      </c>
      <c r="CI146" s="36">
        <v>2</v>
      </c>
      <c r="CK146" s="4" t="b">
        <f t="shared" si="2"/>
        <v>0</v>
      </c>
    </row>
    <row r="147" spans="1:89" ht="105" customHeight="1">
      <c r="A147" s="32" t="s">
        <v>124</v>
      </c>
      <c r="B147" s="32" t="s">
        <v>289</v>
      </c>
      <c r="C147" s="32" t="s">
        <v>290</v>
      </c>
      <c r="D147" s="34"/>
      <c r="E147" s="34"/>
      <c r="F147" s="34"/>
      <c r="G147" s="34"/>
      <c r="H147" s="34"/>
      <c r="I147" s="34"/>
      <c r="J147" s="34"/>
      <c r="K147" s="34"/>
      <c r="L147" s="34"/>
      <c r="M147" s="34"/>
      <c r="N147" s="34"/>
      <c r="O147" s="34"/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  <c r="AA147" s="34"/>
      <c r="AB147" s="36"/>
      <c r="AC147" s="36"/>
      <c r="AD147" s="36"/>
      <c r="AE147" s="36"/>
      <c r="AF147" s="36"/>
      <c r="AG147" s="36"/>
      <c r="AH147" s="36"/>
      <c r="AI147" s="36"/>
      <c r="AJ147" s="36"/>
      <c r="AK147" s="36"/>
      <c r="AL147" s="36"/>
      <c r="AM147" s="36"/>
      <c r="AN147" s="36"/>
      <c r="AO147" s="36"/>
      <c r="AP147" s="36"/>
      <c r="AQ147" s="36"/>
      <c r="AR147" s="36"/>
      <c r="AS147" s="36"/>
      <c r="AT147" s="36"/>
      <c r="AU147" s="36"/>
      <c r="AV147" s="36"/>
      <c r="AW147" s="36"/>
      <c r="AX147" s="36"/>
      <c r="AY147" s="36"/>
      <c r="AZ147" s="36"/>
      <c r="BA147" s="36"/>
      <c r="BB147" s="36"/>
      <c r="BC147" s="36"/>
      <c r="BD147" s="36"/>
      <c r="BE147" s="36"/>
      <c r="BF147" s="36"/>
      <c r="BG147" s="36">
        <v>7</v>
      </c>
      <c r="BH147" s="36">
        <v>2</v>
      </c>
      <c r="BI147" s="36"/>
      <c r="BJ147" s="36">
        <v>3</v>
      </c>
      <c r="BK147" s="36"/>
      <c r="BL147" s="36"/>
      <c r="BM147" s="36"/>
      <c r="BN147" s="36"/>
      <c r="BO147" s="36"/>
      <c r="BP147" s="36"/>
      <c r="BQ147" s="36"/>
      <c r="BR147" s="36"/>
      <c r="BS147" s="36"/>
      <c r="BT147" s="36">
        <v>3</v>
      </c>
      <c r="BU147" s="36"/>
      <c r="BV147" s="36">
        <v>1</v>
      </c>
      <c r="BW147" s="36"/>
      <c r="BX147" s="36"/>
      <c r="BY147" s="36"/>
      <c r="BZ147" s="36"/>
      <c r="CA147" s="36"/>
      <c r="CB147" s="36"/>
      <c r="CC147" s="36"/>
      <c r="CD147" s="36"/>
      <c r="CE147" s="36"/>
      <c r="CF147" s="36"/>
      <c r="CG147" s="36"/>
      <c r="CH147" s="36"/>
      <c r="CI147" s="36"/>
      <c r="CK147" s="4" t="b">
        <f t="shared" si="2"/>
        <v>0</v>
      </c>
    </row>
    <row r="148" spans="1:89" ht="90" customHeight="1">
      <c r="A148" s="32" t="s">
        <v>124</v>
      </c>
      <c r="B148" s="32" t="s">
        <v>289</v>
      </c>
      <c r="C148" s="32" t="s">
        <v>291</v>
      </c>
      <c r="D148" s="34"/>
      <c r="E148" s="34">
        <v>37.5</v>
      </c>
      <c r="F148" s="34">
        <v>75</v>
      </c>
      <c r="G148" s="34"/>
      <c r="H148" s="34">
        <v>100</v>
      </c>
      <c r="I148" s="34">
        <v>100</v>
      </c>
      <c r="J148" s="34">
        <v>100</v>
      </c>
      <c r="K148" s="34">
        <v>100</v>
      </c>
      <c r="L148" s="34">
        <v>44.44</v>
      </c>
      <c r="M148" s="34">
        <v>100</v>
      </c>
      <c r="N148" s="34">
        <v>100</v>
      </c>
      <c r="O148" s="34">
        <v>100</v>
      </c>
      <c r="P148" s="34"/>
      <c r="Q148" s="34"/>
      <c r="R148" s="34"/>
      <c r="S148" s="34"/>
      <c r="T148" s="34"/>
      <c r="U148" s="34"/>
      <c r="V148" s="34"/>
      <c r="W148" s="34"/>
      <c r="X148" s="34"/>
      <c r="Y148" s="34"/>
      <c r="Z148" s="34"/>
      <c r="AA148" s="34"/>
      <c r="AB148" s="36"/>
      <c r="AC148" s="36">
        <v>73</v>
      </c>
      <c r="AD148" s="36">
        <v>69</v>
      </c>
      <c r="AE148" s="36"/>
      <c r="AF148" s="36">
        <v>127</v>
      </c>
      <c r="AG148" s="36">
        <v>120</v>
      </c>
      <c r="AH148" s="36">
        <v>149</v>
      </c>
      <c r="AI148" s="36">
        <v>77</v>
      </c>
      <c r="AJ148" s="36">
        <v>64</v>
      </c>
      <c r="AK148" s="36">
        <v>100</v>
      </c>
      <c r="AL148" s="36">
        <v>92</v>
      </c>
      <c r="AM148" s="36">
        <v>70</v>
      </c>
      <c r="AN148" s="36"/>
      <c r="AO148" s="36">
        <v>1322</v>
      </c>
      <c r="AP148" s="36">
        <v>52</v>
      </c>
      <c r="AQ148" s="36"/>
      <c r="AR148" s="36">
        <v>74</v>
      </c>
      <c r="AS148" s="36">
        <v>80</v>
      </c>
      <c r="AT148" s="36">
        <v>111</v>
      </c>
      <c r="AU148" s="36">
        <v>67</v>
      </c>
      <c r="AV148" s="36">
        <v>80</v>
      </c>
      <c r="AW148" s="36">
        <v>93</v>
      </c>
      <c r="AX148" s="36">
        <v>92</v>
      </c>
      <c r="AY148" s="36">
        <v>77</v>
      </c>
      <c r="AZ148" s="36"/>
      <c r="BA148" s="36">
        <v>108</v>
      </c>
      <c r="BB148" s="36">
        <v>166</v>
      </c>
      <c r="BC148" s="36">
        <v>198</v>
      </c>
      <c r="BD148" s="36">
        <v>136</v>
      </c>
      <c r="BE148" s="36">
        <v>112</v>
      </c>
      <c r="BF148" s="36">
        <v>159</v>
      </c>
      <c r="BG148" s="36">
        <v>141</v>
      </c>
      <c r="BH148" s="36">
        <v>131</v>
      </c>
      <c r="BI148" s="36">
        <v>171</v>
      </c>
      <c r="BJ148" s="36">
        <v>203</v>
      </c>
      <c r="BK148" s="36">
        <v>195</v>
      </c>
      <c r="BL148" s="36"/>
      <c r="BM148" s="36">
        <v>1</v>
      </c>
      <c r="BN148" s="36">
        <v>7</v>
      </c>
      <c r="BO148" s="36">
        <v>36</v>
      </c>
      <c r="BP148" s="36">
        <v>64</v>
      </c>
      <c r="BQ148" s="36">
        <v>55</v>
      </c>
      <c r="BR148" s="36">
        <v>51</v>
      </c>
      <c r="BS148" s="36">
        <v>64</v>
      </c>
      <c r="BT148" s="36">
        <v>49</v>
      </c>
      <c r="BU148" s="36">
        <v>71</v>
      </c>
      <c r="BV148" s="36">
        <v>106</v>
      </c>
      <c r="BW148" s="36">
        <v>49</v>
      </c>
      <c r="BX148" s="36"/>
      <c r="BY148" s="36"/>
      <c r="BZ148" s="36"/>
      <c r="CA148" s="36"/>
      <c r="CB148" s="36">
        <v>4</v>
      </c>
      <c r="CC148" s="36">
        <v>9</v>
      </c>
      <c r="CD148" s="36">
        <v>7</v>
      </c>
      <c r="CE148" s="36">
        <v>4</v>
      </c>
      <c r="CF148" s="36">
        <v>9</v>
      </c>
      <c r="CG148" s="36">
        <v>10</v>
      </c>
      <c r="CH148" s="36">
        <v>35</v>
      </c>
      <c r="CI148" s="36">
        <v>8</v>
      </c>
      <c r="CK148" s="4" t="b">
        <f t="shared" si="2"/>
        <v>0</v>
      </c>
    </row>
    <row r="149" spans="1:89" ht="75" customHeight="1">
      <c r="A149" s="32" t="s">
        <v>124</v>
      </c>
      <c r="B149" s="32" t="s">
        <v>268</v>
      </c>
      <c r="C149" s="32" t="s">
        <v>292</v>
      </c>
      <c r="D149" s="34"/>
      <c r="E149" s="34">
        <v>50</v>
      </c>
      <c r="F149" s="34">
        <v>100</v>
      </c>
      <c r="G149" s="34">
        <v>100</v>
      </c>
      <c r="H149" s="34">
        <v>100</v>
      </c>
      <c r="I149" s="34">
        <v>100</v>
      </c>
      <c r="J149" s="34">
        <v>100</v>
      </c>
      <c r="K149" s="34">
        <v>100</v>
      </c>
      <c r="L149" s="34">
        <v>75</v>
      </c>
      <c r="M149" s="34">
        <v>100</v>
      </c>
      <c r="N149" s="34">
        <v>100</v>
      </c>
      <c r="O149" s="34">
        <v>100</v>
      </c>
      <c r="P149" s="34"/>
      <c r="Q149" s="34">
        <v>50</v>
      </c>
      <c r="R149" s="34">
        <v>100</v>
      </c>
      <c r="S149" s="34">
        <v>100</v>
      </c>
      <c r="T149" s="34">
        <v>100</v>
      </c>
      <c r="U149" s="34">
        <v>100</v>
      </c>
      <c r="V149" s="34">
        <v>100</v>
      </c>
      <c r="W149" s="34">
        <v>100</v>
      </c>
      <c r="X149" s="34">
        <v>100</v>
      </c>
      <c r="Y149" s="34">
        <v>100</v>
      </c>
      <c r="Z149" s="34">
        <v>100</v>
      </c>
      <c r="AA149" s="34">
        <v>100</v>
      </c>
      <c r="AB149" s="36"/>
      <c r="AC149" s="36">
        <v>6</v>
      </c>
      <c r="AD149" s="36">
        <v>33</v>
      </c>
      <c r="AE149" s="36">
        <v>36</v>
      </c>
      <c r="AF149" s="36">
        <v>37</v>
      </c>
      <c r="AG149" s="36">
        <v>32</v>
      </c>
      <c r="AH149" s="36">
        <v>48</v>
      </c>
      <c r="AI149" s="36">
        <v>37</v>
      </c>
      <c r="AJ149" s="36">
        <v>34</v>
      </c>
      <c r="AK149" s="36">
        <v>40</v>
      </c>
      <c r="AL149" s="36">
        <v>48</v>
      </c>
      <c r="AM149" s="36">
        <v>48</v>
      </c>
      <c r="AN149" s="36"/>
      <c r="AO149" s="36">
        <v>10</v>
      </c>
      <c r="AP149" s="36">
        <v>32</v>
      </c>
      <c r="AQ149" s="36">
        <v>38</v>
      </c>
      <c r="AR149" s="36">
        <v>33</v>
      </c>
      <c r="AS149" s="36">
        <v>29</v>
      </c>
      <c r="AT149" s="36">
        <v>36</v>
      </c>
      <c r="AU149" s="36">
        <v>34</v>
      </c>
      <c r="AV149" s="36">
        <v>30</v>
      </c>
      <c r="AW149" s="36">
        <v>33</v>
      </c>
      <c r="AX149" s="36">
        <v>42</v>
      </c>
      <c r="AY149" s="36">
        <v>43</v>
      </c>
      <c r="AZ149" s="36"/>
      <c r="BA149" s="36">
        <v>7</v>
      </c>
      <c r="BB149" s="36">
        <v>10</v>
      </c>
      <c r="BC149" s="36">
        <v>31</v>
      </c>
      <c r="BD149" s="36">
        <v>12</v>
      </c>
      <c r="BE149" s="36">
        <v>24</v>
      </c>
      <c r="BF149" s="36">
        <v>8</v>
      </c>
      <c r="BG149" s="36">
        <v>23</v>
      </c>
      <c r="BH149" s="36">
        <v>11</v>
      </c>
      <c r="BI149" s="36">
        <v>22</v>
      </c>
      <c r="BJ149" s="36">
        <v>19</v>
      </c>
      <c r="BK149" s="36">
        <v>15</v>
      </c>
      <c r="BL149" s="36"/>
      <c r="BM149" s="36">
        <v>4</v>
      </c>
      <c r="BN149" s="36">
        <v>7</v>
      </c>
      <c r="BO149" s="36">
        <v>6</v>
      </c>
      <c r="BP149" s="36">
        <v>7</v>
      </c>
      <c r="BQ149" s="36">
        <v>10</v>
      </c>
      <c r="BR149" s="36">
        <v>12</v>
      </c>
      <c r="BS149" s="36">
        <v>4</v>
      </c>
      <c r="BT149" s="36">
        <v>12</v>
      </c>
      <c r="BU149" s="36">
        <v>9</v>
      </c>
      <c r="BV149" s="36">
        <v>13</v>
      </c>
      <c r="BW149" s="36">
        <v>8</v>
      </c>
      <c r="BX149" s="36"/>
      <c r="BY149" s="36"/>
      <c r="BZ149" s="36">
        <v>1</v>
      </c>
      <c r="CA149" s="36">
        <v>1</v>
      </c>
      <c r="CB149" s="36">
        <v>3</v>
      </c>
      <c r="CC149" s="36">
        <v>2</v>
      </c>
      <c r="CD149" s="36"/>
      <c r="CE149" s="36">
        <v>1</v>
      </c>
      <c r="CF149" s="36">
        <v>2</v>
      </c>
      <c r="CG149" s="36"/>
      <c r="CH149" s="36">
        <v>2</v>
      </c>
      <c r="CI149" s="36">
        <v>1</v>
      </c>
      <c r="CK149" s="4" t="b">
        <f t="shared" si="2"/>
        <v>0</v>
      </c>
    </row>
    <row r="150" spans="1:89" ht="90" customHeight="1">
      <c r="A150" s="32" t="s">
        <v>109</v>
      </c>
      <c r="B150" s="32" t="s">
        <v>274</v>
      </c>
      <c r="C150" s="32" t="s">
        <v>293</v>
      </c>
      <c r="D150" s="34"/>
      <c r="E150" s="34">
        <v>100</v>
      </c>
      <c r="F150" s="34">
        <v>100</v>
      </c>
      <c r="G150" s="34">
        <v>100</v>
      </c>
      <c r="H150" s="34">
        <v>100</v>
      </c>
      <c r="I150" s="34">
        <v>100</v>
      </c>
      <c r="J150" s="34">
        <v>100</v>
      </c>
      <c r="K150" s="34">
        <v>100</v>
      </c>
      <c r="L150" s="34">
        <v>100</v>
      </c>
      <c r="M150" s="34">
        <v>100</v>
      </c>
      <c r="N150" s="34">
        <v>100</v>
      </c>
      <c r="O150" s="34"/>
      <c r="P150" s="34"/>
      <c r="Q150" s="34">
        <v>100</v>
      </c>
      <c r="R150" s="34">
        <v>100</v>
      </c>
      <c r="S150" s="34">
        <v>100</v>
      </c>
      <c r="T150" s="34">
        <v>100</v>
      </c>
      <c r="U150" s="34">
        <v>100</v>
      </c>
      <c r="V150" s="34">
        <v>100</v>
      </c>
      <c r="W150" s="34">
        <v>100</v>
      </c>
      <c r="X150" s="34">
        <v>100</v>
      </c>
      <c r="Y150" s="34">
        <v>100</v>
      </c>
      <c r="Z150" s="34">
        <v>100</v>
      </c>
      <c r="AA150" s="34"/>
      <c r="AB150" s="36"/>
      <c r="AC150" s="36">
        <v>84</v>
      </c>
      <c r="AD150" s="36">
        <v>31</v>
      </c>
      <c r="AE150" s="36">
        <v>24</v>
      </c>
      <c r="AF150" s="36">
        <v>14</v>
      </c>
      <c r="AG150" s="36">
        <v>20</v>
      </c>
      <c r="AH150" s="36">
        <v>24</v>
      </c>
      <c r="AI150" s="36">
        <v>25</v>
      </c>
      <c r="AJ150" s="36">
        <v>6</v>
      </c>
      <c r="AK150" s="36">
        <v>23</v>
      </c>
      <c r="AL150" s="36">
        <v>18</v>
      </c>
      <c r="AM150" s="36"/>
      <c r="AN150" s="36"/>
      <c r="AO150" s="36">
        <v>70</v>
      </c>
      <c r="AP150" s="36">
        <v>30</v>
      </c>
      <c r="AQ150" s="36">
        <v>31</v>
      </c>
      <c r="AR150" s="36">
        <v>42</v>
      </c>
      <c r="AS150" s="36">
        <v>38</v>
      </c>
      <c r="AT150" s="36">
        <v>27</v>
      </c>
      <c r="AU150" s="36">
        <v>13</v>
      </c>
      <c r="AV150" s="36">
        <v>11</v>
      </c>
      <c r="AW150" s="36">
        <v>16</v>
      </c>
      <c r="AX150" s="36">
        <v>28</v>
      </c>
      <c r="AY150" s="36"/>
      <c r="AZ150" s="36"/>
      <c r="BA150" s="36">
        <v>16</v>
      </c>
      <c r="BB150" s="36">
        <v>10</v>
      </c>
      <c r="BC150" s="36">
        <v>9</v>
      </c>
      <c r="BD150" s="36">
        <v>5</v>
      </c>
      <c r="BE150" s="36">
        <v>7</v>
      </c>
      <c r="BF150" s="36">
        <v>20</v>
      </c>
      <c r="BG150" s="36">
        <v>34</v>
      </c>
      <c r="BH150" s="36">
        <v>4</v>
      </c>
      <c r="BI150" s="36">
        <v>12</v>
      </c>
      <c r="BJ150" s="36"/>
      <c r="BK150" s="36">
        <v>1</v>
      </c>
      <c r="BL150" s="36"/>
      <c r="BM150" s="36">
        <v>7</v>
      </c>
      <c r="BN150" s="36">
        <v>1</v>
      </c>
      <c r="BO150" s="36">
        <v>2</v>
      </c>
      <c r="BP150" s="36">
        <v>4</v>
      </c>
      <c r="BQ150" s="36">
        <v>5</v>
      </c>
      <c r="BR150" s="36">
        <v>1</v>
      </c>
      <c r="BS150" s="36">
        <v>6</v>
      </c>
      <c r="BT150" s="36"/>
      <c r="BU150" s="36">
        <v>2</v>
      </c>
      <c r="BV150" s="36">
        <v>2</v>
      </c>
      <c r="BW150" s="36"/>
      <c r="BX150" s="36"/>
      <c r="BY150" s="36"/>
      <c r="BZ150" s="36"/>
      <c r="CA150" s="36"/>
      <c r="CB150" s="36">
        <v>1</v>
      </c>
      <c r="CC150" s="36"/>
      <c r="CD150" s="36"/>
      <c r="CE150" s="36"/>
      <c r="CF150" s="36">
        <v>20</v>
      </c>
      <c r="CG150" s="36">
        <v>2</v>
      </c>
      <c r="CH150" s="36">
        <v>2</v>
      </c>
      <c r="CI150" s="36"/>
      <c r="CK150" s="4" t="b">
        <f t="shared" si="2"/>
        <v>0</v>
      </c>
    </row>
    <row r="151" spans="1:89" ht="75" customHeight="1">
      <c r="A151" s="32" t="s">
        <v>87</v>
      </c>
      <c r="B151" s="32" t="s">
        <v>232</v>
      </c>
      <c r="C151" s="32" t="s">
        <v>294</v>
      </c>
      <c r="D151" s="34"/>
      <c r="E151" s="34"/>
      <c r="F151" s="34">
        <v>95.24</v>
      </c>
      <c r="G151" s="34"/>
      <c r="H151" s="34"/>
      <c r="I151" s="34"/>
      <c r="J151" s="34"/>
      <c r="K151" s="34"/>
      <c r="L151" s="34"/>
      <c r="M151" s="34">
        <v>90.91</v>
      </c>
      <c r="N151" s="34">
        <v>100</v>
      </c>
      <c r="O151" s="34">
        <v>90.48</v>
      </c>
      <c r="P151" s="34"/>
      <c r="Q151" s="34"/>
      <c r="R151" s="34"/>
      <c r="S151" s="34"/>
      <c r="T151" s="34"/>
      <c r="U151" s="34"/>
      <c r="V151" s="34"/>
      <c r="W151" s="34"/>
      <c r="X151" s="34"/>
      <c r="Y151" s="34"/>
      <c r="Z151" s="34">
        <v>100</v>
      </c>
      <c r="AA151" s="34"/>
      <c r="AB151" s="36"/>
      <c r="AC151" s="36"/>
      <c r="AD151" s="36">
        <v>137</v>
      </c>
      <c r="AE151" s="36"/>
      <c r="AF151" s="36"/>
      <c r="AG151" s="36">
        <v>24</v>
      </c>
      <c r="AH151" s="36">
        <v>20</v>
      </c>
      <c r="AI151" s="36">
        <v>16</v>
      </c>
      <c r="AJ151" s="36">
        <v>96</v>
      </c>
      <c r="AK151" s="36">
        <v>99</v>
      </c>
      <c r="AL151" s="36">
        <v>126</v>
      </c>
      <c r="AM151" s="36">
        <v>134</v>
      </c>
      <c r="AN151" s="36"/>
      <c r="AO151" s="36"/>
      <c r="AP151" s="36">
        <v>182</v>
      </c>
      <c r="AQ151" s="36"/>
      <c r="AR151" s="36"/>
      <c r="AS151" s="36">
        <v>18</v>
      </c>
      <c r="AT151" s="36">
        <v>10</v>
      </c>
      <c r="AU151" s="36">
        <v>11</v>
      </c>
      <c r="AV151" s="36">
        <v>109</v>
      </c>
      <c r="AW151" s="36">
        <v>110</v>
      </c>
      <c r="AX151" s="36">
        <v>91</v>
      </c>
      <c r="AY151" s="36">
        <v>94</v>
      </c>
      <c r="AZ151" s="36"/>
      <c r="BA151" s="36"/>
      <c r="BB151" s="36">
        <v>170</v>
      </c>
      <c r="BC151" s="36"/>
      <c r="BD151" s="36"/>
      <c r="BE151" s="36"/>
      <c r="BF151" s="36"/>
      <c r="BG151" s="36"/>
      <c r="BH151" s="36">
        <v>114</v>
      </c>
      <c r="BI151" s="36">
        <v>90</v>
      </c>
      <c r="BJ151" s="36">
        <v>102</v>
      </c>
      <c r="BK151" s="36">
        <v>91</v>
      </c>
      <c r="BL151" s="36"/>
      <c r="BM151" s="36"/>
      <c r="BN151" s="36">
        <v>118</v>
      </c>
      <c r="BO151" s="36"/>
      <c r="BP151" s="36"/>
      <c r="BQ151" s="36"/>
      <c r="BR151" s="36"/>
      <c r="BS151" s="36"/>
      <c r="BT151" s="36">
        <v>81</v>
      </c>
      <c r="BU151" s="36">
        <v>134</v>
      </c>
      <c r="BV151" s="36">
        <v>88</v>
      </c>
      <c r="BW151" s="36">
        <v>81</v>
      </c>
      <c r="BX151" s="36"/>
      <c r="BY151" s="36"/>
      <c r="BZ151" s="36">
        <v>8</v>
      </c>
      <c r="CA151" s="36"/>
      <c r="CB151" s="36"/>
      <c r="CC151" s="36"/>
      <c r="CD151" s="36"/>
      <c r="CE151" s="36"/>
      <c r="CF151" s="36">
        <v>1</v>
      </c>
      <c r="CG151" s="36">
        <v>31</v>
      </c>
      <c r="CH151" s="36">
        <v>17</v>
      </c>
      <c r="CI151" s="36">
        <v>17</v>
      </c>
      <c r="CK151" s="4" t="b">
        <f t="shared" si="2"/>
        <v>0</v>
      </c>
    </row>
    <row r="152" spans="1:89" ht="90" customHeight="1">
      <c r="A152" s="32" t="s">
        <v>87</v>
      </c>
      <c r="B152" s="32" t="s">
        <v>232</v>
      </c>
      <c r="C152" s="32" t="s">
        <v>295</v>
      </c>
      <c r="D152" s="34"/>
      <c r="E152" s="34">
        <v>50</v>
      </c>
      <c r="F152" s="34">
        <v>100</v>
      </c>
      <c r="G152" s="34">
        <v>100</v>
      </c>
      <c r="H152" s="34">
        <v>100</v>
      </c>
      <c r="I152" s="34">
        <v>100</v>
      </c>
      <c r="J152" s="34">
        <v>100</v>
      </c>
      <c r="K152" s="34"/>
      <c r="L152" s="34">
        <v>100</v>
      </c>
      <c r="M152" s="34">
        <v>100</v>
      </c>
      <c r="N152" s="34">
        <v>100</v>
      </c>
      <c r="O152" s="34">
        <v>100</v>
      </c>
      <c r="P152" s="34"/>
      <c r="Q152" s="34"/>
      <c r="R152" s="34"/>
      <c r="S152" s="34"/>
      <c r="T152" s="34"/>
      <c r="U152" s="34"/>
      <c r="V152" s="34"/>
      <c r="W152" s="34"/>
      <c r="X152" s="34"/>
      <c r="Y152" s="34"/>
      <c r="Z152" s="34"/>
      <c r="AA152" s="34"/>
      <c r="AB152" s="36">
        <v>14</v>
      </c>
      <c r="AC152" s="36">
        <v>4</v>
      </c>
      <c r="AD152" s="36">
        <v>10</v>
      </c>
      <c r="AE152" s="36">
        <v>6</v>
      </c>
      <c r="AF152" s="36">
        <v>12</v>
      </c>
      <c r="AG152" s="36">
        <v>15</v>
      </c>
      <c r="AH152" s="36">
        <v>15</v>
      </c>
      <c r="AI152" s="36">
        <v>16</v>
      </c>
      <c r="AJ152" s="36">
        <v>5</v>
      </c>
      <c r="AK152" s="36">
        <v>17</v>
      </c>
      <c r="AL152" s="36">
        <v>18</v>
      </c>
      <c r="AM152" s="36">
        <v>13</v>
      </c>
      <c r="AN152" s="36">
        <v>25</v>
      </c>
      <c r="AO152" s="36"/>
      <c r="AP152" s="36">
        <v>8</v>
      </c>
      <c r="AQ152" s="36">
        <v>7</v>
      </c>
      <c r="AR152" s="36">
        <v>18</v>
      </c>
      <c r="AS152" s="36">
        <v>14</v>
      </c>
      <c r="AT152" s="36">
        <v>18</v>
      </c>
      <c r="AU152" s="36">
        <v>13</v>
      </c>
      <c r="AV152" s="36">
        <v>11</v>
      </c>
      <c r="AW152" s="36">
        <v>20</v>
      </c>
      <c r="AX152" s="36">
        <v>15</v>
      </c>
      <c r="AY152" s="36">
        <v>15</v>
      </c>
      <c r="AZ152" s="36"/>
      <c r="BA152" s="36">
        <v>7</v>
      </c>
      <c r="BB152" s="36">
        <v>19</v>
      </c>
      <c r="BC152" s="36">
        <v>13</v>
      </c>
      <c r="BD152" s="36">
        <v>18</v>
      </c>
      <c r="BE152" s="36">
        <v>28</v>
      </c>
      <c r="BF152" s="36">
        <v>7</v>
      </c>
      <c r="BG152" s="36"/>
      <c r="BH152" s="36">
        <v>19</v>
      </c>
      <c r="BI152" s="36">
        <v>14</v>
      </c>
      <c r="BJ152" s="36">
        <v>8</v>
      </c>
      <c r="BK152" s="36">
        <v>18</v>
      </c>
      <c r="BL152" s="36"/>
      <c r="BM152" s="36"/>
      <c r="BN152" s="36">
        <v>1</v>
      </c>
      <c r="BO152" s="36">
        <v>4</v>
      </c>
      <c r="BP152" s="36">
        <v>1</v>
      </c>
      <c r="BQ152" s="36"/>
      <c r="BR152" s="36">
        <v>2</v>
      </c>
      <c r="BS152" s="36"/>
      <c r="BT152" s="36">
        <v>2</v>
      </c>
      <c r="BU152" s="36">
        <v>4</v>
      </c>
      <c r="BV152" s="36">
        <v>6</v>
      </c>
      <c r="BW152" s="36">
        <v>18</v>
      </c>
      <c r="BX152" s="36"/>
      <c r="BY152" s="36"/>
      <c r="BZ152" s="36"/>
      <c r="CA152" s="36"/>
      <c r="CB152" s="36"/>
      <c r="CC152" s="36"/>
      <c r="CD152" s="36"/>
      <c r="CE152" s="36"/>
      <c r="CF152" s="36"/>
      <c r="CG152" s="36"/>
      <c r="CH152" s="36"/>
      <c r="CI152" s="36"/>
      <c r="CK152" s="4" t="b">
        <f t="shared" si="2"/>
        <v>0</v>
      </c>
    </row>
    <row r="153" spans="1:89" ht="75" customHeight="1">
      <c r="A153" s="32" t="s">
        <v>124</v>
      </c>
      <c r="B153" s="32" t="s">
        <v>133</v>
      </c>
      <c r="C153" s="32" t="s">
        <v>296</v>
      </c>
      <c r="D153" s="34"/>
      <c r="E153" s="34"/>
      <c r="F153" s="34"/>
      <c r="G153" s="34"/>
      <c r="H153" s="34"/>
      <c r="I153" s="34"/>
      <c r="J153" s="34"/>
      <c r="K153" s="34"/>
      <c r="L153" s="34"/>
      <c r="M153" s="34"/>
      <c r="N153" s="34"/>
      <c r="O153" s="34"/>
      <c r="P153" s="34"/>
      <c r="Q153" s="34"/>
      <c r="R153" s="34"/>
      <c r="S153" s="34"/>
      <c r="T153" s="34"/>
      <c r="U153" s="34"/>
      <c r="V153" s="34"/>
      <c r="W153" s="34"/>
      <c r="X153" s="34"/>
      <c r="Y153" s="34"/>
      <c r="Z153" s="34"/>
      <c r="AA153" s="34"/>
      <c r="AB153" s="36"/>
      <c r="AC153" s="36"/>
      <c r="AD153" s="36"/>
      <c r="AE153" s="36"/>
      <c r="AF153" s="36"/>
      <c r="AG153" s="36"/>
      <c r="AH153" s="36"/>
      <c r="AI153" s="36"/>
      <c r="AJ153" s="36"/>
      <c r="AK153" s="36"/>
      <c r="AL153" s="36"/>
      <c r="AM153" s="36"/>
      <c r="AN153" s="36"/>
      <c r="AO153" s="36"/>
      <c r="AP153" s="36"/>
      <c r="AQ153" s="36"/>
      <c r="AR153" s="36"/>
      <c r="AS153" s="36"/>
      <c r="AT153" s="36"/>
      <c r="AU153" s="36"/>
      <c r="AV153" s="36"/>
      <c r="AW153" s="36"/>
      <c r="AX153" s="36"/>
      <c r="AY153" s="36"/>
      <c r="AZ153" s="36"/>
      <c r="BA153" s="36"/>
      <c r="BB153" s="36"/>
      <c r="BC153" s="36">
        <v>8</v>
      </c>
      <c r="BD153" s="36">
        <v>13</v>
      </c>
      <c r="BE153" s="36"/>
      <c r="BF153" s="36"/>
      <c r="BG153" s="36"/>
      <c r="BH153" s="36"/>
      <c r="BI153" s="36"/>
      <c r="BJ153" s="36"/>
      <c r="BK153" s="36"/>
      <c r="BL153" s="36"/>
      <c r="BM153" s="36"/>
      <c r="BN153" s="36">
        <v>5</v>
      </c>
      <c r="BO153" s="36">
        <v>5</v>
      </c>
      <c r="BP153" s="36">
        <v>2</v>
      </c>
      <c r="BQ153" s="36"/>
      <c r="BR153" s="36"/>
      <c r="BS153" s="36"/>
      <c r="BT153" s="36"/>
      <c r="BU153" s="36"/>
      <c r="BV153" s="36"/>
      <c r="BW153" s="36"/>
      <c r="BX153" s="36"/>
      <c r="BY153" s="36"/>
      <c r="BZ153" s="36">
        <v>1</v>
      </c>
      <c r="CA153" s="36"/>
      <c r="CB153" s="36"/>
      <c r="CC153" s="36"/>
      <c r="CD153" s="36"/>
      <c r="CE153" s="36"/>
      <c r="CF153" s="36"/>
      <c r="CG153" s="36"/>
      <c r="CH153" s="36"/>
      <c r="CI153" s="36"/>
      <c r="CK153" s="4" t="b">
        <f t="shared" si="2"/>
        <v>0</v>
      </c>
    </row>
    <row r="154" spans="1:89" ht="60" customHeight="1">
      <c r="A154" s="32" t="s">
        <v>87</v>
      </c>
      <c r="B154" s="32" t="s">
        <v>155</v>
      </c>
      <c r="C154" s="32" t="s">
        <v>297</v>
      </c>
      <c r="D154" s="34"/>
      <c r="E154" s="34">
        <v>50</v>
      </c>
      <c r="F154" s="34">
        <v>100</v>
      </c>
      <c r="G154" s="34"/>
      <c r="H154" s="34">
        <v>100</v>
      </c>
      <c r="I154" s="34">
        <v>100</v>
      </c>
      <c r="J154" s="34">
        <v>125</v>
      </c>
      <c r="K154" s="34">
        <v>100</v>
      </c>
      <c r="L154" s="34">
        <v>100</v>
      </c>
      <c r="M154" s="34">
        <v>100</v>
      </c>
      <c r="N154" s="34">
        <v>100</v>
      </c>
      <c r="O154" s="34">
        <v>75</v>
      </c>
      <c r="P154" s="34"/>
      <c r="Q154" s="34"/>
      <c r="R154" s="34">
        <v>50</v>
      </c>
      <c r="S154" s="34"/>
      <c r="T154" s="34">
        <v>50</v>
      </c>
      <c r="U154" s="34">
        <v>50</v>
      </c>
      <c r="V154" s="34">
        <v>50</v>
      </c>
      <c r="W154" s="34">
        <v>50</v>
      </c>
      <c r="X154" s="34">
        <v>50</v>
      </c>
      <c r="Y154" s="34"/>
      <c r="Z154" s="34">
        <v>50</v>
      </c>
      <c r="AA154" s="34">
        <v>50</v>
      </c>
      <c r="AB154" s="36">
        <v>28</v>
      </c>
      <c r="AC154" s="36">
        <v>36</v>
      </c>
      <c r="AD154" s="36">
        <v>18</v>
      </c>
      <c r="AE154" s="36"/>
      <c r="AF154" s="36">
        <v>17</v>
      </c>
      <c r="AG154" s="36">
        <v>24</v>
      </c>
      <c r="AH154" s="36">
        <v>17</v>
      </c>
      <c r="AI154" s="36">
        <v>11</v>
      </c>
      <c r="AJ154" s="36">
        <v>18</v>
      </c>
      <c r="AK154" s="36">
        <v>14</v>
      </c>
      <c r="AL154" s="36">
        <v>17</v>
      </c>
      <c r="AM154" s="36">
        <v>9</v>
      </c>
      <c r="AN154" s="36">
        <v>18</v>
      </c>
      <c r="AO154" s="36">
        <v>11</v>
      </c>
      <c r="AP154" s="36">
        <v>20</v>
      </c>
      <c r="AQ154" s="36"/>
      <c r="AR154" s="36">
        <v>20</v>
      </c>
      <c r="AS154" s="36">
        <v>31</v>
      </c>
      <c r="AT154" s="36">
        <v>22</v>
      </c>
      <c r="AU154" s="36">
        <v>24</v>
      </c>
      <c r="AV154" s="36">
        <v>31</v>
      </c>
      <c r="AW154" s="36">
        <v>11</v>
      </c>
      <c r="AX154" s="36">
        <v>27</v>
      </c>
      <c r="AY154" s="36">
        <v>8</v>
      </c>
      <c r="AZ154" s="36"/>
      <c r="BA154" s="36">
        <v>6</v>
      </c>
      <c r="BB154" s="36">
        <v>14</v>
      </c>
      <c r="BC154" s="36"/>
      <c r="BD154" s="36">
        <v>14</v>
      </c>
      <c r="BE154" s="36">
        <v>8</v>
      </c>
      <c r="BF154" s="36">
        <v>6</v>
      </c>
      <c r="BG154" s="36">
        <v>16</v>
      </c>
      <c r="BH154" s="36"/>
      <c r="BI154" s="36">
        <v>7</v>
      </c>
      <c r="BJ154" s="36">
        <v>6</v>
      </c>
      <c r="BK154" s="36">
        <v>6</v>
      </c>
      <c r="BL154" s="36"/>
      <c r="BM154" s="36">
        <v>6</v>
      </c>
      <c r="BN154" s="36">
        <v>12</v>
      </c>
      <c r="BO154" s="36"/>
      <c r="BP154" s="36">
        <v>5</v>
      </c>
      <c r="BQ154" s="36">
        <v>2</v>
      </c>
      <c r="BR154" s="36">
        <v>2</v>
      </c>
      <c r="BS154" s="36">
        <v>5</v>
      </c>
      <c r="BT154" s="36">
        <v>7</v>
      </c>
      <c r="BU154" s="36">
        <v>6</v>
      </c>
      <c r="BV154" s="36">
        <v>5</v>
      </c>
      <c r="BW154" s="36">
        <v>2</v>
      </c>
      <c r="BX154" s="36"/>
      <c r="BY154" s="36">
        <v>6</v>
      </c>
      <c r="BZ154" s="36"/>
      <c r="CA154" s="36"/>
      <c r="CB154" s="36">
        <v>2</v>
      </c>
      <c r="CC154" s="36">
        <v>2</v>
      </c>
      <c r="CD154" s="36">
        <v>2</v>
      </c>
      <c r="CE154" s="36">
        <v>2</v>
      </c>
      <c r="CF154" s="36">
        <v>2</v>
      </c>
      <c r="CG154" s="36">
        <v>2</v>
      </c>
      <c r="CH154" s="36">
        <v>4</v>
      </c>
      <c r="CI154" s="36"/>
      <c r="CK154" s="4" t="b">
        <f t="shared" si="2"/>
        <v>0</v>
      </c>
    </row>
    <row r="155" spans="1:89" ht="60" customHeight="1">
      <c r="A155" s="32" t="s">
        <v>109</v>
      </c>
      <c r="B155" s="32" t="s">
        <v>205</v>
      </c>
      <c r="C155" s="32" t="s">
        <v>298</v>
      </c>
      <c r="D155" s="34"/>
      <c r="E155" s="34">
        <v>50</v>
      </c>
      <c r="F155" s="34"/>
      <c r="G155" s="34">
        <v>50</v>
      </c>
      <c r="H155" s="34">
        <v>100</v>
      </c>
      <c r="I155" s="34">
        <v>100</v>
      </c>
      <c r="J155" s="34"/>
      <c r="K155" s="34"/>
      <c r="L155" s="34"/>
      <c r="M155" s="34"/>
      <c r="N155" s="34">
        <v>50</v>
      </c>
      <c r="O155" s="34">
        <v>100</v>
      </c>
      <c r="P155" s="34"/>
      <c r="Q155" s="34">
        <v>50</v>
      </c>
      <c r="R155" s="34"/>
      <c r="S155" s="34">
        <v>50</v>
      </c>
      <c r="T155" s="34"/>
      <c r="U155" s="34">
        <v>100</v>
      </c>
      <c r="V155" s="34"/>
      <c r="W155" s="34"/>
      <c r="X155" s="34"/>
      <c r="Y155" s="34"/>
      <c r="Z155" s="34"/>
      <c r="AA155" s="34">
        <v>100</v>
      </c>
      <c r="AB155" s="36"/>
      <c r="AC155" s="36">
        <v>3</v>
      </c>
      <c r="AD155" s="36"/>
      <c r="AE155" s="36">
        <v>7</v>
      </c>
      <c r="AF155" s="36">
        <v>6</v>
      </c>
      <c r="AG155" s="36">
        <v>7</v>
      </c>
      <c r="AH155" s="36"/>
      <c r="AI155" s="36">
        <v>5</v>
      </c>
      <c r="AJ155" s="36">
        <v>7</v>
      </c>
      <c r="AK155" s="36"/>
      <c r="AL155" s="36">
        <v>2</v>
      </c>
      <c r="AM155" s="36">
        <v>8</v>
      </c>
      <c r="AN155" s="36"/>
      <c r="AO155" s="36">
        <v>2</v>
      </c>
      <c r="AP155" s="36"/>
      <c r="AQ155" s="36">
        <v>5</v>
      </c>
      <c r="AR155" s="36">
        <v>6</v>
      </c>
      <c r="AS155" s="36">
        <v>7</v>
      </c>
      <c r="AT155" s="36"/>
      <c r="AU155" s="36">
        <v>5</v>
      </c>
      <c r="AV155" s="36">
        <v>7</v>
      </c>
      <c r="AW155" s="36"/>
      <c r="AX155" s="36">
        <v>2</v>
      </c>
      <c r="AY155" s="36">
        <v>8</v>
      </c>
      <c r="AZ155" s="36"/>
      <c r="BA155" s="36">
        <v>1</v>
      </c>
      <c r="BB155" s="36"/>
      <c r="BC155" s="36">
        <v>4</v>
      </c>
      <c r="BD155" s="36">
        <v>8</v>
      </c>
      <c r="BE155" s="36">
        <v>24</v>
      </c>
      <c r="BF155" s="36"/>
      <c r="BG155" s="36"/>
      <c r="BH155" s="36">
        <v>5</v>
      </c>
      <c r="BI155" s="36"/>
      <c r="BJ155" s="36">
        <v>1</v>
      </c>
      <c r="BK155" s="36">
        <v>6</v>
      </c>
      <c r="BL155" s="36"/>
      <c r="BM155" s="36">
        <v>2</v>
      </c>
      <c r="BN155" s="36"/>
      <c r="BO155" s="36"/>
      <c r="BP155" s="36"/>
      <c r="BQ155" s="36">
        <v>1</v>
      </c>
      <c r="BR155" s="36"/>
      <c r="BS155" s="36"/>
      <c r="BT155" s="36"/>
      <c r="BU155" s="36"/>
      <c r="BV155" s="36"/>
      <c r="BW155" s="36"/>
      <c r="BX155" s="36"/>
      <c r="BY155" s="36"/>
      <c r="BZ155" s="36"/>
      <c r="CA155" s="36"/>
      <c r="CB155" s="36"/>
      <c r="CC155" s="36"/>
      <c r="CD155" s="36"/>
      <c r="CE155" s="36"/>
      <c r="CF155" s="36"/>
      <c r="CG155" s="36"/>
      <c r="CH155" s="36"/>
      <c r="CI155" s="36"/>
      <c r="CK155" s="4" t="b">
        <f t="shared" si="2"/>
        <v>0</v>
      </c>
    </row>
    <row r="156" spans="1:89" ht="75" customHeight="1">
      <c r="A156" s="32" t="s">
        <v>124</v>
      </c>
      <c r="B156" s="32" t="s">
        <v>139</v>
      </c>
      <c r="C156" s="32" t="s">
        <v>299</v>
      </c>
      <c r="D156" s="34"/>
      <c r="E156" s="34">
        <v>150</v>
      </c>
      <c r="F156" s="34">
        <v>75</v>
      </c>
      <c r="G156" s="34"/>
      <c r="H156" s="34">
        <v>100</v>
      </c>
      <c r="I156" s="34">
        <v>100</v>
      </c>
      <c r="J156" s="34">
        <v>100</v>
      </c>
      <c r="K156" s="34"/>
      <c r="L156" s="34">
        <v>75</v>
      </c>
      <c r="M156" s="34">
        <v>100</v>
      </c>
      <c r="N156" s="34">
        <v>100</v>
      </c>
      <c r="O156" s="34">
        <v>100</v>
      </c>
      <c r="P156" s="34"/>
      <c r="Q156" s="34">
        <v>200</v>
      </c>
      <c r="R156" s="34">
        <v>75</v>
      </c>
      <c r="S156" s="34"/>
      <c r="T156" s="34">
        <v>100</v>
      </c>
      <c r="U156" s="34">
        <v>100</v>
      </c>
      <c r="V156" s="34">
        <v>100</v>
      </c>
      <c r="W156" s="34"/>
      <c r="X156" s="34">
        <v>75</v>
      </c>
      <c r="Y156" s="34">
        <v>100</v>
      </c>
      <c r="Z156" s="34">
        <v>100</v>
      </c>
      <c r="AA156" s="34">
        <v>75</v>
      </c>
      <c r="AB156" s="36"/>
      <c r="AC156" s="36">
        <v>47</v>
      </c>
      <c r="AD156" s="36">
        <v>35</v>
      </c>
      <c r="AE156" s="36">
        <v>48</v>
      </c>
      <c r="AF156" s="36">
        <v>49</v>
      </c>
      <c r="AG156" s="36">
        <v>48</v>
      </c>
      <c r="AH156" s="36">
        <v>48</v>
      </c>
      <c r="AI156" s="36">
        <v>38</v>
      </c>
      <c r="AJ156" s="36">
        <v>36</v>
      </c>
      <c r="AK156" s="36">
        <v>50</v>
      </c>
      <c r="AL156" s="36">
        <v>49</v>
      </c>
      <c r="AM156" s="36">
        <v>47</v>
      </c>
      <c r="AN156" s="36"/>
      <c r="AO156" s="36">
        <v>294</v>
      </c>
      <c r="AP156" s="36">
        <v>33</v>
      </c>
      <c r="AQ156" s="36">
        <v>47</v>
      </c>
      <c r="AR156" s="36">
        <v>46</v>
      </c>
      <c r="AS156" s="36">
        <v>46</v>
      </c>
      <c r="AT156" s="36">
        <v>47</v>
      </c>
      <c r="AU156" s="36">
        <v>37</v>
      </c>
      <c r="AV156" s="36">
        <v>35</v>
      </c>
      <c r="AW156" s="36">
        <v>48</v>
      </c>
      <c r="AX156" s="36">
        <v>48</v>
      </c>
      <c r="AY156" s="36">
        <v>46</v>
      </c>
      <c r="AZ156" s="36"/>
      <c r="BA156" s="36">
        <v>4</v>
      </c>
      <c r="BB156" s="36">
        <v>12</v>
      </c>
      <c r="BC156" s="36">
        <v>13</v>
      </c>
      <c r="BD156" s="36">
        <v>8</v>
      </c>
      <c r="BE156" s="36"/>
      <c r="BF156" s="36">
        <v>12</v>
      </c>
      <c r="BG156" s="36">
        <v>8</v>
      </c>
      <c r="BH156" s="36">
        <v>7</v>
      </c>
      <c r="BI156" s="36">
        <v>10</v>
      </c>
      <c r="BJ156" s="36">
        <v>11</v>
      </c>
      <c r="BK156" s="36">
        <v>9</v>
      </c>
      <c r="BL156" s="36"/>
      <c r="BM156" s="36"/>
      <c r="BN156" s="36">
        <v>10</v>
      </c>
      <c r="BO156" s="36"/>
      <c r="BP156" s="36"/>
      <c r="BQ156" s="36"/>
      <c r="BR156" s="36"/>
      <c r="BS156" s="36"/>
      <c r="BT156" s="36"/>
      <c r="BU156" s="36"/>
      <c r="BV156" s="36"/>
      <c r="BW156" s="36"/>
      <c r="BX156" s="36"/>
      <c r="BY156" s="36"/>
      <c r="BZ156" s="36">
        <v>15</v>
      </c>
      <c r="CA156" s="36"/>
      <c r="CB156" s="36"/>
      <c r="CC156" s="36"/>
      <c r="CD156" s="36"/>
      <c r="CE156" s="36"/>
      <c r="CF156" s="36"/>
      <c r="CG156" s="36"/>
      <c r="CH156" s="36"/>
      <c r="CI156" s="36"/>
      <c r="CK156" s="4" t="b">
        <f t="shared" si="2"/>
        <v>0</v>
      </c>
    </row>
    <row r="157" spans="1:89" ht="75" customHeight="1">
      <c r="A157" s="32" t="s">
        <v>124</v>
      </c>
      <c r="B157" s="32" t="s">
        <v>139</v>
      </c>
      <c r="C157" s="32" t="s">
        <v>300</v>
      </c>
      <c r="D157" s="34"/>
      <c r="E157" s="34">
        <v>75</v>
      </c>
      <c r="F157" s="34">
        <v>100</v>
      </c>
      <c r="G157" s="34">
        <v>100</v>
      </c>
      <c r="H157" s="34">
        <v>100</v>
      </c>
      <c r="I157" s="34">
        <v>100</v>
      </c>
      <c r="J157" s="34">
        <v>125</v>
      </c>
      <c r="K157" s="34">
        <v>100</v>
      </c>
      <c r="L157" s="34">
        <v>75</v>
      </c>
      <c r="M157" s="34">
        <v>100</v>
      </c>
      <c r="N157" s="34">
        <v>100</v>
      </c>
      <c r="O157" s="34">
        <v>100</v>
      </c>
      <c r="P157" s="34"/>
      <c r="Q157" s="34">
        <v>75</v>
      </c>
      <c r="R157" s="34">
        <v>100</v>
      </c>
      <c r="S157" s="34">
        <v>100</v>
      </c>
      <c r="T157" s="34">
        <v>100</v>
      </c>
      <c r="U157" s="34">
        <v>100</v>
      </c>
      <c r="V157" s="34">
        <v>100</v>
      </c>
      <c r="W157" s="34">
        <v>100</v>
      </c>
      <c r="X157" s="34">
        <v>100</v>
      </c>
      <c r="Y157" s="34">
        <v>100</v>
      </c>
      <c r="Z157" s="34">
        <v>100</v>
      </c>
      <c r="AA157" s="34">
        <v>100</v>
      </c>
      <c r="AB157" s="36"/>
      <c r="AC157" s="36">
        <v>37</v>
      </c>
      <c r="AD157" s="36">
        <v>58</v>
      </c>
      <c r="AE157" s="36">
        <v>58</v>
      </c>
      <c r="AF157" s="36">
        <v>69</v>
      </c>
      <c r="AG157" s="36">
        <v>69</v>
      </c>
      <c r="AH157" s="36">
        <v>56</v>
      </c>
      <c r="AI157" s="36">
        <v>76</v>
      </c>
      <c r="AJ157" s="36">
        <v>72</v>
      </c>
      <c r="AK157" s="36">
        <v>84</v>
      </c>
      <c r="AL157" s="36">
        <v>84</v>
      </c>
      <c r="AM157" s="36">
        <v>84</v>
      </c>
      <c r="AN157" s="36"/>
      <c r="AO157" s="36">
        <v>342</v>
      </c>
      <c r="AP157" s="36">
        <v>57</v>
      </c>
      <c r="AQ157" s="36">
        <v>58</v>
      </c>
      <c r="AR157" s="36">
        <v>68</v>
      </c>
      <c r="AS157" s="36">
        <v>68</v>
      </c>
      <c r="AT157" s="36">
        <v>55</v>
      </c>
      <c r="AU157" s="36">
        <v>75</v>
      </c>
      <c r="AV157" s="36">
        <v>71</v>
      </c>
      <c r="AW157" s="36">
        <v>83</v>
      </c>
      <c r="AX157" s="36">
        <v>83</v>
      </c>
      <c r="AY157" s="36">
        <v>83</v>
      </c>
      <c r="AZ157" s="36"/>
      <c r="BA157" s="36">
        <v>3</v>
      </c>
      <c r="BB157" s="36">
        <v>6</v>
      </c>
      <c r="BC157" s="36">
        <v>6</v>
      </c>
      <c r="BD157" s="36">
        <v>14</v>
      </c>
      <c r="BE157" s="36">
        <v>14</v>
      </c>
      <c r="BF157" s="36">
        <v>7</v>
      </c>
      <c r="BG157" s="36">
        <v>6</v>
      </c>
      <c r="BH157" s="36">
        <v>8</v>
      </c>
      <c r="BI157" s="36">
        <v>5</v>
      </c>
      <c r="BJ157" s="36">
        <v>9</v>
      </c>
      <c r="BK157" s="36">
        <v>7</v>
      </c>
      <c r="BL157" s="36"/>
      <c r="BM157" s="36">
        <v>2</v>
      </c>
      <c r="BN157" s="36">
        <v>1</v>
      </c>
      <c r="BO157" s="36">
        <v>1</v>
      </c>
      <c r="BP157" s="36">
        <v>1</v>
      </c>
      <c r="BQ157" s="36">
        <v>1</v>
      </c>
      <c r="BR157" s="36"/>
      <c r="BS157" s="36">
        <v>5</v>
      </c>
      <c r="BT157" s="36">
        <v>5</v>
      </c>
      <c r="BU157" s="36">
        <v>5</v>
      </c>
      <c r="BV157" s="36">
        <v>5</v>
      </c>
      <c r="BW157" s="36">
        <v>6</v>
      </c>
      <c r="BX157" s="36"/>
      <c r="BY157" s="36"/>
      <c r="BZ157" s="36"/>
      <c r="CA157" s="36"/>
      <c r="CB157" s="36"/>
      <c r="CC157" s="36"/>
      <c r="CD157" s="36"/>
      <c r="CE157" s="36"/>
      <c r="CF157" s="36"/>
      <c r="CG157" s="36"/>
      <c r="CH157" s="36"/>
      <c r="CI157" s="36"/>
      <c r="CK157" s="4" t="b">
        <f t="shared" si="2"/>
        <v>0</v>
      </c>
    </row>
    <row r="158" spans="1:89" ht="90" customHeight="1">
      <c r="A158" s="32" t="s">
        <v>87</v>
      </c>
      <c r="B158" s="32" t="s">
        <v>88</v>
      </c>
      <c r="C158" s="32" t="s">
        <v>301</v>
      </c>
      <c r="D158" s="34"/>
      <c r="E158" s="34"/>
      <c r="F158" s="34">
        <v>100</v>
      </c>
      <c r="G158" s="34">
        <v>100</v>
      </c>
      <c r="H158" s="34">
        <v>100</v>
      </c>
      <c r="I158" s="34">
        <v>100</v>
      </c>
      <c r="J158" s="34">
        <v>100</v>
      </c>
      <c r="K158" s="34">
        <v>100</v>
      </c>
      <c r="L158" s="34">
        <v>100</v>
      </c>
      <c r="M158" s="34">
        <v>100</v>
      </c>
      <c r="N158" s="34">
        <v>100</v>
      </c>
      <c r="O158" s="34">
        <v>75</v>
      </c>
      <c r="P158" s="34"/>
      <c r="Q158" s="34"/>
      <c r="R158" s="34">
        <v>100</v>
      </c>
      <c r="S158" s="34">
        <v>100</v>
      </c>
      <c r="T158" s="34">
        <v>100</v>
      </c>
      <c r="U158" s="34">
        <v>75</v>
      </c>
      <c r="V158" s="34">
        <v>75</v>
      </c>
      <c r="W158" s="34">
        <v>100</v>
      </c>
      <c r="X158" s="34">
        <v>75</v>
      </c>
      <c r="Y158" s="34">
        <v>100</v>
      </c>
      <c r="Z158" s="34">
        <v>100</v>
      </c>
      <c r="AA158" s="34">
        <v>75</v>
      </c>
      <c r="AB158" s="36"/>
      <c r="AC158" s="36"/>
      <c r="AD158" s="36">
        <v>59</v>
      </c>
      <c r="AE158" s="36">
        <v>44</v>
      </c>
      <c r="AF158" s="36">
        <v>61</v>
      </c>
      <c r="AG158" s="36">
        <v>41</v>
      </c>
      <c r="AH158" s="36">
        <v>54</v>
      </c>
      <c r="AI158" s="36">
        <v>46</v>
      </c>
      <c r="AJ158" s="36">
        <v>39</v>
      </c>
      <c r="AK158" s="36">
        <v>54</v>
      </c>
      <c r="AL158" s="36">
        <v>70</v>
      </c>
      <c r="AM158" s="36">
        <v>50</v>
      </c>
      <c r="AN158" s="36"/>
      <c r="AO158" s="36"/>
      <c r="AP158" s="36">
        <v>47</v>
      </c>
      <c r="AQ158" s="36">
        <v>64</v>
      </c>
      <c r="AR158" s="36">
        <v>78</v>
      </c>
      <c r="AS158" s="36">
        <v>46</v>
      </c>
      <c r="AT158" s="36">
        <v>43</v>
      </c>
      <c r="AU158" s="36">
        <v>55</v>
      </c>
      <c r="AV158" s="36">
        <v>50</v>
      </c>
      <c r="AW158" s="36">
        <v>66</v>
      </c>
      <c r="AX158" s="36">
        <v>76</v>
      </c>
      <c r="AY158" s="36">
        <v>44</v>
      </c>
      <c r="AZ158" s="36"/>
      <c r="BA158" s="36"/>
      <c r="BB158" s="36">
        <v>37</v>
      </c>
      <c r="BC158" s="36">
        <v>25</v>
      </c>
      <c r="BD158" s="36">
        <v>37</v>
      </c>
      <c r="BE158" s="36">
        <v>31</v>
      </c>
      <c r="BF158" s="36">
        <v>23</v>
      </c>
      <c r="BG158" s="36">
        <v>28</v>
      </c>
      <c r="BH158" s="36">
        <v>32</v>
      </c>
      <c r="BI158" s="36">
        <v>29</v>
      </c>
      <c r="BJ158" s="36">
        <v>34</v>
      </c>
      <c r="BK158" s="36">
        <v>21</v>
      </c>
      <c r="BL158" s="36"/>
      <c r="BM158" s="36"/>
      <c r="BN158" s="36">
        <v>1</v>
      </c>
      <c r="BO158" s="36">
        <v>19</v>
      </c>
      <c r="BP158" s="36">
        <v>26</v>
      </c>
      <c r="BQ158" s="36">
        <v>13</v>
      </c>
      <c r="BR158" s="36">
        <v>12</v>
      </c>
      <c r="BS158" s="36">
        <v>17</v>
      </c>
      <c r="BT158" s="36">
        <v>22</v>
      </c>
      <c r="BU158" s="36">
        <v>17</v>
      </c>
      <c r="BV158" s="36">
        <v>14</v>
      </c>
      <c r="BW158" s="36">
        <v>17</v>
      </c>
      <c r="BX158" s="36"/>
      <c r="BY158" s="36"/>
      <c r="BZ158" s="36"/>
      <c r="CA158" s="36"/>
      <c r="CB158" s="36">
        <v>6</v>
      </c>
      <c r="CC158" s="36">
        <v>3</v>
      </c>
      <c r="CD158" s="36">
        <v>5</v>
      </c>
      <c r="CE158" s="36">
        <v>4</v>
      </c>
      <c r="CF158" s="36">
        <v>10</v>
      </c>
      <c r="CG158" s="36">
        <v>7</v>
      </c>
      <c r="CH158" s="36">
        <v>4</v>
      </c>
      <c r="CI158" s="36">
        <v>1</v>
      </c>
      <c r="CK158" s="4" t="b">
        <f t="shared" si="2"/>
        <v>0</v>
      </c>
    </row>
    <row r="159" spans="1:89" ht="90" customHeight="1">
      <c r="A159" s="32" t="s">
        <v>87</v>
      </c>
      <c r="B159" s="32" t="s">
        <v>155</v>
      </c>
      <c r="C159" s="32" t="s">
        <v>302</v>
      </c>
      <c r="D159" s="34"/>
      <c r="E159" s="34">
        <v>64.290000000000006</v>
      </c>
      <c r="F159" s="34">
        <v>91.67</v>
      </c>
      <c r="G159" s="34">
        <v>92.86</v>
      </c>
      <c r="H159" s="34"/>
      <c r="I159" s="34">
        <v>100</v>
      </c>
      <c r="J159" s="34">
        <v>100</v>
      </c>
      <c r="K159" s="34">
        <v>100</v>
      </c>
      <c r="L159" s="34">
        <v>75</v>
      </c>
      <c r="M159" s="34">
        <v>100</v>
      </c>
      <c r="N159" s="34"/>
      <c r="O159" s="34">
        <v>83.33</v>
      </c>
      <c r="P159" s="34"/>
      <c r="Q159" s="34">
        <v>125</v>
      </c>
      <c r="R159" s="34">
        <v>100</v>
      </c>
      <c r="S159" s="34">
        <v>25</v>
      </c>
      <c r="T159" s="34"/>
      <c r="U159" s="34">
        <v>25</v>
      </c>
      <c r="V159" s="34"/>
      <c r="W159" s="34">
        <v>25</v>
      </c>
      <c r="X159" s="34"/>
      <c r="Y159" s="34"/>
      <c r="Z159" s="34">
        <v>8.33</v>
      </c>
      <c r="AA159" s="34"/>
      <c r="AB159" s="36"/>
      <c r="AC159" s="36">
        <v>118</v>
      </c>
      <c r="AD159" s="36">
        <v>116</v>
      </c>
      <c r="AE159" s="36">
        <v>154</v>
      </c>
      <c r="AF159" s="36"/>
      <c r="AG159" s="36">
        <v>193</v>
      </c>
      <c r="AH159" s="36">
        <v>156</v>
      </c>
      <c r="AI159" s="36">
        <v>181</v>
      </c>
      <c r="AJ159" s="36">
        <v>118</v>
      </c>
      <c r="AK159" s="36">
        <v>120</v>
      </c>
      <c r="AL159" s="36">
        <v>151</v>
      </c>
      <c r="AM159" s="36">
        <v>135</v>
      </c>
      <c r="AN159" s="36"/>
      <c r="AO159" s="36">
        <v>118</v>
      </c>
      <c r="AP159" s="36">
        <v>131</v>
      </c>
      <c r="AQ159" s="36">
        <v>130</v>
      </c>
      <c r="AR159" s="36"/>
      <c r="AS159" s="36">
        <v>183</v>
      </c>
      <c r="AT159" s="36">
        <v>119</v>
      </c>
      <c r="AU159" s="36">
        <v>175</v>
      </c>
      <c r="AV159" s="36">
        <v>142</v>
      </c>
      <c r="AW159" s="36">
        <v>159</v>
      </c>
      <c r="AX159" s="36">
        <v>144</v>
      </c>
      <c r="AY159" s="36">
        <v>108</v>
      </c>
      <c r="AZ159" s="36"/>
      <c r="BA159" s="36">
        <v>15</v>
      </c>
      <c r="BB159" s="36">
        <v>47</v>
      </c>
      <c r="BC159" s="36">
        <v>54</v>
      </c>
      <c r="BD159" s="36"/>
      <c r="BE159" s="36">
        <v>61</v>
      </c>
      <c r="BF159" s="36">
        <v>50</v>
      </c>
      <c r="BG159" s="36">
        <v>55</v>
      </c>
      <c r="BH159" s="36">
        <v>41</v>
      </c>
      <c r="BI159" s="36">
        <v>71</v>
      </c>
      <c r="BJ159" s="36">
        <v>57</v>
      </c>
      <c r="BK159" s="36">
        <v>55</v>
      </c>
      <c r="BL159" s="36"/>
      <c r="BM159" s="36">
        <v>4</v>
      </c>
      <c r="BN159" s="36">
        <v>2</v>
      </c>
      <c r="BO159" s="36">
        <v>14</v>
      </c>
      <c r="BP159" s="36"/>
      <c r="BQ159" s="36">
        <v>24</v>
      </c>
      <c r="BR159" s="36">
        <v>21</v>
      </c>
      <c r="BS159" s="36">
        <v>28</v>
      </c>
      <c r="BT159" s="36">
        <v>22</v>
      </c>
      <c r="BU159" s="36">
        <v>35</v>
      </c>
      <c r="BV159" s="36">
        <v>34</v>
      </c>
      <c r="BW159" s="36">
        <v>28</v>
      </c>
      <c r="BX159" s="36"/>
      <c r="BY159" s="36"/>
      <c r="BZ159" s="36"/>
      <c r="CA159" s="36"/>
      <c r="CB159" s="36"/>
      <c r="CC159" s="36"/>
      <c r="CD159" s="36">
        <v>1</v>
      </c>
      <c r="CE159" s="36"/>
      <c r="CF159" s="36">
        <v>3</v>
      </c>
      <c r="CG159" s="36">
        <v>1</v>
      </c>
      <c r="CH159" s="36">
        <v>3</v>
      </c>
      <c r="CI159" s="36"/>
      <c r="CK159" s="4" t="b">
        <f t="shared" si="2"/>
        <v>0</v>
      </c>
    </row>
    <row r="160" spans="1:89" ht="60" customHeight="1">
      <c r="A160" s="32" t="s">
        <v>144</v>
      </c>
      <c r="B160" s="32" t="s">
        <v>303</v>
      </c>
      <c r="C160" s="32" t="s">
        <v>304</v>
      </c>
      <c r="D160" s="34"/>
      <c r="E160" s="34">
        <v>100</v>
      </c>
      <c r="F160" s="34">
        <v>100</v>
      </c>
      <c r="G160" s="34">
        <v>100</v>
      </c>
      <c r="H160" s="34">
        <v>100</v>
      </c>
      <c r="I160" s="34">
        <v>100</v>
      </c>
      <c r="J160" s="34">
        <v>75</v>
      </c>
      <c r="K160" s="34">
        <v>100</v>
      </c>
      <c r="L160" s="34">
        <v>100</v>
      </c>
      <c r="M160" s="34">
        <v>100</v>
      </c>
      <c r="N160" s="34">
        <v>100</v>
      </c>
      <c r="O160" s="34">
        <v>100</v>
      </c>
      <c r="P160" s="34"/>
      <c r="Q160" s="34">
        <v>100</v>
      </c>
      <c r="R160" s="34"/>
      <c r="S160" s="34"/>
      <c r="T160" s="34">
        <v>100</v>
      </c>
      <c r="U160" s="34">
        <v>100</v>
      </c>
      <c r="V160" s="34"/>
      <c r="W160" s="34">
        <v>100</v>
      </c>
      <c r="X160" s="34">
        <v>100</v>
      </c>
      <c r="Y160" s="34">
        <v>100</v>
      </c>
      <c r="Z160" s="34">
        <v>100</v>
      </c>
      <c r="AA160" s="34">
        <v>100</v>
      </c>
      <c r="AB160" s="36"/>
      <c r="AC160" s="36">
        <v>13</v>
      </c>
      <c r="AD160" s="36">
        <v>4</v>
      </c>
      <c r="AE160" s="36">
        <v>15</v>
      </c>
      <c r="AF160" s="36">
        <v>9</v>
      </c>
      <c r="AG160" s="36">
        <v>22</v>
      </c>
      <c r="AH160" s="36">
        <v>4</v>
      </c>
      <c r="AI160" s="36">
        <v>8</v>
      </c>
      <c r="AJ160" s="36">
        <v>2</v>
      </c>
      <c r="AK160" s="36">
        <v>2</v>
      </c>
      <c r="AL160" s="36">
        <v>7</v>
      </c>
      <c r="AM160" s="36">
        <v>6</v>
      </c>
      <c r="AN160" s="36"/>
      <c r="AO160" s="36">
        <v>4</v>
      </c>
      <c r="AP160" s="36">
        <v>5</v>
      </c>
      <c r="AQ160" s="36">
        <v>17</v>
      </c>
      <c r="AR160" s="36">
        <v>8</v>
      </c>
      <c r="AS160" s="36">
        <v>11</v>
      </c>
      <c r="AT160" s="36">
        <v>3</v>
      </c>
      <c r="AU160" s="36">
        <v>5</v>
      </c>
      <c r="AV160" s="36"/>
      <c r="AW160" s="36">
        <v>3</v>
      </c>
      <c r="AX160" s="36">
        <v>10</v>
      </c>
      <c r="AY160" s="36">
        <v>3</v>
      </c>
      <c r="AZ160" s="36"/>
      <c r="BA160" s="36">
        <v>12</v>
      </c>
      <c r="BB160" s="36">
        <v>7</v>
      </c>
      <c r="BC160" s="36">
        <v>8</v>
      </c>
      <c r="BD160" s="36">
        <v>6</v>
      </c>
      <c r="BE160" s="36">
        <v>4</v>
      </c>
      <c r="BF160" s="36">
        <v>8</v>
      </c>
      <c r="BG160" s="36">
        <v>7</v>
      </c>
      <c r="BH160" s="36">
        <v>6</v>
      </c>
      <c r="BI160" s="36">
        <v>8</v>
      </c>
      <c r="BJ160" s="36">
        <v>8</v>
      </c>
      <c r="BK160" s="36">
        <v>6</v>
      </c>
      <c r="BL160" s="36"/>
      <c r="BM160" s="36">
        <v>4</v>
      </c>
      <c r="BN160" s="36">
        <v>7</v>
      </c>
      <c r="BO160" s="36"/>
      <c r="BP160" s="36">
        <v>7</v>
      </c>
      <c r="BQ160" s="36">
        <v>4</v>
      </c>
      <c r="BR160" s="36">
        <v>5</v>
      </c>
      <c r="BS160" s="36">
        <v>5</v>
      </c>
      <c r="BT160" s="36">
        <v>5</v>
      </c>
      <c r="BU160" s="36">
        <v>9</v>
      </c>
      <c r="BV160" s="36">
        <v>8</v>
      </c>
      <c r="BW160" s="36">
        <v>8</v>
      </c>
      <c r="BX160" s="36"/>
      <c r="BY160" s="36"/>
      <c r="BZ160" s="36"/>
      <c r="CA160" s="36">
        <v>6</v>
      </c>
      <c r="CB160" s="36"/>
      <c r="CC160" s="36"/>
      <c r="CD160" s="36"/>
      <c r="CE160" s="36"/>
      <c r="CF160" s="36"/>
      <c r="CG160" s="36">
        <v>25</v>
      </c>
      <c r="CH160" s="36"/>
      <c r="CI160" s="36"/>
      <c r="CK160" s="4" t="b">
        <f t="shared" si="2"/>
        <v>0</v>
      </c>
    </row>
    <row r="161" spans="1:89" ht="75" customHeight="1">
      <c r="A161" s="32" t="s">
        <v>101</v>
      </c>
      <c r="B161" s="32" t="s">
        <v>305</v>
      </c>
      <c r="C161" s="32" t="s">
        <v>306</v>
      </c>
      <c r="D161" s="34"/>
      <c r="E161" s="34">
        <v>100</v>
      </c>
      <c r="F161" s="34">
        <v>100</v>
      </c>
      <c r="G161" s="34">
        <v>100</v>
      </c>
      <c r="H161" s="34"/>
      <c r="I161" s="34">
        <v>100</v>
      </c>
      <c r="J161" s="34">
        <v>100</v>
      </c>
      <c r="K161" s="34">
        <v>100</v>
      </c>
      <c r="L161" s="34">
        <v>100</v>
      </c>
      <c r="M161" s="34">
        <v>100</v>
      </c>
      <c r="N161" s="34">
        <v>100</v>
      </c>
      <c r="O161" s="34">
        <v>100</v>
      </c>
      <c r="P161" s="34"/>
      <c r="Q161" s="34">
        <v>100</v>
      </c>
      <c r="R161" s="34">
        <v>100</v>
      </c>
      <c r="S161" s="34">
        <v>100</v>
      </c>
      <c r="T161" s="34"/>
      <c r="U161" s="34">
        <v>100</v>
      </c>
      <c r="V161" s="34">
        <v>100</v>
      </c>
      <c r="W161" s="34">
        <v>100</v>
      </c>
      <c r="X161" s="34">
        <v>100</v>
      </c>
      <c r="Y161" s="34">
        <v>100</v>
      </c>
      <c r="Z161" s="34">
        <v>100</v>
      </c>
      <c r="AA161" s="34">
        <v>100</v>
      </c>
      <c r="AB161" s="36"/>
      <c r="AC161" s="36">
        <v>12</v>
      </c>
      <c r="AD161" s="36">
        <v>18</v>
      </c>
      <c r="AE161" s="36">
        <v>18</v>
      </c>
      <c r="AF161" s="36">
        <v>23</v>
      </c>
      <c r="AG161" s="36">
        <v>16</v>
      </c>
      <c r="AH161" s="36">
        <v>15</v>
      </c>
      <c r="AI161" s="36">
        <v>20</v>
      </c>
      <c r="AJ161" s="36">
        <v>20</v>
      </c>
      <c r="AK161" s="36">
        <v>19</v>
      </c>
      <c r="AL161" s="36">
        <v>18</v>
      </c>
      <c r="AM161" s="36">
        <v>18</v>
      </c>
      <c r="AN161" s="36"/>
      <c r="AO161" s="36">
        <v>12</v>
      </c>
      <c r="AP161" s="36">
        <v>22</v>
      </c>
      <c r="AQ161" s="36">
        <v>18</v>
      </c>
      <c r="AR161" s="36">
        <v>23</v>
      </c>
      <c r="AS161" s="36">
        <v>18</v>
      </c>
      <c r="AT161" s="36">
        <v>14</v>
      </c>
      <c r="AU161" s="36">
        <v>19</v>
      </c>
      <c r="AV161" s="36">
        <v>21</v>
      </c>
      <c r="AW161" s="36">
        <v>21</v>
      </c>
      <c r="AX161" s="36">
        <v>17</v>
      </c>
      <c r="AY161" s="36">
        <v>17</v>
      </c>
      <c r="AZ161" s="36"/>
      <c r="BA161" s="36">
        <v>25</v>
      </c>
      <c r="BB161" s="36"/>
      <c r="BC161" s="36">
        <v>14</v>
      </c>
      <c r="BD161" s="36">
        <v>22</v>
      </c>
      <c r="BE161" s="36">
        <v>44</v>
      </c>
      <c r="BF161" s="36">
        <v>20</v>
      </c>
      <c r="BG161" s="36">
        <v>20</v>
      </c>
      <c r="BH161" s="36">
        <v>20</v>
      </c>
      <c r="BI161" s="36">
        <v>20</v>
      </c>
      <c r="BJ161" s="36">
        <v>32</v>
      </c>
      <c r="BK161" s="36">
        <v>7</v>
      </c>
      <c r="BL161" s="36"/>
      <c r="BM161" s="36">
        <v>2</v>
      </c>
      <c r="BN161" s="36">
        <v>5</v>
      </c>
      <c r="BO161" s="36"/>
      <c r="BP161" s="36"/>
      <c r="BQ161" s="36"/>
      <c r="BR161" s="36"/>
      <c r="BS161" s="36"/>
      <c r="BT161" s="36"/>
      <c r="BU161" s="36"/>
      <c r="BV161" s="36">
        <v>4</v>
      </c>
      <c r="BW161" s="36">
        <v>1</v>
      </c>
      <c r="BX161" s="36"/>
      <c r="BY161" s="36"/>
      <c r="BZ161" s="36"/>
      <c r="CA161" s="36"/>
      <c r="CB161" s="36"/>
      <c r="CC161" s="36"/>
      <c r="CD161" s="36"/>
      <c r="CE161" s="36">
        <v>20</v>
      </c>
      <c r="CF161" s="36"/>
      <c r="CG161" s="36"/>
      <c r="CH161" s="36"/>
      <c r="CI161" s="36"/>
      <c r="CK161" s="4" t="b">
        <f t="shared" si="2"/>
        <v>0</v>
      </c>
    </row>
    <row r="162" spans="1:89" ht="60" customHeight="1">
      <c r="A162" s="32" t="s">
        <v>101</v>
      </c>
      <c r="B162" s="32" t="s">
        <v>141</v>
      </c>
      <c r="C162" s="32" t="s">
        <v>307</v>
      </c>
      <c r="D162" s="34"/>
      <c r="E162" s="34"/>
      <c r="F162" s="34">
        <v>100</v>
      </c>
      <c r="G162" s="34"/>
      <c r="H162" s="34">
        <v>66.67</v>
      </c>
      <c r="I162" s="34"/>
      <c r="J162" s="34">
        <v>100</v>
      </c>
      <c r="K162" s="34">
        <v>100</v>
      </c>
      <c r="L162" s="34">
        <v>100</v>
      </c>
      <c r="M162" s="34">
        <v>100</v>
      </c>
      <c r="N162" s="34">
        <v>100</v>
      </c>
      <c r="O162" s="34"/>
      <c r="P162" s="34"/>
      <c r="Q162" s="34"/>
      <c r="R162" s="34">
        <v>100</v>
      </c>
      <c r="S162" s="34"/>
      <c r="T162" s="34">
        <v>100</v>
      </c>
      <c r="U162" s="34"/>
      <c r="V162" s="34">
        <v>100</v>
      </c>
      <c r="W162" s="34">
        <v>100</v>
      </c>
      <c r="X162" s="34">
        <v>100</v>
      </c>
      <c r="Y162" s="34">
        <v>100</v>
      </c>
      <c r="Z162" s="34">
        <v>100</v>
      </c>
      <c r="AA162" s="34"/>
      <c r="AB162" s="36"/>
      <c r="AC162" s="36">
        <v>69</v>
      </c>
      <c r="AD162" s="36">
        <v>56</v>
      </c>
      <c r="AE162" s="36">
        <v>68</v>
      </c>
      <c r="AF162" s="36">
        <v>49</v>
      </c>
      <c r="AG162" s="36">
        <v>42</v>
      </c>
      <c r="AH162" s="36">
        <v>44</v>
      </c>
      <c r="AI162" s="36">
        <v>52</v>
      </c>
      <c r="AJ162" s="36">
        <v>36</v>
      </c>
      <c r="AK162" s="36">
        <v>53</v>
      </c>
      <c r="AL162" s="36">
        <v>54</v>
      </c>
      <c r="AM162" s="36"/>
      <c r="AN162" s="36"/>
      <c r="AO162" s="36">
        <v>302</v>
      </c>
      <c r="AP162" s="36">
        <v>56</v>
      </c>
      <c r="AQ162" s="36">
        <v>65</v>
      </c>
      <c r="AR162" s="36">
        <v>33</v>
      </c>
      <c r="AS162" s="36">
        <v>39</v>
      </c>
      <c r="AT162" s="36">
        <v>59</v>
      </c>
      <c r="AU162" s="36">
        <v>52</v>
      </c>
      <c r="AV162" s="36">
        <v>39</v>
      </c>
      <c r="AW162" s="36">
        <v>50</v>
      </c>
      <c r="AX162" s="36">
        <v>53</v>
      </c>
      <c r="AY162" s="36"/>
      <c r="AZ162" s="36"/>
      <c r="BA162" s="36">
        <v>24</v>
      </c>
      <c r="BB162" s="36">
        <v>39</v>
      </c>
      <c r="BC162" s="36">
        <v>24</v>
      </c>
      <c r="BD162" s="36">
        <v>21</v>
      </c>
      <c r="BE162" s="36">
        <v>14</v>
      </c>
      <c r="BF162" s="36">
        <v>21</v>
      </c>
      <c r="BG162" s="36">
        <v>30</v>
      </c>
      <c r="BH162" s="36">
        <v>17</v>
      </c>
      <c r="BI162" s="36">
        <v>37</v>
      </c>
      <c r="BJ162" s="36">
        <v>37</v>
      </c>
      <c r="BK162" s="36">
        <v>25</v>
      </c>
      <c r="BL162" s="36"/>
      <c r="BM162" s="36">
        <v>8</v>
      </c>
      <c r="BN162" s="36">
        <v>37</v>
      </c>
      <c r="BO162" s="36">
        <v>8</v>
      </c>
      <c r="BP162" s="36">
        <v>3</v>
      </c>
      <c r="BQ162" s="36">
        <v>2</v>
      </c>
      <c r="BR162" s="36">
        <v>2</v>
      </c>
      <c r="BS162" s="36"/>
      <c r="BT162" s="36">
        <v>1</v>
      </c>
      <c r="BU162" s="36">
        <v>3</v>
      </c>
      <c r="BV162" s="36">
        <v>4</v>
      </c>
      <c r="BW162" s="36">
        <v>6</v>
      </c>
      <c r="BX162" s="36"/>
      <c r="BY162" s="36"/>
      <c r="BZ162" s="36">
        <v>2</v>
      </c>
      <c r="CA162" s="36"/>
      <c r="CB162" s="36"/>
      <c r="CC162" s="36"/>
      <c r="CD162" s="36"/>
      <c r="CE162" s="36"/>
      <c r="CF162" s="36"/>
      <c r="CG162" s="36"/>
      <c r="CH162" s="36"/>
      <c r="CI162" s="36"/>
      <c r="CK162" s="4" t="b">
        <f t="shared" si="2"/>
        <v>0</v>
      </c>
    </row>
    <row r="163" spans="1:89" ht="75" customHeight="1">
      <c r="A163" s="32" t="s">
        <v>124</v>
      </c>
      <c r="B163" s="32" t="s">
        <v>179</v>
      </c>
      <c r="C163" s="32" t="s">
        <v>308</v>
      </c>
      <c r="D163" s="34"/>
      <c r="E163" s="34">
        <v>50</v>
      </c>
      <c r="F163" s="34">
        <v>75</v>
      </c>
      <c r="G163" s="34">
        <v>100</v>
      </c>
      <c r="H163" s="34">
        <v>80</v>
      </c>
      <c r="I163" s="34">
        <v>100</v>
      </c>
      <c r="J163" s="34">
        <v>100</v>
      </c>
      <c r="K163" s="34">
        <v>75</v>
      </c>
      <c r="L163" s="34">
        <v>75</v>
      </c>
      <c r="M163" s="34">
        <v>100</v>
      </c>
      <c r="N163" s="34">
        <v>100</v>
      </c>
      <c r="O163" s="34">
        <v>100</v>
      </c>
      <c r="P163" s="34"/>
      <c r="Q163" s="34"/>
      <c r="R163" s="34"/>
      <c r="S163" s="34">
        <v>100</v>
      </c>
      <c r="T163" s="34">
        <v>80</v>
      </c>
      <c r="U163" s="34">
        <v>100</v>
      </c>
      <c r="V163" s="34"/>
      <c r="W163" s="34">
        <v>75</v>
      </c>
      <c r="X163" s="34">
        <v>50</v>
      </c>
      <c r="Y163" s="34">
        <v>100</v>
      </c>
      <c r="Z163" s="34">
        <v>100</v>
      </c>
      <c r="AA163" s="34">
        <v>100</v>
      </c>
      <c r="AB163" s="36"/>
      <c r="AC163" s="36">
        <v>33</v>
      </c>
      <c r="AD163" s="36">
        <v>35</v>
      </c>
      <c r="AE163" s="36">
        <v>39</v>
      </c>
      <c r="AF163" s="36">
        <v>34</v>
      </c>
      <c r="AG163" s="36">
        <v>33</v>
      </c>
      <c r="AH163" s="36">
        <v>33</v>
      </c>
      <c r="AI163" s="36">
        <v>48</v>
      </c>
      <c r="AJ163" s="36">
        <v>50</v>
      </c>
      <c r="AK163" s="36">
        <v>52</v>
      </c>
      <c r="AL163" s="36">
        <v>53</v>
      </c>
      <c r="AM163" s="36">
        <v>60</v>
      </c>
      <c r="AN163" s="36"/>
      <c r="AO163" s="36">
        <v>31</v>
      </c>
      <c r="AP163" s="36">
        <v>33</v>
      </c>
      <c r="AQ163" s="36">
        <v>45</v>
      </c>
      <c r="AR163" s="36">
        <v>35</v>
      </c>
      <c r="AS163" s="36">
        <v>34</v>
      </c>
      <c r="AT163" s="36">
        <v>26</v>
      </c>
      <c r="AU163" s="36">
        <v>46</v>
      </c>
      <c r="AV163" s="36">
        <v>41</v>
      </c>
      <c r="AW163" s="36">
        <v>53</v>
      </c>
      <c r="AX163" s="36">
        <v>54</v>
      </c>
      <c r="AY163" s="36">
        <v>56</v>
      </c>
      <c r="AZ163" s="36"/>
      <c r="BA163" s="36">
        <v>8</v>
      </c>
      <c r="BB163" s="36">
        <v>15</v>
      </c>
      <c r="BC163" s="36">
        <v>18</v>
      </c>
      <c r="BD163" s="36">
        <v>31</v>
      </c>
      <c r="BE163" s="36">
        <v>14</v>
      </c>
      <c r="BF163" s="36">
        <v>39</v>
      </c>
      <c r="BG163" s="36">
        <v>13</v>
      </c>
      <c r="BH163" s="36">
        <v>17</v>
      </c>
      <c r="BI163" s="36">
        <v>13</v>
      </c>
      <c r="BJ163" s="36">
        <v>29</v>
      </c>
      <c r="BK163" s="36">
        <v>21</v>
      </c>
      <c r="BL163" s="36"/>
      <c r="BM163" s="36"/>
      <c r="BN163" s="36"/>
      <c r="BO163" s="36"/>
      <c r="BP163" s="36">
        <v>2</v>
      </c>
      <c r="BQ163" s="36">
        <v>7</v>
      </c>
      <c r="BR163" s="36">
        <v>8</v>
      </c>
      <c r="BS163" s="36">
        <v>3</v>
      </c>
      <c r="BT163" s="36">
        <v>7</v>
      </c>
      <c r="BU163" s="36">
        <v>6</v>
      </c>
      <c r="BV163" s="36">
        <v>7</v>
      </c>
      <c r="BW163" s="36">
        <v>5</v>
      </c>
      <c r="BX163" s="36"/>
      <c r="BY163" s="36"/>
      <c r="BZ163" s="36"/>
      <c r="CA163" s="36"/>
      <c r="CB163" s="36"/>
      <c r="CC163" s="36"/>
      <c r="CD163" s="36">
        <v>1</v>
      </c>
      <c r="CE163" s="36"/>
      <c r="CF163" s="36"/>
      <c r="CG163" s="36">
        <v>3</v>
      </c>
      <c r="CH163" s="36">
        <v>3</v>
      </c>
      <c r="CI163" s="36">
        <v>2</v>
      </c>
      <c r="CK163" s="4" t="b">
        <f t="shared" si="2"/>
        <v>0</v>
      </c>
    </row>
    <row r="164" spans="1:89" ht="60" customHeight="1">
      <c r="A164" s="32" t="s">
        <v>109</v>
      </c>
      <c r="B164" s="32" t="s">
        <v>114</v>
      </c>
      <c r="C164" s="32" t="s">
        <v>309</v>
      </c>
      <c r="D164" s="34"/>
      <c r="E164" s="34"/>
      <c r="F164" s="34"/>
      <c r="G164" s="34"/>
      <c r="H164" s="34"/>
      <c r="I164" s="34"/>
      <c r="J164" s="34"/>
      <c r="K164" s="34"/>
      <c r="L164" s="34"/>
      <c r="M164" s="34"/>
      <c r="N164" s="34"/>
      <c r="O164" s="34"/>
      <c r="P164" s="34"/>
      <c r="Q164" s="34"/>
      <c r="R164" s="34"/>
      <c r="S164" s="34"/>
      <c r="T164" s="34"/>
      <c r="U164" s="34"/>
      <c r="V164" s="34"/>
      <c r="W164" s="34"/>
      <c r="X164" s="34"/>
      <c r="Y164" s="34"/>
      <c r="Z164" s="34"/>
      <c r="AA164" s="34"/>
      <c r="AB164" s="36"/>
      <c r="AC164" s="36"/>
      <c r="AD164" s="36"/>
      <c r="AE164" s="36"/>
      <c r="AF164" s="36"/>
      <c r="AG164" s="36"/>
      <c r="AH164" s="36"/>
      <c r="AI164" s="36"/>
      <c r="AJ164" s="36"/>
      <c r="AK164" s="36"/>
      <c r="AL164" s="36"/>
      <c r="AM164" s="36"/>
      <c r="AN164" s="36"/>
      <c r="AO164" s="36"/>
      <c r="AP164" s="36"/>
      <c r="AQ164" s="36"/>
      <c r="AR164" s="36"/>
      <c r="AS164" s="36"/>
      <c r="AT164" s="36"/>
      <c r="AU164" s="36"/>
      <c r="AV164" s="36"/>
      <c r="AW164" s="36"/>
      <c r="AX164" s="36"/>
      <c r="AY164" s="36"/>
      <c r="AZ164" s="36"/>
      <c r="BA164" s="36"/>
      <c r="BB164" s="36"/>
      <c r="BC164" s="36"/>
      <c r="BD164" s="36"/>
      <c r="BE164" s="36"/>
      <c r="BF164" s="36">
        <v>1</v>
      </c>
      <c r="BG164" s="36"/>
      <c r="BH164" s="36"/>
      <c r="BI164" s="36"/>
      <c r="BJ164" s="36"/>
      <c r="BK164" s="36"/>
      <c r="BL164" s="36"/>
      <c r="BM164" s="36"/>
      <c r="BN164" s="36">
        <v>2</v>
      </c>
      <c r="BO164" s="36"/>
      <c r="BP164" s="36"/>
      <c r="BQ164" s="36"/>
      <c r="BR164" s="36"/>
      <c r="BS164" s="36"/>
      <c r="BT164" s="36"/>
      <c r="BU164" s="36"/>
      <c r="BV164" s="36"/>
      <c r="BW164" s="36"/>
      <c r="BX164" s="36"/>
      <c r="BY164" s="36"/>
      <c r="BZ164" s="36"/>
      <c r="CA164" s="36"/>
      <c r="CB164" s="36"/>
      <c r="CC164" s="36"/>
      <c r="CD164" s="36"/>
      <c r="CE164" s="36"/>
      <c r="CF164" s="36"/>
      <c r="CG164" s="36"/>
      <c r="CH164" s="36"/>
      <c r="CI164" s="36"/>
      <c r="CK164" s="4" t="b">
        <f t="shared" si="2"/>
        <v>0</v>
      </c>
    </row>
    <row r="165" spans="1:89" ht="60" customHeight="1">
      <c r="A165" s="32" t="s">
        <v>87</v>
      </c>
      <c r="B165" s="32" t="s">
        <v>232</v>
      </c>
      <c r="C165" s="32" t="s">
        <v>310</v>
      </c>
      <c r="D165" s="34"/>
      <c r="E165" s="34"/>
      <c r="F165" s="34"/>
      <c r="G165" s="34"/>
      <c r="H165" s="34"/>
      <c r="I165" s="34"/>
      <c r="J165" s="34"/>
      <c r="K165" s="34"/>
      <c r="L165" s="34"/>
      <c r="M165" s="34"/>
      <c r="N165" s="34"/>
      <c r="O165" s="34"/>
      <c r="P165" s="34"/>
      <c r="Q165" s="34"/>
      <c r="R165" s="34"/>
      <c r="S165" s="34"/>
      <c r="T165" s="34"/>
      <c r="U165" s="34"/>
      <c r="V165" s="34"/>
      <c r="W165" s="34"/>
      <c r="X165" s="34"/>
      <c r="Y165" s="34"/>
      <c r="Z165" s="34"/>
      <c r="AA165" s="34"/>
      <c r="AB165" s="36"/>
      <c r="AC165" s="36">
        <v>13</v>
      </c>
      <c r="AD165" s="36">
        <v>14</v>
      </c>
      <c r="AE165" s="36"/>
      <c r="AF165" s="36">
        <v>16</v>
      </c>
      <c r="AG165" s="36">
        <v>14</v>
      </c>
      <c r="AH165" s="36">
        <v>14</v>
      </c>
      <c r="AI165" s="36">
        <v>14</v>
      </c>
      <c r="AJ165" s="36">
        <v>17</v>
      </c>
      <c r="AK165" s="36">
        <v>13</v>
      </c>
      <c r="AL165" s="36">
        <v>15</v>
      </c>
      <c r="AM165" s="36">
        <v>14</v>
      </c>
      <c r="AN165" s="36"/>
      <c r="AO165" s="36">
        <v>11</v>
      </c>
      <c r="AP165" s="36">
        <v>14</v>
      </c>
      <c r="AQ165" s="36"/>
      <c r="AR165" s="36">
        <v>17</v>
      </c>
      <c r="AS165" s="36">
        <v>12</v>
      </c>
      <c r="AT165" s="36">
        <v>11</v>
      </c>
      <c r="AU165" s="36">
        <v>15</v>
      </c>
      <c r="AV165" s="36">
        <v>14</v>
      </c>
      <c r="AW165" s="36">
        <v>13</v>
      </c>
      <c r="AX165" s="36">
        <v>17</v>
      </c>
      <c r="AY165" s="36">
        <v>17</v>
      </c>
      <c r="AZ165" s="36"/>
      <c r="BA165" s="36">
        <v>55</v>
      </c>
      <c r="BB165" s="36">
        <v>95</v>
      </c>
      <c r="BC165" s="36"/>
      <c r="BD165" s="36">
        <v>25</v>
      </c>
      <c r="BE165" s="36">
        <v>70</v>
      </c>
      <c r="BF165" s="36">
        <v>77</v>
      </c>
      <c r="BG165" s="36">
        <v>83</v>
      </c>
      <c r="BH165" s="36">
        <v>94</v>
      </c>
      <c r="BI165" s="36">
        <v>83</v>
      </c>
      <c r="BJ165" s="36">
        <v>50</v>
      </c>
      <c r="BK165" s="36">
        <v>73</v>
      </c>
      <c r="BL165" s="36"/>
      <c r="BM165" s="36">
        <v>10</v>
      </c>
      <c r="BN165" s="36">
        <v>30</v>
      </c>
      <c r="BO165" s="36"/>
      <c r="BP165" s="36">
        <v>3520</v>
      </c>
      <c r="BQ165" s="36">
        <v>30</v>
      </c>
      <c r="BR165" s="36"/>
      <c r="BS165" s="36">
        <v>20</v>
      </c>
      <c r="BT165" s="36">
        <v>30</v>
      </c>
      <c r="BU165" s="36">
        <v>30</v>
      </c>
      <c r="BV165" s="36">
        <v>32</v>
      </c>
      <c r="BW165" s="36">
        <v>27</v>
      </c>
      <c r="BX165" s="36"/>
      <c r="BY165" s="36">
        <v>15</v>
      </c>
      <c r="BZ165" s="36">
        <v>25</v>
      </c>
      <c r="CA165" s="36"/>
      <c r="CB165" s="36">
        <v>135</v>
      </c>
      <c r="CC165" s="36">
        <v>15</v>
      </c>
      <c r="CD165" s="36"/>
      <c r="CE165" s="36">
        <v>15</v>
      </c>
      <c r="CF165" s="36">
        <v>25</v>
      </c>
      <c r="CG165" s="36"/>
      <c r="CH165" s="36">
        <v>20</v>
      </c>
      <c r="CI165" s="36">
        <v>32</v>
      </c>
      <c r="CK165" s="4" t="b">
        <f t="shared" si="2"/>
        <v>0</v>
      </c>
    </row>
    <row r="166" spans="1:89" ht="60" customHeight="1">
      <c r="A166" s="32" t="s">
        <v>87</v>
      </c>
      <c r="B166" s="32" t="s">
        <v>232</v>
      </c>
      <c r="C166" s="32" t="s">
        <v>311</v>
      </c>
      <c r="D166" s="34">
        <v>100</v>
      </c>
      <c r="E166" s="34"/>
      <c r="F166" s="34">
        <v>81.819999999999993</v>
      </c>
      <c r="G166" s="34">
        <v>100</v>
      </c>
      <c r="H166" s="34">
        <v>100</v>
      </c>
      <c r="I166" s="34"/>
      <c r="J166" s="34"/>
      <c r="K166" s="34">
        <v>100</v>
      </c>
      <c r="L166" s="34">
        <v>100</v>
      </c>
      <c r="M166" s="34">
        <v>81.819999999999993</v>
      </c>
      <c r="N166" s="34"/>
      <c r="O166" s="34"/>
      <c r="P166" s="34"/>
      <c r="Q166" s="34"/>
      <c r="R166" s="34"/>
      <c r="S166" s="34"/>
      <c r="T166" s="34"/>
      <c r="U166" s="34"/>
      <c r="V166" s="34"/>
      <c r="W166" s="34"/>
      <c r="X166" s="34"/>
      <c r="Y166" s="34"/>
      <c r="Z166" s="34"/>
      <c r="AA166" s="34"/>
      <c r="AB166" s="36">
        <v>218</v>
      </c>
      <c r="AC166" s="36"/>
      <c r="AD166" s="36">
        <v>143</v>
      </c>
      <c r="AE166" s="36">
        <v>155</v>
      </c>
      <c r="AF166" s="36">
        <v>155</v>
      </c>
      <c r="AG166" s="36"/>
      <c r="AH166" s="36"/>
      <c r="AI166" s="36">
        <v>123</v>
      </c>
      <c r="AJ166" s="36">
        <v>108</v>
      </c>
      <c r="AK166" s="36">
        <v>129</v>
      </c>
      <c r="AL166" s="36">
        <v>93</v>
      </c>
      <c r="AM166" s="36"/>
      <c r="AN166" s="36">
        <v>132</v>
      </c>
      <c r="AO166" s="36"/>
      <c r="AP166" s="36">
        <v>163</v>
      </c>
      <c r="AQ166" s="36">
        <v>127</v>
      </c>
      <c r="AR166" s="36">
        <v>132</v>
      </c>
      <c r="AS166" s="36"/>
      <c r="AT166" s="36"/>
      <c r="AU166" s="36">
        <v>89</v>
      </c>
      <c r="AV166" s="36">
        <v>74</v>
      </c>
      <c r="AW166" s="36">
        <v>16</v>
      </c>
      <c r="AX166" s="36">
        <v>124</v>
      </c>
      <c r="AY166" s="36"/>
      <c r="AZ166" s="36">
        <v>227</v>
      </c>
      <c r="BA166" s="36">
        <v>250</v>
      </c>
      <c r="BB166" s="36">
        <v>256</v>
      </c>
      <c r="BC166" s="36">
        <v>167</v>
      </c>
      <c r="BD166" s="36">
        <v>249</v>
      </c>
      <c r="BE166" s="36"/>
      <c r="BF166" s="36"/>
      <c r="BG166" s="36">
        <v>212</v>
      </c>
      <c r="BH166" s="36">
        <v>212</v>
      </c>
      <c r="BI166" s="36">
        <v>235</v>
      </c>
      <c r="BJ166" s="36">
        <v>235</v>
      </c>
      <c r="BK166" s="36"/>
      <c r="BL166" s="36">
        <v>306</v>
      </c>
      <c r="BM166" s="36">
        <v>361</v>
      </c>
      <c r="BN166" s="36">
        <v>228</v>
      </c>
      <c r="BO166" s="36">
        <v>238</v>
      </c>
      <c r="BP166" s="36">
        <v>228</v>
      </c>
      <c r="BQ166" s="36"/>
      <c r="BR166" s="36"/>
      <c r="BS166" s="36">
        <v>261</v>
      </c>
      <c r="BT166" s="36">
        <v>211</v>
      </c>
      <c r="BU166" s="36"/>
      <c r="BV166" s="36"/>
      <c r="BW166" s="36"/>
      <c r="BX166" s="36">
        <v>228</v>
      </c>
      <c r="BY166" s="36">
        <v>228</v>
      </c>
      <c r="BZ166" s="36">
        <v>306</v>
      </c>
      <c r="CA166" s="36">
        <v>292</v>
      </c>
      <c r="CB166" s="36">
        <v>306</v>
      </c>
      <c r="CC166" s="36"/>
      <c r="CD166" s="36"/>
      <c r="CE166" s="36">
        <v>301</v>
      </c>
      <c r="CF166" s="36">
        <v>328</v>
      </c>
      <c r="CG166" s="36"/>
      <c r="CH166" s="36"/>
      <c r="CI166" s="36"/>
      <c r="CK166" s="4" t="b">
        <f t="shared" si="2"/>
        <v>1</v>
      </c>
    </row>
    <row r="167" spans="1:89" ht="60" customHeight="1">
      <c r="A167" s="32" t="s">
        <v>87</v>
      </c>
      <c r="B167" s="32" t="s">
        <v>232</v>
      </c>
      <c r="C167" s="32" t="s">
        <v>312</v>
      </c>
      <c r="D167" s="34"/>
      <c r="E167" s="34">
        <v>100</v>
      </c>
      <c r="F167" s="34">
        <v>100</v>
      </c>
      <c r="G167" s="34">
        <v>100</v>
      </c>
      <c r="H167" s="34"/>
      <c r="I167" s="34">
        <v>100</v>
      </c>
      <c r="J167" s="34">
        <v>100</v>
      </c>
      <c r="K167" s="34">
        <v>69.23</v>
      </c>
      <c r="L167" s="34">
        <v>75</v>
      </c>
      <c r="M167" s="34">
        <v>100</v>
      </c>
      <c r="N167" s="34">
        <v>100</v>
      </c>
      <c r="O167" s="34">
        <v>91.67</v>
      </c>
      <c r="P167" s="34"/>
      <c r="Q167" s="34"/>
      <c r="R167" s="34"/>
      <c r="S167" s="34"/>
      <c r="T167" s="34"/>
      <c r="U167" s="34"/>
      <c r="V167" s="34"/>
      <c r="W167" s="34">
        <v>33.33</v>
      </c>
      <c r="X167" s="34"/>
      <c r="Y167" s="34"/>
      <c r="Z167" s="34"/>
      <c r="AA167" s="34"/>
      <c r="AB167" s="36"/>
      <c r="AC167" s="36">
        <v>22</v>
      </c>
      <c r="AD167" s="36">
        <v>34</v>
      </c>
      <c r="AE167" s="36">
        <v>25</v>
      </c>
      <c r="AF167" s="36">
        <v>25</v>
      </c>
      <c r="AG167" s="36">
        <v>54</v>
      </c>
      <c r="AH167" s="36">
        <v>43</v>
      </c>
      <c r="AI167" s="36">
        <v>49</v>
      </c>
      <c r="AJ167" s="36">
        <v>86</v>
      </c>
      <c r="AK167" s="36">
        <v>77</v>
      </c>
      <c r="AL167" s="36">
        <v>102</v>
      </c>
      <c r="AM167" s="36">
        <v>84</v>
      </c>
      <c r="AN167" s="36"/>
      <c r="AO167" s="36">
        <v>17</v>
      </c>
      <c r="AP167" s="36">
        <v>28</v>
      </c>
      <c r="AQ167" s="36">
        <v>34</v>
      </c>
      <c r="AR167" s="36">
        <v>25</v>
      </c>
      <c r="AS167" s="36">
        <v>44</v>
      </c>
      <c r="AT167" s="36">
        <v>55</v>
      </c>
      <c r="AU167" s="36">
        <v>41</v>
      </c>
      <c r="AV167" s="36">
        <v>91</v>
      </c>
      <c r="AW167" s="36">
        <v>114</v>
      </c>
      <c r="AX167" s="36">
        <v>107</v>
      </c>
      <c r="AY167" s="36">
        <v>69</v>
      </c>
      <c r="AZ167" s="36"/>
      <c r="BA167" s="36">
        <v>32</v>
      </c>
      <c r="BB167" s="36">
        <v>39</v>
      </c>
      <c r="BC167" s="36">
        <v>28</v>
      </c>
      <c r="BD167" s="36"/>
      <c r="BE167" s="36">
        <v>28</v>
      </c>
      <c r="BF167" s="36">
        <v>7</v>
      </c>
      <c r="BG167" s="36">
        <v>16</v>
      </c>
      <c r="BH167" s="36">
        <v>22</v>
      </c>
      <c r="BI167" s="36">
        <v>26</v>
      </c>
      <c r="BJ167" s="36">
        <v>31</v>
      </c>
      <c r="BK167" s="36">
        <v>22</v>
      </c>
      <c r="BL167" s="36"/>
      <c r="BM167" s="36"/>
      <c r="BN167" s="36"/>
      <c r="BO167" s="36">
        <v>1</v>
      </c>
      <c r="BP167" s="36"/>
      <c r="BQ167" s="36">
        <v>11</v>
      </c>
      <c r="BR167" s="36"/>
      <c r="BS167" s="36">
        <v>9</v>
      </c>
      <c r="BT167" s="36">
        <v>7</v>
      </c>
      <c r="BU167" s="36">
        <v>7</v>
      </c>
      <c r="BV167" s="36">
        <v>7</v>
      </c>
      <c r="BW167" s="36">
        <v>6</v>
      </c>
      <c r="BX167" s="36"/>
      <c r="BY167" s="36"/>
      <c r="BZ167" s="36"/>
      <c r="CA167" s="36"/>
      <c r="CB167" s="36"/>
      <c r="CC167" s="36"/>
      <c r="CD167" s="36"/>
      <c r="CE167" s="36"/>
      <c r="CF167" s="36"/>
      <c r="CG167" s="36">
        <v>1</v>
      </c>
      <c r="CH167" s="36"/>
      <c r="CI167" s="36">
        <v>1</v>
      </c>
      <c r="CK167" s="4" t="b">
        <f t="shared" si="2"/>
        <v>0</v>
      </c>
    </row>
    <row r="168" spans="1:89" ht="105" customHeight="1">
      <c r="A168" s="32" t="s">
        <v>124</v>
      </c>
      <c r="B168" s="32" t="s">
        <v>125</v>
      </c>
      <c r="C168" s="32" t="s">
        <v>313</v>
      </c>
      <c r="D168" s="34"/>
      <c r="E168" s="34"/>
      <c r="F168" s="34"/>
      <c r="G168" s="34"/>
      <c r="H168" s="34"/>
      <c r="I168" s="34"/>
      <c r="J168" s="34"/>
      <c r="K168" s="34"/>
      <c r="L168" s="34"/>
      <c r="M168" s="34"/>
      <c r="N168" s="34"/>
      <c r="O168" s="34"/>
      <c r="P168" s="34"/>
      <c r="Q168" s="34"/>
      <c r="R168" s="34"/>
      <c r="S168" s="34"/>
      <c r="T168" s="34"/>
      <c r="U168" s="34"/>
      <c r="V168" s="34"/>
      <c r="W168" s="34"/>
      <c r="X168" s="34"/>
      <c r="Y168" s="34"/>
      <c r="Z168" s="34"/>
      <c r="AA168" s="34"/>
      <c r="AB168" s="36"/>
      <c r="AC168" s="36"/>
      <c r="AD168" s="36"/>
      <c r="AE168" s="36"/>
      <c r="AF168" s="36"/>
      <c r="AG168" s="36"/>
      <c r="AH168" s="36"/>
      <c r="AI168" s="36"/>
      <c r="AJ168" s="36"/>
      <c r="AK168" s="36"/>
      <c r="AL168" s="36"/>
      <c r="AM168" s="36"/>
      <c r="AN168" s="36"/>
      <c r="AO168" s="36"/>
      <c r="AP168" s="36"/>
      <c r="AQ168" s="36"/>
      <c r="AR168" s="36"/>
      <c r="AS168" s="36"/>
      <c r="AT168" s="36"/>
      <c r="AU168" s="36"/>
      <c r="AV168" s="36"/>
      <c r="AW168" s="36"/>
      <c r="AX168" s="36"/>
      <c r="AY168" s="36"/>
      <c r="AZ168" s="36">
        <v>4</v>
      </c>
      <c r="BA168" s="36">
        <v>2</v>
      </c>
      <c r="BB168" s="36">
        <v>4</v>
      </c>
      <c r="BC168" s="36">
        <v>1</v>
      </c>
      <c r="BD168" s="36">
        <v>3</v>
      </c>
      <c r="BE168" s="36">
        <v>5</v>
      </c>
      <c r="BF168" s="36">
        <v>7</v>
      </c>
      <c r="BG168" s="36">
        <v>5</v>
      </c>
      <c r="BH168" s="36">
        <v>2</v>
      </c>
      <c r="BI168" s="36">
        <v>4</v>
      </c>
      <c r="BJ168" s="36">
        <v>3</v>
      </c>
      <c r="BK168" s="36"/>
      <c r="BL168" s="36"/>
      <c r="BM168" s="36">
        <v>4</v>
      </c>
      <c r="BN168" s="36">
        <v>2</v>
      </c>
      <c r="BO168" s="36"/>
      <c r="BP168" s="36"/>
      <c r="BQ168" s="36">
        <v>4</v>
      </c>
      <c r="BR168" s="36">
        <v>3</v>
      </c>
      <c r="BS168" s="36">
        <v>3</v>
      </c>
      <c r="BT168" s="36"/>
      <c r="BU168" s="36">
        <v>3</v>
      </c>
      <c r="BV168" s="36">
        <v>6</v>
      </c>
      <c r="BW168" s="36">
        <v>1</v>
      </c>
      <c r="BX168" s="36"/>
      <c r="BY168" s="36">
        <v>1</v>
      </c>
      <c r="BZ168" s="36">
        <v>22</v>
      </c>
      <c r="CA168" s="36">
        <v>3</v>
      </c>
      <c r="CB168" s="36"/>
      <c r="CC168" s="36"/>
      <c r="CD168" s="36"/>
      <c r="CE168" s="36">
        <v>1</v>
      </c>
      <c r="CF168" s="36">
        <v>29</v>
      </c>
      <c r="CG168" s="36">
        <v>1</v>
      </c>
      <c r="CH168" s="36">
        <v>1</v>
      </c>
      <c r="CI168" s="36">
        <v>3</v>
      </c>
      <c r="CK168" s="4" t="b">
        <f t="shared" si="2"/>
        <v>0</v>
      </c>
    </row>
    <row r="169" spans="1:89" ht="75" customHeight="1">
      <c r="A169" s="32" t="s">
        <v>124</v>
      </c>
      <c r="B169" s="32" t="s">
        <v>289</v>
      </c>
      <c r="C169" s="32" t="s">
        <v>314</v>
      </c>
      <c r="D169" s="34"/>
      <c r="E169" s="34"/>
      <c r="F169" s="34"/>
      <c r="G169" s="34"/>
      <c r="H169" s="34"/>
      <c r="I169" s="34"/>
      <c r="J169" s="34"/>
      <c r="K169" s="34"/>
      <c r="L169" s="34"/>
      <c r="M169" s="34"/>
      <c r="N169" s="34"/>
      <c r="O169" s="34"/>
      <c r="P169" s="34"/>
      <c r="Q169" s="34"/>
      <c r="R169" s="34"/>
      <c r="S169" s="34"/>
      <c r="T169" s="34"/>
      <c r="U169" s="34"/>
      <c r="V169" s="34"/>
      <c r="W169" s="34"/>
      <c r="X169" s="34"/>
      <c r="Y169" s="34"/>
      <c r="Z169" s="34"/>
      <c r="AA169" s="34"/>
      <c r="AB169" s="36"/>
      <c r="AC169" s="36"/>
      <c r="AD169" s="36"/>
      <c r="AE169" s="36">
        <v>28</v>
      </c>
      <c r="AF169" s="36"/>
      <c r="AG169" s="36"/>
      <c r="AH169" s="36"/>
      <c r="AI169" s="36">
        <v>29</v>
      </c>
      <c r="AJ169" s="36">
        <v>20</v>
      </c>
      <c r="AK169" s="36">
        <v>26</v>
      </c>
      <c r="AL169" s="36">
        <v>22</v>
      </c>
      <c r="AM169" s="36">
        <v>24</v>
      </c>
      <c r="AN169" s="36"/>
      <c r="AO169" s="36"/>
      <c r="AP169" s="36"/>
      <c r="AQ169" s="36">
        <v>28</v>
      </c>
      <c r="AR169" s="36"/>
      <c r="AS169" s="36"/>
      <c r="AT169" s="36"/>
      <c r="AU169" s="36">
        <v>30</v>
      </c>
      <c r="AV169" s="36">
        <v>22</v>
      </c>
      <c r="AW169" s="36">
        <v>28</v>
      </c>
      <c r="AX169" s="36">
        <v>26</v>
      </c>
      <c r="AY169" s="36">
        <v>25</v>
      </c>
      <c r="AZ169" s="36"/>
      <c r="BA169" s="36"/>
      <c r="BB169" s="36">
        <v>6</v>
      </c>
      <c r="BC169" s="36">
        <v>7</v>
      </c>
      <c r="BD169" s="36"/>
      <c r="BE169" s="36"/>
      <c r="BF169" s="36"/>
      <c r="BG169" s="36">
        <v>11</v>
      </c>
      <c r="BH169" s="36">
        <v>14</v>
      </c>
      <c r="BI169" s="36">
        <v>6</v>
      </c>
      <c r="BJ169" s="36">
        <v>3</v>
      </c>
      <c r="BK169" s="36">
        <v>8</v>
      </c>
      <c r="BL169" s="36"/>
      <c r="BM169" s="36"/>
      <c r="BN169" s="36">
        <v>13</v>
      </c>
      <c r="BO169" s="36">
        <v>4</v>
      </c>
      <c r="BP169" s="36"/>
      <c r="BQ169" s="36"/>
      <c r="BR169" s="36"/>
      <c r="BS169" s="36">
        <v>8</v>
      </c>
      <c r="BT169" s="36">
        <v>10</v>
      </c>
      <c r="BU169" s="36">
        <v>7</v>
      </c>
      <c r="BV169" s="36">
        <v>10</v>
      </c>
      <c r="BW169" s="36">
        <v>12</v>
      </c>
      <c r="BX169" s="36"/>
      <c r="BY169" s="36"/>
      <c r="BZ169" s="36">
        <v>5</v>
      </c>
      <c r="CA169" s="36">
        <v>1</v>
      </c>
      <c r="CB169" s="36"/>
      <c r="CC169" s="36"/>
      <c r="CD169" s="36"/>
      <c r="CE169" s="36">
        <v>2</v>
      </c>
      <c r="CF169" s="36">
        <v>2</v>
      </c>
      <c r="CG169" s="36"/>
      <c r="CH169" s="36">
        <v>7</v>
      </c>
      <c r="CI169" s="36">
        <v>7</v>
      </c>
      <c r="CK169" s="4" t="b">
        <f t="shared" si="2"/>
        <v>0</v>
      </c>
    </row>
    <row r="170" spans="1:89" ht="60" customHeight="1">
      <c r="A170" s="32" t="s">
        <v>144</v>
      </c>
      <c r="B170" s="32" t="s">
        <v>198</v>
      </c>
      <c r="C170" s="32" t="s">
        <v>315</v>
      </c>
      <c r="D170" s="34"/>
      <c r="E170" s="34"/>
      <c r="F170" s="34"/>
      <c r="G170" s="34"/>
      <c r="H170" s="34"/>
      <c r="I170" s="34"/>
      <c r="J170" s="34"/>
      <c r="K170" s="34"/>
      <c r="L170" s="34"/>
      <c r="M170" s="34"/>
      <c r="N170" s="34"/>
      <c r="O170" s="34"/>
      <c r="P170" s="34"/>
      <c r="Q170" s="34"/>
      <c r="R170" s="34"/>
      <c r="S170" s="34"/>
      <c r="T170" s="34"/>
      <c r="U170" s="34"/>
      <c r="V170" s="34"/>
      <c r="W170" s="34"/>
      <c r="X170" s="34"/>
      <c r="Y170" s="34"/>
      <c r="Z170" s="34"/>
      <c r="AA170" s="34"/>
      <c r="AB170" s="36"/>
      <c r="AC170" s="36"/>
      <c r="AD170" s="36"/>
      <c r="AE170" s="36"/>
      <c r="AF170" s="36"/>
      <c r="AG170" s="36"/>
      <c r="AH170" s="36"/>
      <c r="AI170" s="36"/>
      <c r="AJ170" s="36"/>
      <c r="AK170" s="36">
        <v>91</v>
      </c>
      <c r="AL170" s="36"/>
      <c r="AM170" s="36"/>
      <c r="AN170" s="36"/>
      <c r="AO170" s="36"/>
      <c r="AP170" s="36"/>
      <c r="AQ170" s="36"/>
      <c r="AR170" s="36"/>
      <c r="AS170" s="36"/>
      <c r="AT170" s="36"/>
      <c r="AU170" s="36"/>
      <c r="AV170" s="36"/>
      <c r="AW170" s="36">
        <v>91</v>
      </c>
      <c r="AX170" s="36"/>
      <c r="AY170" s="36"/>
      <c r="AZ170" s="36"/>
      <c r="BA170" s="36"/>
      <c r="BB170" s="36"/>
      <c r="BC170" s="36"/>
      <c r="BD170" s="36"/>
      <c r="BE170" s="36"/>
      <c r="BF170" s="36"/>
      <c r="BG170" s="36"/>
      <c r="BH170" s="36"/>
      <c r="BI170" s="36">
        <v>32</v>
      </c>
      <c r="BJ170" s="36"/>
      <c r="BK170" s="36"/>
      <c r="BL170" s="36"/>
      <c r="BM170" s="36"/>
      <c r="BN170" s="36"/>
      <c r="BO170" s="36"/>
      <c r="BP170" s="36"/>
      <c r="BQ170" s="36"/>
      <c r="BR170" s="36"/>
      <c r="BS170" s="36"/>
      <c r="BT170" s="36"/>
      <c r="BU170" s="36">
        <v>6</v>
      </c>
      <c r="BV170" s="36"/>
      <c r="BW170" s="36"/>
      <c r="BX170" s="36"/>
      <c r="BY170" s="36"/>
      <c r="BZ170" s="36"/>
      <c r="CA170" s="36"/>
      <c r="CB170" s="36"/>
      <c r="CC170" s="36"/>
      <c r="CD170" s="36"/>
      <c r="CE170" s="36"/>
      <c r="CF170" s="36"/>
      <c r="CG170" s="36">
        <v>3</v>
      </c>
      <c r="CH170" s="36"/>
      <c r="CI170" s="36"/>
      <c r="CK170" s="4" t="b">
        <f t="shared" si="2"/>
        <v>0</v>
      </c>
    </row>
    <row r="171" spans="1:89" ht="60" customHeight="1">
      <c r="A171" s="32" t="s">
        <v>144</v>
      </c>
      <c r="B171" s="32" t="s">
        <v>316</v>
      </c>
      <c r="C171" s="32" t="s">
        <v>317</v>
      </c>
      <c r="D171" s="34"/>
      <c r="E171" s="34"/>
      <c r="F171" s="34">
        <v>100</v>
      </c>
      <c r="G171" s="34">
        <v>100</v>
      </c>
      <c r="H171" s="34">
        <v>100</v>
      </c>
      <c r="I171" s="34">
        <v>100</v>
      </c>
      <c r="J171" s="34">
        <v>100</v>
      </c>
      <c r="K171" s="34">
        <v>100</v>
      </c>
      <c r="L171" s="34">
        <v>100</v>
      </c>
      <c r="M171" s="34">
        <v>100</v>
      </c>
      <c r="N171" s="34">
        <v>100</v>
      </c>
      <c r="O171" s="34">
        <v>100</v>
      </c>
      <c r="P171" s="34"/>
      <c r="Q171" s="34"/>
      <c r="R171" s="34"/>
      <c r="S171" s="34"/>
      <c r="T171" s="34"/>
      <c r="U171" s="34"/>
      <c r="V171" s="34"/>
      <c r="W171" s="34"/>
      <c r="X171" s="34"/>
      <c r="Y171" s="34"/>
      <c r="Z171" s="34"/>
      <c r="AA171" s="34">
        <v>100</v>
      </c>
      <c r="AB171" s="36"/>
      <c r="AC171" s="36">
        <v>89</v>
      </c>
      <c r="AD171" s="36">
        <v>9</v>
      </c>
      <c r="AE171" s="36">
        <v>16</v>
      </c>
      <c r="AF171" s="36">
        <v>15</v>
      </c>
      <c r="AG171" s="36">
        <v>24</v>
      </c>
      <c r="AH171" s="36">
        <v>7</v>
      </c>
      <c r="AI171" s="36">
        <v>19</v>
      </c>
      <c r="AJ171" s="36">
        <v>18</v>
      </c>
      <c r="AK171" s="36">
        <v>23</v>
      </c>
      <c r="AL171" s="36">
        <v>10</v>
      </c>
      <c r="AM171" s="36">
        <v>21</v>
      </c>
      <c r="AN171" s="36"/>
      <c r="AO171" s="36">
        <v>255</v>
      </c>
      <c r="AP171" s="36">
        <v>23</v>
      </c>
      <c r="AQ171" s="36">
        <v>26</v>
      </c>
      <c r="AR171" s="36">
        <v>15</v>
      </c>
      <c r="AS171" s="36">
        <v>14</v>
      </c>
      <c r="AT171" s="36">
        <v>13</v>
      </c>
      <c r="AU171" s="36">
        <v>36</v>
      </c>
      <c r="AV171" s="36">
        <v>10</v>
      </c>
      <c r="AW171" s="36">
        <v>22</v>
      </c>
      <c r="AX171" s="36">
        <v>15</v>
      </c>
      <c r="AY171" s="36">
        <v>22</v>
      </c>
      <c r="AZ171" s="36"/>
      <c r="BA171" s="36">
        <v>37</v>
      </c>
      <c r="BB171" s="36">
        <v>10</v>
      </c>
      <c r="BC171" s="36">
        <v>13</v>
      </c>
      <c r="BD171" s="36">
        <v>10</v>
      </c>
      <c r="BE171" s="36">
        <v>4</v>
      </c>
      <c r="BF171" s="36">
        <v>7</v>
      </c>
      <c r="BG171" s="36">
        <v>10</v>
      </c>
      <c r="BH171" s="36">
        <v>13</v>
      </c>
      <c r="BI171" s="36">
        <v>12</v>
      </c>
      <c r="BJ171" s="36">
        <v>15</v>
      </c>
      <c r="BK171" s="36">
        <v>18</v>
      </c>
      <c r="BL171" s="36"/>
      <c r="BM171" s="36">
        <v>20</v>
      </c>
      <c r="BN171" s="36">
        <v>7</v>
      </c>
      <c r="BO171" s="36">
        <v>3</v>
      </c>
      <c r="BP171" s="36">
        <v>6</v>
      </c>
      <c r="BQ171" s="36">
        <v>3</v>
      </c>
      <c r="BR171" s="36">
        <v>5</v>
      </c>
      <c r="BS171" s="36">
        <v>3</v>
      </c>
      <c r="BT171" s="36">
        <v>2</v>
      </c>
      <c r="BU171" s="36">
        <v>4</v>
      </c>
      <c r="BV171" s="36">
        <v>5</v>
      </c>
      <c r="BW171" s="36">
        <v>7</v>
      </c>
      <c r="BX171" s="36"/>
      <c r="BY171" s="36"/>
      <c r="BZ171" s="36"/>
      <c r="CA171" s="36"/>
      <c r="CB171" s="36"/>
      <c r="CC171" s="36">
        <v>1</v>
      </c>
      <c r="CD171" s="36">
        <v>1</v>
      </c>
      <c r="CE171" s="36"/>
      <c r="CF171" s="36"/>
      <c r="CG171" s="36"/>
      <c r="CH171" s="36"/>
      <c r="CI171" s="36"/>
      <c r="CK171" s="4" t="b">
        <f t="shared" si="2"/>
        <v>0</v>
      </c>
    </row>
    <row r="172" spans="1:89" ht="60" customHeight="1">
      <c r="A172" s="32" t="s">
        <v>144</v>
      </c>
      <c r="B172" s="32" t="s">
        <v>145</v>
      </c>
      <c r="C172" s="32" t="s">
        <v>318</v>
      </c>
      <c r="D172" s="34"/>
      <c r="E172" s="34"/>
      <c r="F172" s="34">
        <v>75</v>
      </c>
      <c r="G172" s="34"/>
      <c r="H172" s="34">
        <v>100</v>
      </c>
      <c r="I172" s="34">
        <v>100</v>
      </c>
      <c r="J172" s="34">
        <v>100</v>
      </c>
      <c r="K172" s="34">
        <v>100</v>
      </c>
      <c r="L172" s="34">
        <v>100</v>
      </c>
      <c r="M172" s="34"/>
      <c r="N172" s="34">
        <v>100</v>
      </c>
      <c r="O172" s="34">
        <v>100</v>
      </c>
      <c r="P172" s="34"/>
      <c r="Q172" s="34"/>
      <c r="R172" s="34"/>
      <c r="S172" s="34"/>
      <c r="T172" s="34">
        <v>50</v>
      </c>
      <c r="U172" s="34"/>
      <c r="V172" s="34"/>
      <c r="W172" s="34"/>
      <c r="X172" s="34"/>
      <c r="Y172" s="34"/>
      <c r="Z172" s="34"/>
      <c r="AA172" s="34">
        <v>50</v>
      </c>
      <c r="AB172" s="36"/>
      <c r="AC172" s="36">
        <v>5</v>
      </c>
      <c r="AD172" s="36">
        <v>9</v>
      </c>
      <c r="AE172" s="36"/>
      <c r="AF172" s="36">
        <v>11</v>
      </c>
      <c r="AG172" s="36">
        <v>14</v>
      </c>
      <c r="AH172" s="36">
        <v>11</v>
      </c>
      <c r="AI172" s="36">
        <v>6</v>
      </c>
      <c r="AJ172" s="36">
        <v>13</v>
      </c>
      <c r="AK172" s="36"/>
      <c r="AL172" s="36">
        <v>9</v>
      </c>
      <c r="AM172" s="36">
        <v>11</v>
      </c>
      <c r="AN172" s="36"/>
      <c r="AO172" s="36"/>
      <c r="AP172" s="36">
        <v>7</v>
      </c>
      <c r="AQ172" s="36"/>
      <c r="AR172" s="36">
        <v>12</v>
      </c>
      <c r="AS172" s="36">
        <v>9</v>
      </c>
      <c r="AT172" s="36">
        <v>9</v>
      </c>
      <c r="AU172" s="36">
        <v>6</v>
      </c>
      <c r="AV172" s="36">
        <v>10</v>
      </c>
      <c r="AW172" s="36"/>
      <c r="AX172" s="36">
        <v>15</v>
      </c>
      <c r="AY172" s="36">
        <v>6</v>
      </c>
      <c r="AZ172" s="36"/>
      <c r="BA172" s="36"/>
      <c r="BB172" s="36">
        <v>2</v>
      </c>
      <c r="BC172" s="36"/>
      <c r="BD172" s="36">
        <v>2</v>
      </c>
      <c r="BE172" s="36">
        <v>2</v>
      </c>
      <c r="BF172" s="36">
        <v>1</v>
      </c>
      <c r="BG172" s="36">
        <v>3</v>
      </c>
      <c r="BH172" s="36">
        <v>3</v>
      </c>
      <c r="BI172" s="36"/>
      <c r="BJ172" s="36">
        <v>11</v>
      </c>
      <c r="BK172" s="36">
        <v>3</v>
      </c>
      <c r="BL172" s="36"/>
      <c r="BM172" s="36"/>
      <c r="BN172" s="36">
        <v>3</v>
      </c>
      <c r="BO172" s="36"/>
      <c r="BP172" s="36">
        <v>5</v>
      </c>
      <c r="BQ172" s="36">
        <v>3</v>
      </c>
      <c r="BR172" s="36">
        <v>2</v>
      </c>
      <c r="BS172" s="36">
        <v>2</v>
      </c>
      <c r="BT172" s="36">
        <v>2</v>
      </c>
      <c r="BU172" s="36"/>
      <c r="BV172" s="36">
        <v>3</v>
      </c>
      <c r="BW172" s="36">
        <v>2</v>
      </c>
      <c r="BX172" s="36"/>
      <c r="BY172" s="36"/>
      <c r="BZ172" s="36"/>
      <c r="CA172" s="36"/>
      <c r="CB172" s="36"/>
      <c r="CC172" s="36">
        <v>2</v>
      </c>
      <c r="CD172" s="36">
        <v>2</v>
      </c>
      <c r="CE172" s="36">
        <v>1</v>
      </c>
      <c r="CF172" s="36"/>
      <c r="CG172" s="36"/>
      <c r="CH172" s="36">
        <v>2</v>
      </c>
      <c r="CI172" s="36">
        <v>10</v>
      </c>
      <c r="CK172" s="4" t="b">
        <f t="shared" si="2"/>
        <v>0</v>
      </c>
    </row>
    <row r="173" spans="1:89" ht="60" customHeight="1">
      <c r="A173" s="32" t="s">
        <v>87</v>
      </c>
      <c r="B173" s="32" t="s">
        <v>131</v>
      </c>
      <c r="C173" s="32" t="s">
        <v>319</v>
      </c>
      <c r="D173" s="34">
        <v>100</v>
      </c>
      <c r="E173" s="34"/>
      <c r="F173" s="34">
        <v>100</v>
      </c>
      <c r="G173" s="34">
        <v>100</v>
      </c>
      <c r="H173" s="34">
        <v>100</v>
      </c>
      <c r="I173" s="34"/>
      <c r="J173" s="34"/>
      <c r="K173" s="34"/>
      <c r="L173" s="34">
        <v>100</v>
      </c>
      <c r="M173" s="34">
        <v>100</v>
      </c>
      <c r="N173" s="34">
        <v>100</v>
      </c>
      <c r="O173" s="34">
        <v>100</v>
      </c>
      <c r="P173" s="34"/>
      <c r="Q173" s="34"/>
      <c r="R173" s="34"/>
      <c r="S173" s="34"/>
      <c r="T173" s="34"/>
      <c r="U173" s="34"/>
      <c r="V173" s="34"/>
      <c r="W173" s="34"/>
      <c r="X173" s="34"/>
      <c r="Y173" s="34"/>
      <c r="Z173" s="34"/>
      <c r="AA173" s="34"/>
      <c r="AB173" s="36">
        <v>280</v>
      </c>
      <c r="AC173" s="36">
        <v>42</v>
      </c>
      <c r="AD173" s="36">
        <v>18</v>
      </c>
      <c r="AE173" s="36">
        <v>12</v>
      </c>
      <c r="AF173" s="36">
        <v>15</v>
      </c>
      <c r="AG173" s="36"/>
      <c r="AH173" s="36"/>
      <c r="AI173" s="36"/>
      <c r="AJ173" s="36">
        <v>18</v>
      </c>
      <c r="AK173" s="36">
        <v>13</v>
      </c>
      <c r="AL173" s="36">
        <v>9</v>
      </c>
      <c r="AM173" s="36">
        <v>8</v>
      </c>
      <c r="AN173" s="36">
        <v>93</v>
      </c>
      <c r="AO173" s="36">
        <v>37</v>
      </c>
      <c r="AP173" s="36">
        <v>37</v>
      </c>
      <c r="AQ173" s="36">
        <v>20</v>
      </c>
      <c r="AR173" s="36">
        <v>13</v>
      </c>
      <c r="AS173" s="36"/>
      <c r="AT173" s="36"/>
      <c r="AU173" s="36"/>
      <c r="AV173" s="36">
        <v>3</v>
      </c>
      <c r="AW173" s="36">
        <v>10</v>
      </c>
      <c r="AX173" s="36">
        <v>15</v>
      </c>
      <c r="AY173" s="36">
        <v>19</v>
      </c>
      <c r="AZ173" s="36">
        <v>16</v>
      </c>
      <c r="BA173" s="36">
        <v>6</v>
      </c>
      <c r="BB173" s="36">
        <v>7</v>
      </c>
      <c r="BC173" s="36">
        <v>3</v>
      </c>
      <c r="BD173" s="36">
        <v>1</v>
      </c>
      <c r="BE173" s="36"/>
      <c r="BF173" s="36"/>
      <c r="BG173" s="36"/>
      <c r="BH173" s="36">
        <v>14</v>
      </c>
      <c r="BI173" s="36">
        <v>11</v>
      </c>
      <c r="BJ173" s="36">
        <v>8</v>
      </c>
      <c r="BK173" s="36">
        <v>8</v>
      </c>
      <c r="BL173" s="36">
        <v>12</v>
      </c>
      <c r="BM173" s="36">
        <v>5</v>
      </c>
      <c r="BN173" s="36">
        <v>9</v>
      </c>
      <c r="BO173" s="36">
        <v>6</v>
      </c>
      <c r="BP173" s="36">
        <v>7</v>
      </c>
      <c r="BQ173" s="36"/>
      <c r="BR173" s="36"/>
      <c r="BS173" s="36"/>
      <c r="BT173" s="36">
        <v>11</v>
      </c>
      <c r="BU173" s="36">
        <v>9</v>
      </c>
      <c r="BV173" s="36">
        <v>14</v>
      </c>
      <c r="BW173" s="36">
        <v>15</v>
      </c>
      <c r="BX173" s="36">
        <v>2</v>
      </c>
      <c r="BY173" s="36">
        <v>1</v>
      </c>
      <c r="BZ173" s="36">
        <v>8</v>
      </c>
      <c r="CA173" s="36">
        <v>6</v>
      </c>
      <c r="CB173" s="36">
        <v>7</v>
      </c>
      <c r="CC173" s="36"/>
      <c r="CD173" s="36"/>
      <c r="CE173" s="36"/>
      <c r="CF173" s="36">
        <v>8</v>
      </c>
      <c r="CG173" s="36"/>
      <c r="CH173" s="36">
        <v>5</v>
      </c>
      <c r="CI173" s="36">
        <v>7</v>
      </c>
      <c r="CK173" s="4" t="b">
        <f t="shared" si="2"/>
        <v>1</v>
      </c>
    </row>
    <row r="174" spans="1:89" ht="60" customHeight="1">
      <c r="A174" s="32" t="s">
        <v>87</v>
      </c>
      <c r="B174" s="32" t="s">
        <v>131</v>
      </c>
      <c r="C174" s="32" t="s">
        <v>320</v>
      </c>
      <c r="D174" s="34"/>
      <c r="E174" s="34">
        <v>55.56</v>
      </c>
      <c r="F174" s="34">
        <v>100</v>
      </c>
      <c r="G174" s="34">
        <v>100</v>
      </c>
      <c r="H174" s="34">
        <v>110.53</v>
      </c>
      <c r="I174" s="34">
        <v>100</v>
      </c>
      <c r="J174" s="34">
        <v>100</v>
      </c>
      <c r="K174" s="34">
        <v>81.25</v>
      </c>
      <c r="L174" s="34">
        <v>100</v>
      </c>
      <c r="M174" s="34">
        <v>100</v>
      </c>
      <c r="N174" s="34">
        <v>100</v>
      </c>
      <c r="O174" s="34">
        <v>94.12</v>
      </c>
      <c r="P174" s="34"/>
      <c r="Q174" s="34">
        <v>40</v>
      </c>
      <c r="R174" s="34">
        <v>100</v>
      </c>
      <c r="S174" s="34">
        <v>100</v>
      </c>
      <c r="T174" s="34">
        <v>75</v>
      </c>
      <c r="U174" s="34">
        <v>100</v>
      </c>
      <c r="V174" s="34">
        <v>100</v>
      </c>
      <c r="W174" s="34">
        <v>100</v>
      </c>
      <c r="X174" s="34">
        <v>100</v>
      </c>
      <c r="Y174" s="34">
        <v>100</v>
      </c>
      <c r="Z174" s="34">
        <v>100</v>
      </c>
      <c r="AA174" s="34">
        <v>100</v>
      </c>
      <c r="AB174" s="36"/>
      <c r="AC174" s="36">
        <v>64</v>
      </c>
      <c r="AD174" s="36">
        <v>95</v>
      </c>
      <c r="AE174" s="36">
        <v>115</v>
      </c>
      <c r="AF174" s="36">
        <v>140</v>
      </c>
      <c r="AG174" s="36">
        <v>135</v>
      </c>
      <c r="AH174" s="36">
        <v>150</v>
      </c>
      <c r="AI174" s="36">
        <v>124</v>
      </c>
      <c r="AJ174" s="36">
        <v>91</v>
      </c>
      <c r="AK174" s="36">
        <v>102</v>
      </c>
      <c r="AL174" s="36">
        <v>109</v>
      </c>
      <c r="AM174" s="36">
        <v>121</v>
      </c>
      <c r="AN174" s="36"/>
      <c r="AO174" s="36">
        <v>66</v>
      </c>
      <c r="AP174" s="36">
        <v>81</v>
      </c>
      <c r="AQ174" s="36">
        <v>101</v>
      </c>
      <c r="AR174" s="36">
        <v>106</v>
      </c>
      <c r="AS174" s="36">
        <v>131</v>
      </c>
      <c r="AT174" s="36">
        <v>167</v>
      </c>
      <c r="AU174" s="36">
        <v>164</v>
      </c>
      <c r="AV174" s="36">
        <v>136</v>
      </c>
      <c r="AW174" s="36">
        <v>125</v>
      </c>
      <c r="AX174" s="36">
        <v>111</v>
      </c>
      <c r="AY174" s="36">
        <v>79</v>
      </c>
      <c r="AZ174" s="36"/>
      <c r="BA174" s="36">
        <v>12</v>
      </c>
      <c r="BB174" s="36">
        <v>25</v>
      </c>
      <c r="BC174" s="36">
        <v>24</v>
      </c>
      <c r="BD174" s="36">
        <v>24</v>
      </c>
      <c r="BE174" s="36">
        <v>23</v>
      </c>
      <c r="BF174" s="36">
        <v>20</v>
      </c>
      <c r="BG174" s="36">
        <v>29</v>
      </c>
      <c r="BH174" s="36">
        <v>24</v>
      </c>
      <c r="BI174" s="36">
        <v>15</v>
      </c>
      <c r="BJ174" s="36">
        <v>33</v>
      </c>
      <c r="BK174" s="36">
        <v>21</v>
      </c>
      <c r="BL174" s="36"/>
      <c r="BM174" s="36">
        <v>3</v>
      </c>
      <c r="BN174" s="36">
        <v>5</v>
      </c>
      <c r="BO174" s="36">
        <v>11</v>
      </c>
      <c r="BP174" s="36">
        <v>11</v>
      </c>
      <c r="BQ174" s="36">
        <v>14</v>
      </c>
      <c r="BR174" s="36">
        <v>19</v>
      </c>
      <c r="BS174" s="36">
        <v>20</v>
      </c>
      <c r="BT174" s="36">
        <v>13</v>
      </c>
      <c r="BU174" s="36">
        <v>20</v>
      </c>
      <c r="BV174" s="36">
        <v>18</v>
      </c>
      <c r="BW174" s="36">
        <v>11</v>
      </c>
      <c r="BX174" s="36"/>
      <c r="BY174" s="36"/>
      <c r="BZ174" s="36"/>
      <c r="CA174" s="36">
        <v>1</v>
      </c>
      <c r="CB174" s="36">
        <v>8</v>
      </c>
      <c r="CC174" s="36">
        <v>3</v>
      </c>
      <c r="CD174" s="36">
        <v>2</v>
      </c>
      <c r="CE174" s="36">
        <v>7</v>
      </c>
      <c r="CF174" s="36">
        <v>6</v>
      </c>
      <c r="CG174" s="36">
        <v>13</v>
      </c>
      <c r="CH174" s="36">
        <v>8</v>
      </c>
      <c r="CI174" s="36">
        <v>8</v>
      </c>
      <c r="CK174" s="4" t="b">
        <f t="shared" si="2"/>
        <v>0</v>
      </c>
    </row>
    <row r="175" spans="1:89" ht="75" customHeight="1">
      <c r="A175" s="32" t="s">
        <v>87</v>
      </c>
      <c r="B175" s="32" t="s">
        <v>155</v>
      </c>
      <c r="C175" s="32" t="s">
        <v>321</v>
      </c>
      <c r="D175" s="34"/>
      <c r="E175" s="34"/>
      <c r="F175" s="34">
        <v>100</v>
      </c>
      <c r="G175" s="34">
        <v>100</v>
      </c>
      <c r="H175" s="34">
        <v>100</v>
      </c>
      <c r="I175" s="34">
        <v>100</v>
      </c>
      <c r="J175" s="34">
        <v>100</v>
      </c>
      <c r="K175" s="34">
        <v>81.25</v>
      </c>
      <c r="L175" s="34">
        <v>60</v>
      </c>
      <c r="M175" s="34">
        <v>100</v>
      </c>
      <c r="N175" s="34">
        <v>94.44</v>
      </c>
      <c r="O175" s="34">
        <v>87.5</v>
      </c>
      <c r="P175" s="34"/>
      <c r="Q175" s="34">
        <v>150</v>
      </c>
      <c r="R175" s="34"/>
      <c r="S175" s="34"/>
      <c r="T175" s="34"/>
      <c r="U175" s="34">
        <v>25</v>
      </c>
      <c r="V175" s="34"/>
      <c r="W175" s="34">
        <v>25</v>
      </c>
      <c r="X175" s="34">
        <v>75</v>
      </c>
      <c r="Y175" s="34">
        <v>50</v>
      </c>
      <c r="Z175" s="34"/>
      <c r="AA175" s="34">
        <v>25</v>
      </c>
      <c r="AB175" s="36"/>
      <c r="AC175" s="36">
        <v>113</v>
      </c>
      <c r="AD175" s="36">
        <v>79</v>
      </c>
      <c r="AE175" s="36">
        <v>88</v>
      </c>
      <c r="AF175" s="36">
        <v>108</v>
      </c>
      <c r="AG175" s="36">
        <v>123</v>
      </c>
      <c r="AH175" s="36">
        <v>104</v>
      </c>
      <c r="AI175" s="36">
        <v>89</v>
      </c>
      <c r="AJ175" s="36">
        <v>80</v>
      </c>
      <c r="AK175" s="36">
        <v>77</v>
      </c>
      <c r="AL175" s="36">
        <v>121</v>
      </c>
      <c r="AM175" s="36">
        <v>83</v>
      </c>
      <c r="AN175" s="36"/>
      <c r="AO175" s="36">
        <v>95</v>
      </c>
      <c r="AP175" s="36">
        <v>85</v>
      </c>
      <c r="AQ175" s="36">
        <v>89</v>
      </c>
      <c r="AR175" s="36">
        <v>83</v>
      </c>
      <c r="AS175" s="36">
        <v>74</v>
      </c>
      <c r="AT175" s="36">
        <v>98</v>
      </c>
      <c r="AU175" s="36">
        <v>77</v>
      </c>
      <c r="AV175" s="36">
        <v>111</v>
      </c>
      <c r="AW175" s="36">
        <v>105</v>
      </c>
      <c r="AX175" s="36">
        <v>87</v>
      </c>
      <c r="AY175" s="36">
        <v>55</v>
      </c>
      <c r="AZ175" s="36"/>
      <c r="BA175" s="36">
        <v>21</v>
      </c>
      <c r="BB175" s="36">
        <v>29</v>
      </c>
      <c r="BC175" s="36">
        <v>26</v>
      </c>
      <c r="BD175" s="36">
        <v>27</v>
      </c>
      <c r="BE175" s="36">
        <v>25</v>
      </c>
      <c r="BF175" s="36">
        <v>20</v>
      </c>
      <c r="BG175" s="36">
        <v>33</v>
      </c>
      <c r="BH175" s="36">
        <v>27</v>
      </c>
      <c r="BI175" s="36">
        <v>31</v>
      </c>
      <c r="BJ175" s="36">
        <v>28</v>
      </c>
      <c r="BK175" s="36">
        <v>28</v>
      </c>
      <c r="BL175" s="36"/>
      <c r="BM175" s="36">
        <v>2</v>
      </c>
      <c r="BN175" s="36"/>
      <c r="BO175" s="36">
        <v>2</v>
      </c>
      <c r="BP175" s="36">
        <v>8</v>
      </c>
      <c r="BQ175" s="36">
        <v>26</v>
      </c>
      <c r="BR175" s="36">
        <v>16</v>
      </c>
      <c r="BS175" s="36">
        <v>17</v>
      </c>
      <c r="BT175" s="36">
        <v>13</v>
      </c>
      <c r="BU175" s="36">
        <v>9</v>
      </c>
      <c r="BV175" s="36">
        <v>16</v>
      </c>
      <c r="BW175" s="36">
        <v>18</v>
      </c>
      <c r="BX175" s="36"/>
      <c r="BY175" s="36"/>
      <c r="BZ175" s="36"/>
      <c r="CA175" s="36"/>
      <c r="CB175" s="36"/>
      <c r="CC175" s="36"/>
      <c r="CD175" s="36"/>
      <c r="CE175" s="36">
        <v>2</v>
      </c>
      <c r="CF175" s="36">
        <v>2</v>
      </c>
      <c r="CG175" s="36">
        <v>2</v>
      </c>
      <c r="CH175" s="36">
        <v>2</v>
      </c>
      <c r="CI175" s="36">
        <v>2</v>
      </c>
      <c r="CK175" s="4" t="b">
        <f t="shared" si="2"/>
        <v>0</v>
      </c>
    </row>
    <row r="176" spans="1:89" ht="90" customHeight="1">
      <c r="A176" s="32" t="s">
        <v>124</v>
      </c>
      <c r="B176" s="32" t="s">
        <v>268</v>
      </c>
      <c r="C176" s="32" t="s">
        <v>322</v>
      </c>
      <c r="D176" s="34"/>
      <c r="E176" s="34"/>
      <c r="F176" s="34"/>
      <c r="G176" s="34">
        <v>100</v>
      </c>
      <c r="H176" s="34">
        <v>100</v>
      </c>
      <c r="I176" s="34">
        <v>100</v>
      </c>
      <c r="J176" s="34"/>
      <c r="K176" s="34">
        <v>100</v>
      </c>
      <c r="L176" s="34">
        <v>100</v>
      </c>
      <c r="M176" s="34">
        <v>100</v>
      </c>
      <c r="N176" s="34">
        <v>100</v>
      </c>
      <c r="O176" s="34">
        <v>100</v>
      </c>
      <c r="P176" s="34"/>
      <c r="Q176" s="34"/>
      <c r="R176" s="34"/>
      <c r="S176" s="34"/>
      <c r="T176" s="34"/>
      <c r="U176" s="34"/>
      <c r="V176" s="34"/>
      <c r="W176" s="34"/>
      <c r="X176" s="34"/>
      <c r="Y176" s="34"/>
      <c r="Z176" s="34"/>
      <c r="AA176" s="34"/>
      <c r="AB176" s="36"/>
      <c r="AC176" s="36"/>
      <c r="AD176" s="36"/>
      <c r="AE176" s="36">
        <v>34</v>
      </c>
      <c r="AF176" s="36">
        <v>24</v>
      </c>
      <c r="AG176" s="36">
        <v>25</v>
      </c>
      <c r="AH176" s="36"/>
      <c r="AI176" s="36">
        <v>18</v>
      </c>
      <c r="AJ176" s="36">
        <v>17</v>
      </c>
      <c r="AK176" s="36">
        <v>28</v>
      </c>
      <c r="AL176" s="36">
        <v>20</v>
      </c>
      <c r="AM176" s="36">
        <v>21</v>
      </c>
      <c r="AN176" s="36"/>
      <c r="AO176" s="36"/>
      <c r="AP176" s="36"/>
      <c r="AQ176" s="36">
        <v>39</v>
      </c>
      <c r="AR176" s="36">
        <v>22</v>
      </c>
      <c r="AS176" s="36">
        <v>21</v>
      </c>
      <c r="AT176" s="36"/>
      <c r="AU176" s="36">
        <v>21</v>
      </c>
      <c r="AV176" s="36">
        <v>27</v>
      </c>
      <c r="AW176" s="36">
        <v>26</v>
      </c>
      <c r="AX176" s="36">
        <v>18</v>
      </c>
      <c r="AY176" s="36">
        <v>21</v>
      </c>
      <c r="AZ176" s="36"/>
      <c r="BA176" s="36"/>
      <c r="BB176" s="36"/>
      <c r="BC176" s="36">
        <v>43</v>
      </c>
      <c r="BD176" s="36">
        <v>38</v>
      </c>
      <c r="BE176" s="36">
        <v>32</v>
      </c>
      <c r="BF176" s="36"/>
      <c r="BG176" s="36">
        <v>54</v>
      </c>
      <c r="BH176" s="36">
        <v>38</v>
      </c>
      <c r="BI176" s="36">
        <v>41</v>
      </c>
      <c r="BJ176" s="36">
        <v>40</v>
      </c>
      <c r="BK176" s="36">
        <v>43</v>
      </c>
      <c r="BL176" s="36"/>
      <c r="BM176" s="36"/>
      <c r="BN176" s="36"/>
      <c r="BO176" s="36">
        <v>22</v>
      </c>
      <c r="BP176" s="36">
        <v>22</v>
      </c>
      <c r="BQ176" s="36">
        <v>10</v>
      </c>
      <c r="BR176" s="36"/>
      <c r="BS176" s="36">
        <v>21</v>
      </c>
      <c r="BT176" s="36">
        <v>10</v>
      </c>
      <c r="BU176" s="36">
        <v>15</v>
      </c>
      <c r="BV176" s="36">
        <v>29</v>
      </c>
      <c r="BW176" s="36">
        <v>10</v>
      </c>
      <c r="BX176" s="36"/>
      <c r="BY176" s="36"/>
      <c r="BZ176" s="36"/>
      <c r="CA176" s="36">
        <v>5</v>
      </c>
      <c r="CB176" s="36">
        <v>4</v>
      </c>
      <c r="CC176" s="36">
        <v>4</v>
      </c>
      <c r="CD176" s="36"/>
      <c r="CE176" s="36">
        <v>4</v>
      </c>
      <c r="CF176" s="36">
        <v>6</v>
      </c>
      <c r="CG176" s="36">
        <v>6</v>
      </c>
      <c r="CH176" s="36">
        <v>5</v>
      </c>
      <c r="CI176" s="36">
        <v>6</v>
      </c>
      <c r="CK176" s="4" t="b">
        <f t="shared" si="2"/>
        <v>0</v>
      </c>
    </row>
    <row r="177" spans="1:89" ht="75" customHeight="1">
      <c r="A177" s="32" t="s">
        <v>109</v>
      </c>
      <c r="B177" s="32" t="s">
        <v>110</v>
      </c>
      <c r="C177" s="32" t="s">
        <v>323</v>
      </c>
      <c r="D177" s="34"/>
      <c r="E177" s="34">
        <v>100</v>
      </c>
      <c r="F177" s="34">
        <v>100</v>
      </c>
      <c r="G177" s="34">
        <v>100</v>
      </c>
      <c r="H177" s="34">
        <v>100</v>
      </c>
      <c r="I177" s="34">
        <v>100</v>
      </c>
      <c r="J177" s="34">
        <v>100</v>
      </c>
      <c r="K177" s="34">
        <v>100</v>
      </c>
      <c r="L177" s="34">
        <v>100</v>
      </c>
      <c r="M177" s="34">
        <v>100</v>
      </c>
      <c r="N177" s="34"/>
      <c r="O177" s="34"/>
      <c r="P177" s="34"/>
      <c r="Q177" s="34">
        <v>100</v>
      </c>
      <c r="R177" s="34">
        <v>100</v>
      </c>
      <c r="S177" s="34">
        <v>100</v>
      </c>
      <c r="T177" s="34">
        <v>100</v>
      </c>
      <c r="U177" s="34">
        <v>100</v>
      </c>
      <c r="V177" s="34">
        <v>100</v>
      </c>
      <c r="W177" s="34">
        <v>100</v>
      </c>
      <c r="X177" s="34">
        <v>100</v>
      </c>
      <c r="Y177" s="34">
        <v>100</v>
      </c>
      <c r="Z177" s="34"/>
      <c r="AA177" s="34"/>
      <c r="AB177" s="36"/>
      <c r="AC177" s="36">
        <v>105</v>
      </c>
      <c r="AD177" s="36">
        <v>14</v>
      </c>
      <c r="AE177" s="36">
        <v>17</v>
      </c>
      <c r="AF177" s="36">
        <v>11</v>
      </c>
      <c r="AG177" s="36">
        <v>12</v>
      </c>
      <c r="AH177" s="36">
        <v>15</v>
      </c>
      <c r="AI177" s="36">
        <v>17</v>
      </c>
      <c r="AJ177" s="36">
        <v>16</v>
      </c>
      <c r="AK177" s="36">
        <v>16</v>
      </c>
      <c r="AL177" s="36"/>
      <c r="AM177" s="36"/>
      <c r="AN177" s="36"/>
      <c r="AO177" s="36">
        <v>39</v>
      </c>
      <c r="AP177" s="36">
        <v>19</v>
      </c>
      <c r="AQ177" s="36">
        <v>23</v>
      </c>
      <c r="AR177" s="36">
        <v>18</v>
      </c>
      <c r="AS177" s="36">
        <v>12</v>
      </c>
      <c r="AT177" s="36">
        <v>13</v>
      </c>
      <c r="AU177" s="36">
        <v>14</v>
      </c>
      <c r="AV177" s="36">
        <v>15</v>
      </c>
      <c r="AW177" s="36">
        <v>17</v>
      </c>
      <c r="AX177" s="36"/>
      <c r="AY177" s="36"/>
      <c r="AZ177" s="36"/>
      <c r="BA177" s="36">
        <v>13</v>
      </c>
      <c r="BB177" s="36">
        <v>7</v>
      </c>
      <c r="BC177" s="36">
        <v>25</v>
      </c>
      <c r="BD177" s="36">
        <v>15</v>
      </c>
      <c r="BE177" s="36">
        <v>10</v>
      </c>
      <c r="BF177" s="36">
        <v>12</v>
      </c>
      <c r="BG177" s="36">
        <v>6</v>
      </c>
      <c r="BH177" s="36">
        <v>8</v>
      </c>
      <c r="BI177" s="36">
        <v>7</v>
      </c>
      <c r="BJ177" s="36"/>
      <c r="BK177" s="36"/>
      <c r="BL177" s="36"/>
      <c r="BM177" s="36"/>
      <c r="BN177" s="36"/>
      <c r="BO177" s="36">
        <v>7</v>
      </c>
      <c r="BP177" s="36">
        <v>2</v>
      </c>
      <c r="BQ177" s="36">
        <v>2</v>
      </c>
      <c r="BR177" s="36">
        <v>1</v>
      </c>
      <c r="BS177" s="36"/>
      <c r="BT177" s="36"/>
      <c r="BU177" s="36"/>
      <c r="BV177" s="36"/>
      <c r="BW177" s="36"/>
      <c r="BX177" s="36"/>
      <c r="BY177" s="36"/>
      <c r="BZ177" s="36"/>
      <c r="CA177" s="36"/>
      <c r="CB177" s="36"/>
      <c r="CC177" s="36"/>
      <c r="CD177" s="36"/>
      <c r="CE177" s="36"/>
      <c r="CF177" s="36"/>
      <c r="CG177" s="36"/>
      <c r="CH177" s="36"/>
      <c r="CI177" s="36"/>
      <c r="CK177" s="4" t="b">
        <f t="shared" si="2"/>
        <v>0</v>
      </c>
    </row>
    <row r="178" spans="1:89" ht="75" customHeight="1">
      <c r="A178" s="32" t="s">
        <v>109</v>
      </c>
      <c r="B178" s="32" t="s">
        <v>110</v>
      </c>
      <c r="C178" s="32" t="s">
        <v>324</v>
      </c>
      <c r="D178" s="34"/>
      <c r="E178" s="34">
        <v>50</v>
      </c>
      <c r="F178" s="34">
        <v>50</v>
      </c>
      <c r="G178" s="34"/>
      <c r="H178" s="34">
        <v>100</v>
      </c>
      <c r="I178" s="34"/>
      <c r="J178" s="34">
        <v>100</v>
      </c>
      <c r="K178" s="34">
        <v>50</v>
      </c>
      <c r="L178" s="34">
        <v>100</v>
      </c>
      <c r="M178" s="34"/>
      <c r="N178" s="34"/>
      <c r="O178" s="34"/>
      <c r="P178" s="34"/>
      <c r="Q178" s="34">
        <v>50</v>
      </c>
      <c r="R178" s="34">
        <v>50</v>
      </c>
      <c r="S178" s="34"/>
      <c r="T178" s="34">
        <v>100</v>
      </c>
      <c r="U178" s="34"/>
      <c r="V178" s="34">
        <v>100</v>
      </c>
      <c r="W178" s="34">
        <v>50</v>
      </c>
      <c r="X178" s="34">
        <v>100</v>
      </c>
      <c r="Y178" s="34"/>
      <c r="Z178" s="34"/>
      <c r="AA178" s="34"/>
      <c r="AB178" s="36"/>
      <c r="AC178" s="36">
        <v>28</v>
      </c>
      <c r="AD178" s="36">
        <v>16</v>
      </c>
      <c r="AE178" s="36"/>
      <c r="AF178" s="36">
        <v>15</v>
      </c>
      <c r="AG178" s="36"/>
      <c r="AH178" s="36">
        <v>16</v>
      </c>
      <c r="AI178" s="36">
        <v>18</v>
      </c>
      <c r="AJ178" s="36">
        <v>15</v>
      </c>
      <c r="AK178" s="36"/>
      <c r="AL178" s="36"/>
      <c r="AM178" s="36"/>
      <c r="AN178" s="36"/>
      <c r="AO178" s="36">
        <v>27</v>
      </c>
      <c r="AP178" s="36">
        <v>16</v>
      </c>
      <c r="AQ178" s="36"/>
      <c r="AR178" s="36">
        <v>30</v>
      </c>
      <c r="AS178" s="36"/>
      <c r="AT178" s="36">
        <v>18</v>
      </c>
      <c r="AU178" s="36">
        <v>21</v>
      </c>
      <c r="AV178" s="36">
        <v>18</v>
      </c>
      <c r="AW178" s="36"/>
      <c r="AX178" s="36"/>
      <c r="AY178" s="36"/>
      <c r="AZ178" s="36"/>
      <c r="BA178" s="36"/>
      <c r="BB178" s="36">
        <v>8</v>
      </c>
      <c r="BC178" s="36"/>
      <c r="BD178" s="36">
        <v>14</v>
      </c>
      <c r="BE178" s="36"/>
      <c r="BF178" s="36">
        <v>17</v>
      </c>
      <c r="BG178" s="36">
        <v>17</v>
      </c>
      <c r="BH178" s="36">
        <v>8</v>
      </c>
      <c r="BI178" s="36"/>
      <c r="BJ178" s="36"/>
      <c r="BK178" s="36"/>
      <c r="BL178" s="36"/>
      <c r="BM178" s="36"/>
      <c r="BN178" s="36"/>
      <c r="BO178" s="36"/>
      <c r="BP178" s="36">
        <v>3</v>
      </c>
      <c r="BQ178" s="36"/>
      <c r="BR178" s="36">
        <v>2</v>
      </c>
      <c r="BS178" s="36">
        <v>1</v>
      </c>
      <c r="BT178" s="36">
        <v>3</v>
      </c>
      <c r="BU178" s="36"/>
      <c r="BV178" s="36"/>
      <c r="BW178" s="36"/>
      <c r="BX178" s="36"/>
      <c r="BY178" s="36"/>
      <c r="BZ178" s="36"/>
      <c r="CA178" s="36"/>
      <c r="CB178" s="36"/>
      <c r="CC178" s="36"/>
      <c r="CD178" s="36"/>
      <c r="CE178" s="36"/>
      <c r="CF178" s="36"/>
      <c r="CG178" s="36"/>
      <c r="CH178" s="36"/>
      <c r="CI178" s="36"/>
      <c r="CK178" s="4" t="b">
        <f t="shared" si="2"/>
        <v>0</v>
      </c>
    </row>
    <row r="179" spans="1:89" ht="75" customHeight="1">
      <c r="A179" s="32" t="s">
        <v>87</v>
      </c>
      <c r="B179" s="32" t="s">
        <v>120</v>
      </c>
      <c r="C179" s="32" t="s">
        <v>325</v>
      </c>
      <c r="D179" s="34"/>
      <c r="E179" s="34">
        <v>55.56</v>
      </c>
      <c r="F179" s="34">
        <v>100</v>
      </c>
      <c r="G179" s="34">
        <v>100</v>
      </c>
      <c r="H179" s="34">
        <v>100</v>
      </c>
      <c r="I179" s="34">
        <v>100</v>
      </c>
      <c r="J179" s="34">
        <v>100</v>
      </c>
      <c r="K179" s="34">
        <v>100</v>
      </c>
      <c r="L179" s="34">
        <v>100</v>
      </c>
      <c r="M179" s="34">
        <v>100</v>
      </c>
      <c r="N179" s="34">
        <v>100</v>
      </c>
      <c r="O179" s="34">
        <v>100</v>
      </c>
      <c r="P179" s="34"/>
      <c r="Q179" s="34"/>
      <c r="R179" s="34">
        <v>50</v>
      </c>
      <c r="S179" s="34">
        <v>25</v>
      </c>
      <c r="T179" s="34"/>
      <c r="U179" s="34"/>
      <c r="V179" s="34"/>
      <c r="W179" s="34"/>
      <c r="X179" s="34"/>
      <c r="Y179" s="34"/>
      <c r="Z179" s="34">
        <v>25</v>
      </c>
      <c r="AA179" s="34"/>
      <c r="AB179" s="36"/>
      <c r="AC179" s="36">
        <v>66</v>
      </c>
      <c r="AD179" s="36">
        <v>93</v>
      </c>
      <c r="AE179" s="36">
        <v>113</v>
      </c>
      <c r="AF179" s="36">
        <v>107</v>
      </c>
      <c r="AG179" s="36">
        <v>137</v>
      </c>
      <c r="AH179" s="36">
        <v>147</v>
      </c>
      <c r="AI179" s="36">
        <v>112</v>
      </c>
      <c r="AJ179" s="36">
        <v>109</v>
      </c>
      <c r="AK179" s="36">
        <v>105</v>
      </c>
      <c r="AL179" s="36">
        <v>104</v>
      </c>
      <c r="AM179" s="36">
        <v>119</v>
      </c>
      <c r="AN179" s="36"/>
      <c r="AO179" s="36">
        <v>59</v>
      </c>
      <c r="AP179" s="36">
        <v>95</v>
      </c>
      <c r="AQ179" s="36">
        <v>134</v>
      </c>
      <c r="AR179" s="36">
        <v>108</v>
      </c>
      <c r="AS179" s="36">
        <v>84</v>
      </c>
      <c r="AT179" s="36">
        <v>122</v>
      </c>
      <c r="AU179" s="36">
        <v>127</v>
      </c>
      <c r="AV179" s="36">
        <v>117</v>
      </c>
      <c r="AW179" s="36">
        <v>116</v>
      </c>
      <c r="AX179" s="36">
        <v>115</v>
      </c>
      <c r="AY179" s="36">
        <v>77</v>
      </c>
      <c r="AZ179" s="36"/>
      <c r="BA179" s="36">
        <v>41</v>
      </c>
      <c r="BB179" s="36">
        <v>76</v>
      </c>
      <c r="BC179" s="36">
        <v>95</v>
      </c>
      <c r="BD179" s="36">
        <v>56</v>
      </c>
      <c r="BE179" s="36">
        <v>64</v>
      </c>
      <c r="BF179" s="36">
        <v>58</v>
      </c>
      <c r="BG179" s="36">
        <v>68</v>
      </c>
      <c r="BH179" s="36">
        <v>79</v>
      </c>
      <c r="BI179" s="36">
        <v>79</v>
      </c>
      <c r="BJ179" s="36">
        <v>66</v>
      </c>
      <c r="BK179" s="36">
        <v>49</v>
      </c>
      <c r="BL179" s="36"/>
      <c r="BM179" s="36">
        <v>16</v>
      </c>
      <c r="BN179" s="36">
        <v>22</v>
      </c>
      <c r="BO179" s="36">
        <v>30</v>
      </c>
      <c r="BP179" s="36">
        <v>32</v>
      </c>
      <c r="BQ179" s="36">
        <v>20</v>
      </c>
      <c r="BR179" s="36">
        <v>25</v>
      </c>
      <c r="BS179" s="36">
        <v>30</v>
      </c>
      <c r="BT179" s="36">
        <v>33</v>
      </c>
      <c r="BU179" s="36">
        <v>37</v>
      </c>
      <c r="BV179" s="36">
        <v>35</v>
      </c>
      <c r="BW179" s="36">
        <v>41</v>
      </c>
      <c r="BX179" s="36"/>
      <c r="BY179" s="36"/>
      <c r="BZ179" s="36"/>
      <c r="CA179" s="36"/>
      <c r="CB179" s="36"/>
      <c r="CC179" s="36"/>
      <c r="CD179" s="36"/>
      <c r="CE179" s="36"/>
      <c r="CF179" s="36"/>
      <c r="CG179" s="36"/>
      <c r="CH179" s="36"/>
      <c r="CI179" s="36"/>
      <c r="CK179" s="4" t="b">
        <f t="shared" si="2"/>
        <v>0</v>
      </c>
    </row>
    <row r="180" spans="1:89" ht="75" customHeight="1">
      <c r="A180" s="32" t="s">
        <v>87</v>
      </c>
      <c r="B180" s="32" t="s">
        <v>188</v>
      </c>
      <c r="C180" s="32" t="s">
        <v>326</v>
      </c>
      <c r="D180" s="34"/>
      <c r="E180" s="34">
        <v>138.88999999999999</v>
      </c>
      <c r="F180" s="34">
        <v>100</v>
      </c>
      <c r="G180" s="34">
        <v>100</v>
      </c>
      <c r="H180" s="34">
        <v>94.12</v>
      </c>
      <c r="I180" s="34">
        <v>100</v>
      </c>
      <c r="J180" s="34">
        <v>100</v>
      </c>
      <c r="K180" s="34">
        <v>100</v>
      </c>
      <c r="L180" s="34">
        <v>91.67</v>
      </c>
      <c r="M180" s="34">
        <v>100</v>
      </c>
      <c r="N180" s="34">
        <v>100</v>
      </c>
      <c r="O180" s="34">
        <v>81.819999999999993</v>
      </c>
      <c r="P180" s="34"/>
      <c r="Q180" s="34">
        <v>75</v>
      </c>
      <c r="R180" s="34">
        <v>33.33</v>
      </c>
      <c r="S180" s="34">
        <v>25</v>
      </c>
      <c r="T180" s="34">
        <v>22.22</v>
      </c>
      <c r="U180" s="34">
        <v>37.5</v>
      </c>
      <c r="V180" s="34"/>
      <c r="W180" s="34"/>
      <c r="X180" s="34"/>
      <c r="Y180" s="34">
        <v>38.46</v>
      </c>
      <c r="Z180" s="34">
        <v>100</v>
      </c>
      <c r="AA180" s="34">
        <v>100</v>
      </c>
      <c r="AB180" s="36">
        <v>12</v>
      </c>
      <c r="AC180" s="36">
        <v>135</v>
      </c>
      <c r="AD180" s="36">
        <v>53</v>
      </c>
      <c r="AE180" s="36">
        <v>76</v>
      </c>
      <c r="AF180" s="36">
        <v>87</v>
      </c>
      <c r="AG180" s="36">
        <v>84</v>
      </c>
      <c r="AH180" s="36">
        <v>71</v>
      </c>
      <c r="AI180" s="36">
        <v>51</v>
      </c>
      <c r="AJ180" s="36">
        <v>37</v>
      </c>
      <c r="AK180" s="36">
        <v>65</v>
      </c>
      <c r="AL180" s="36">
        <v>50</v>
      </c>
      <c r="AM180" s="36">
        <v>40</v>
      </c>
      <c r="AN180" s="36">
        <v>12</v>
      </c>
      <c r="AO180" s="36">
        <v>167</v>
      </c>
      <c r="AP180" s="36">
        <v>59</v>
      </c>
      <c r="AQ180" s="36">
        <v>73</v>
      </c>
      <c r="AR180" s="36">
        <v>77</v>
      </c>
      <c r="AS180" s="36">
        <v>59</v>
      </c>
      <c r="AT180" s="36">
        <v>59</v>
      </c>
      <c r="AU180" s="36">
        <v>70</v>
      </c>
      <c r="AV180" s="36">
        <v>61</v>
      </c>
      <c r="AW180" s="36">
        <v>69</v>
      </c>
      <c r="AX180" s="36">
        <v>44</v>
      </c>
      <c r="AY180" s="36">
        <v>46</v>
      </c>
      <c r="AZ180" s="36"/>
      <c r="BA180" s="36">
        <v>25</v>
      </c>
      <c r="BB180" s="36">
        <v>38</v>
      </c>
      <c r="BC180" s="36">
        <v>45</v>
      </c>
      <c r="BD180" s="36">
        <v>42</v>
      </c>
      <c r="BE180" s="36">
        <v>31</v>
      </c>
      <c r="BF180" s="36">
        <v>37</v>
      </c>
      <c r="BG180" s="36">
        <v>38</v>
      </c>
      <c r="BH180" s="36">
        <v>45</v>
      </c>
      <c r="BI180" s="36">
        <v>38</v>
      </c>
      <c r="BJ180" s="36">
        <v>44</v>
      </c>
      <c r="BK180" s="36">
        <v>37</v>
      </c>
      <c r="BL180" s="36"/>
      <c r="BM180" s="36">
        <v>7</v>
      </c>
      <c r="BN180" s="36">
        <v>22</v>
      </c>
      <c r="BO180" s="36">
        <v>21</v>
      </c>
      <c r="BP180" s="36">
        <v>18</v>
      </c>
      <c r="BQ180" s="36">
        <v>7</v>
      </c>
      <c r="BR180" s="36">
        <v>11</v>
      </c>
      <c r="BS180" s="36">
        <v>20</v>
      </c>
      <c r="BT180" s="36">
        <v>14</v>
      </c>
      <c r="BU180" s="36">
        <v>24</v>
      </c>
      <c r="BV180" s="36">
        <v>34</v>
      </c>
      <c r="BW180" s="36">
        <v>19</v>
      </c>
      <c r="BX180" s="36"/>
      <c r="BY180" s="36"/>
      <c r="BZ180" s="36"/>
      <c r="CA180" s="36">
        <v>2</v>
      </c>
      <c r="CB180" s="36">
        <v>4</v>
      </c>
      <c r="CC180" s="36">
        <v>2</v>
      </c>
      <c r="CD180" s="36"/>
      <c r="CE180" s="36">
        <v>2</v>
      </c>
      <c r="CF180" s="36">
        <v>3</v>
      </c>
      <c r="CG180" s="36"/>
      <c r="CH180" s="36"/>
      <c r="CI180" s="36"/>
      <c r="CK180" s="4" t="b">
        <f t="shared" si="2"/>
        <v>0</v>
      </c>
    </row>
    <row r="181" spans="1:89" ht="90" customHeight="1">
      <c r="A181" s="32" t="s">
        <v>109</v>
      </c>
      <c r="B181" s="32" t="s">
        <v>194</v>
      </c>
      <c r="C181" s="32" t="s">
        <v>327</v>
      </c>
      <c r="D181" s="34"/>
      <c r="E181" s="34"/>
      <c r="F181" s="34"/>
      <c r="G181" s="34"/>
      <c r="H181" s="34"/>
      <c r="I181" s="34">
        <v>100</v>
      </c>
      <c r="J181" s="34"/>
      <c r="K181" s="34"/>
      <c r="L181" s="34">
        <v>100</v>
      </c>
      <c r="M181" s="34">
        <v>100</v>
      </c>
      <c r="N181" s="34">
        <v>100</v>
      </c>
      <c r="O181" s="34"/>
      <c r="P181" s="34"/>
      <c r="Q181" s="34"/>
      <c r="R181" s="34"/>
      <c r="S181" s="34"/>
      <c r="T181" s="34"/>
      <c r="U181" s="34"/>
      <c r="V181" s="34"/>
      <c r="W181" s="34"/>
      <c r="X181" s="34"/>
      <c r="Y181" s="34"/>
      <c r="Z181" s="34">
        <v>100</v>
      </c>
      <c r="AA181" s="34"/>
      <c r="AB181" s="36"/>
      <c r="AC181" s="36"/>
      <c r="AD181" s="36"/>
      <c r="AE181" s="36"/>
      <c r="AF181" s="36"/>
      <c r="AG181" s="36">
        <v>1</v>
      </c>
      <c r="AH181" s="36">
        <v>3</v>
      </c>
      <c r="AI181" s="36"/>
      <c r="AJ181" s="36">
        <v>2</v>
      </c>
      <c r="AK181" s="36">
        <v>3</v>
      </c>
      <c r="AL181" s="36">
        <v>1</v>
      </c>
      <c r="AM181" s="36"/>
      <c r="AN181" s="36"/>
      <c r="AO181" s="36"/>
      <c r="AP181" s="36"/>
      <c r="AQ181" s="36"/>
      <c r="AR181" s="36"/>
      <c r="AS181" s="36"/>
      <c r="AT181" s="36"/>
      <c r="AU181" s="36">
        <v>1</v>
      </c>
      <c r="AV181" s="36">
        <v>2</v>
      </c>
      <c r="AW181" s="36">
        <v>2</v>
      </c>
      <c r="AX181" s="36">
        <v>3</v>
      </c>
      <c r="AY181" s="36"/>
      <c r="AZ181" s="36"/>
      <c r="BA181" s="36"/>
      <c r="BB181" s="36"/>
      <c r="BC181" s="36"/>
      <c r="BD181" s="36"/>
      <c r="BE181" s="36"/>
      <c r="BF181" s="36"/>
      <c r="BG181" s="36"/>
      <c r="BH181" s="36"/>
      <c r="BI181" s="36">
        <v>1</v>
      </c>
      <c r="BJ181" s="36"/>
      <c r="BK181" s="36"/>
      <c r="BL181" s="36"/>
      <c r="BM181" s="36"/>
      <c r="BN181" s="36"/>
      <c r="BO181" s="36"/>
      <c r="BP181" s="36"/>
      <c r="BQ181" s="36"/>
      <c r="BR181" s="36"/>
      <c r="BS181" s="36"/>
      <c r="BT181" s="36"/>
      <c r="BU181" s="36"/>
      <c r="BV181" s="36"/>
      <c r="BW181" s="36"/>
      <c r="BX181" s="36"/>
      <c r="BY181" s="36"/>
      <c r="BZ181" s="36"/>
      <c r="CA181" s="36"/>
      <c r="CB181" s="36"/>
      <c r="CC181" s="36"/>
      <c r="CD181" s="36"/>
      <c r="CE181" s="36"/>
      <c r="CF181" s="36"/>
      <c r="CG181" s="36"/>
      <c r="CH181" s="36">
        <v>2</v>
      </c>
      <c r="CI181" s="36"/>
      <c r="CK181" s="4" t="b">
        <f t="shared" si="2"/>
        <v>0</v>
      </c>
    </row>
    <row r="182" spans="1:89" ht="75" customHeight="1">
      <c r="A182" s="32" t="s">
        <v>124</v>
      </c>
      <c r="B182" s="32" t="s">
        <v>218</v>
      </c>
      <c r="C182" s="32" t="s">
        <v>328</v>
      </c>
      <c r="D182" s="34"/>
      <c r="E182" s="34">
        <v>100</v>
      </c>
      <c r="F182" s="34">
        <v>50</v>
      </c>
      <c r="G182" s="34"/>
      <c r="H182" s="34"/>
      <c r="I182" s="34">
        <v>100</v>
      </c>
      <c r="J182" s="34">
        <v>100</v>
      </c>
      <c r="K182" s="34">
        <v>100</v>
      </c>
      <c r="L182" s="34">
        <v>100</v>
      </c>
      <c r="M182" s="34"/>
      <c r="N182" s="34">
        <v>100</v>
      </c>
      <c r="O182" s="34">
        <v>100</v>
      </c>
      <c r="P182" s="34"/>
      <c r="Q182" s="34">
        <v>100</v>
      </c>
      <c r="R182" s="34">
        <v>100</v>
      </c>
      <c r="S182" s="34"/>
      <c r="T182" s="34"/>
      <c r="U182" s="34">
        <v>100</v>
      </c>
      <c r="V182" s="34">
        <v>100</v>
      </c>
      <c r="W182" s="34">
        <v>100</v>
      </c>
      <c r="X182" s="34">
        <v>100</v>
      </c>
      <c r="Y182" s="34"/>
      <c r="Z182" s="34">
        <v>100</v>
      </c>
      <c r="AA182" s="34">
        <v>100</v>
      </c>
      <c r="AB182" s="36"/>
      <c r="AC182" s="36">
        <v>51</v>
      </c>
      <c r="AD182" s="36">
        <v>46</v>
      </c>
      <c r="AE182" s="36"/>
      <c r="AF182" s="36"/>
      <c r="AG182" s="36">
        <v>43</v>
      </c>
      <c r="AH182" s="36">
        <v>40</v>
      </c>
      <c r="AI182" s="36">
        <v>41</v>
      </c>
      <c r="AJ182" s="36">
        <v>41</v>
      </c>
      <c r="AK182" s="36"/>
      <c r="AL182" s="36">
        <v>51</v>
      </c>
      <c r="AM182" s="36">
        <v>51</v>
      </c>
      <c r="AN182" s="36"/>
      <c r="AO182" s="36">
        <v>1141</v>
      </c>
      <c r="AP182" s="36">
        <v>40</v>
      </c>
      <c r="AQ182" s="36"/>
      <c r="AR182" s="36"/>
      <c r="AS182" s="36">
        <v>43</v>
      </c>
      <c r="AT182" s="36">
        <v>40</v>
      </c>
      <c r="AU182" s="36">
        <v>41</v>
      </c>
      <c r="AV182" s="36">
        <v>41</v>
      </c>
      <c r="AW182" s="36"/>
      <c r="AX182" s="36">
        <v>51</v>
      </c>
      <c r="AY182" s="36">
        <v>51</v>
      </c>
      <c r="AZ182" s="36"/>
      <c r="BA182" s="36">
        <v>7</v>
      </c>
      <c r="BB182" s="36">
        <v>13</v>
      </c>
      <c r="BC182" s="36"/>
      <c r="BD182" s="36"/>
      <c r="BE182" s="36">
        <v>12</v>
      </c>
      <c r="BF182" s="36">
        <v>12</v>
      </c>
      <c r="BG182" s="36">
        <v>12</v>
      </c>
      <c r="BH182" s="36">
        <v>12</v>
      </c>
      <c r="BI182" s="36"/>
      <c r="BJ182" s="36">
        <v>12</v>
      </c>
      <c r="BK182" s="36">
        <v>12</v>
      </c>
      <c r="BL182" s="36"/>
      <c r="BM182" s="36"/>
      <c r="BN182" s="36"/>
      <c r="BO182" s="36"/>
      <c r="BP182" s="36"/>
      <c r="BQ182" s="36"/>
      <c r="BR182" s="36">
        <v>12</v>
      </c>
      <c r="BS182" s="36"/>
      <c r="BT182" s="36"/>
      <c r="BU182" s="36"/>
      <c r="BV182" s="36"/>
      <c r="BW182" s="36"/>
      <c r="BX182" s="36"/>
      <c r="BY182" s="36"/>
      <c r="BZ182" s="36"/>
      <c r="CA182" s="36"/>
      <c r="CB182" s="36"/>
      <c r="CC182" s="36"/>
      <c r="CD182" s="36"/>
      <c r="CE182" s="36"/>
      <c r="CF182" s="36"/>
      <c r="CG182" s="36"/>
      <c r="CH182" s="36"/>
      <c r="CI182" s="36"/>
      <c r="CK182" s="4" t="b">
        <f t="shared" si="2"/>
        <v>0</v>
      </c>
    </row>
    <row r="183" spans="1:89" ht="75" customHeight="1">
      <c r="A183" s="32" t="s">
        <v>124</v>
      </c>
      <c r="B183" s="32" t="s">
        <v>329</v>
      </c>
      <c r="C183" s="32" t="s">
        <v>330</v>
      </c>
      <c r="D183" s="34"/>
      <c r="E183" s="34">
        <v>25</v>
      </c>
      <c r="F183" s="34">
        <v>100</v>
      </c>
      <c r="G183" s="34"/>
      <c r="H183" s="34">
        <v>50</v>
      </c>
      <c r="I183" s="34">
        <v>75</v>
      </c>
      <c r="J183" s="34">
        <v>100</v>
      </c>
      <c r="K183" s="34">
        <v>75</v>
      </c>
      <c r="L183" s="34"/>
      <c r="M183" s="34">
        <v>50</v>
      </c>
      <c r="N183" s="34">
        <v>50</v>
      </c>
      <c r="O183" s="34">
        <v>50</v>
      </c>
      <c r="P183" s="34"/>
      <c r="Q183" s="34"/>
      <c r="R183" s="34">
        <v>50</v>
      </c>
      <c r="S183" s="34"/>
      <c r="T183" s="34">
        <v>50</v>
      </c>
      <c r="U183" s="34">
        <v>75</v>
      </c>
      <c r="V183" s="34">
        <v>50</v>
      </c>
      <c r="W183" s="34">
        <v>50</v>
      </c>
      <c r="X183" s="34"/>
      <c r="Y183" s="34">
        <v>75</v>
      </c>
      <c r="Z183" s="34">
        <v>50</v>
      </c>
      <c r="AA183" s="34">
        <v>75</v>
      </c>
      <c r="AB183" s="36"/>
      <c r="AC183" s="36">
        <v>39</v>
      </c>
      <c r="AD183" s="36">
        <v>33</v>
      </c>
      <c r="AE183" s="36"/>
      <c r="AF183" s="36">
        <v>34</v>
      </c>
      <c r="AG183" s="36">
        <v>31</v>
      </c>
      <c r="AH183" s="36">
        <v>29</v>
      </c>
      <c r="AI183" s="36">
        <v>34</v>
      </c>
      <c r="AJ183" s="36">
        <v>36</v>
      </c>
      <c r="AK183" s="36">
        <v>36</v>
      </c>
      <c r="AL183" s="36">
        <v>34</v>
      </c>
      <c r="AM183" s="36">
        <v>33</v>
      </c>
      <c r="AN183" s="36"/>
      <c r="AO183" s="36">
        <v>61</v>
      </c>
      <c r="AP183" s="36">
        <v>32</v>
      </c>
      <c r="AQ183" s="36"/>
      <c r="AR183" s="36">
        <v>32</v>
      </c>
      <c r="AS183" s="36">
        <v>31</v>
      </c>
      <c r="AT183" s="36">
        <v>28</v>
      </c>
      <c r="AU183" s="36">
        <v>34</v>
      </c>
      <c r="AV183" s="36">
        <v>35</v>
      </c>
      <c r="AW183" s="36">
        <v>36</v>
      </c>
      <c r="AX183" s="36">
        <v>35</v>
      </c>
      <c r="AY183" s="36">
        <v>35</v>
      </c>
      <c r="AZ183" s="36"/>
      <c r="BA183" s="36">
        <v>12</v>
      </c>
      <c r="BB183" s="36">
        <v>11</v>
      </c>
      <c r="BC183" s="36"/>
      <c r="BD183" s="36">
        <v>5</v>
      </c>
      <c r="BE183" s="36">
        <v>9</v>
      </c>
      <c r="BF183" s="36">
        <v>7</v>
      </c>
      <c r="BG183" s="36">
        <v>6</v>
      </c>
      <c r="BH183" s="36">
        <v>7</v>
      </c>
      <c r="BI183" s="36">
        <v>7</v>
      </c>
      <c r="BJ183" s="36">
        <v>6</v>
      </c>
      <c r="BK183" s="36">
        <v>5</v>
      </c>
      <c r="BL183" s="36"/>
      <c r="BM183" s="36"/>
      <c r="BN183" s="36"/>
      <c r="BO183" s="36"/>
      <c r="BP183" s="36"/>
      <c r="BQ183" s="36">
        <v>1</v>
      </c>
      <c r="BR183" s="36"/>
      <c r="BS183" s="36"/>
      <c r="BT183" s="36"/>
      <c r="BU183" s="36"/>
      <c r="BV183" s="36">
        <v>1</v>
      </c>
      <c r="BW183" s="36">
        <v>1</v>
      </c>
      <c r="BX183" s="36"/>
      <c r="BY183" s="36"/>
      <c r="BZ183" s="36"/>
      <c r="CA183" s="36"/>
      <c r="CB183" s="36"/>
      <c r="CC183" s="36"/>
      <c r="CD183" s="36"/>
      <c r="CE183" s="36"/>
      <c r="CF183" s="36"/>
      <c r="CG183" s="36"/>
      <c r="CH183" s="36"/>
      <c r="CI183" s="36"/>
      <c r="CK183" s="4" t="b">
        <f t="shared" si="2"/>
        <v>0</v>
      </c>
    </row>
    <row r="184" spans="1:89" ht="60" customHeight="1">
      <c r="A184" s="32" t="s">
        <v>144</v>
      </c>
      <c r="B184" s="32" t="s">
        <v>303</v>
      </c>
      <c r="C184" s="32" t="s">
        <v>331</v>
      </c>
      <c r="D184" s="34"/>
      <c r="E184" s="34">
        <v>100</v>
      </c>
      <c r="F184" s="34">
        <v>100</v>
      </c>
      <c r="G184" s="34">
        <v>100</v>
      </c>
      <c r="H184" s="34">
        <v>100</v>
      </c>
      <c r="I184" s="34">
        <v>100</v>
      </c>
      <c r="J184" s="34">
        <v>100</v>
      </c>
      <c r="K184" s="34">
        <v>100</v>
      </c>
      <c r="L184" s="34">
        <v>100</v>
      </c>
      <c r="M184" s="34">
        <v>100</v>
      </c>
      <c r="N184" s="34"/>
      <c r="O184" s="34"/>
      <c r="P184" s="34"/>
      <c r="Q184" s="34">
        <v>100</v>
      </c>
      <c r="R184" s="34">
        <v>100</v>
      </c>
      <c r="S184" s="34">
        <v>100</v>
      </c>
      <c r="T184" s="34">
        <v>100</v>
      </c>
      <c r="U184" s="34">
        <v>100</v>
      </c>
      <c r="V184" s="34">
        <v>100</v>
      </c>
      <c r="W184" s="34">
        <v>100</v>
      </c>
      <c r="X184" s="34">
        <v>100</v>
      </c>
      <c r="Y184" s="34">
        <v>100</v>
      </c>
      <c r="Z184" s="34"/>
      <c r="AA184" s="34"/>
      <c r="AB184" s="36"/>
      <c r="AC184" s="36">
        <v>4</v>
      </c>
      <c r="AD184" s="36">
        <v>3</v>
      </c>
      <c r="AE184" s="36">
        <v>3</v>
      </c>
      <c r="AF184" s="36">
        <v>3</v>
      </c>
      <c r="AG184" s="36">
        <v>1</v>
      </c>
      <c r="AH184" s="36">
        <v>2</v>
      </c>
      <c r="AI184" s="36">
        <v>6</v>
      </c>
      <c r="AJ184" s="36">
        <v>3</v>
      </c>
      <c r="AK184" s="36">
        <v>3</v>
      </c>
      <c r="AL184" s="36">
        <v>2</v>
      </c>
      <c r="AM184" s="36"/>
      <c r="AN184" s="36"/>
      <c r="AO184" s="36">
        <v>2</v>
      </c>
      <c r="AP184" s="36">
        <v>5</v>
      </c>
      <c r="AQ184" s="36">
        <v>3</v>
      </c>
      <c r="AR184" s="36">
        <v>4</v>
      </c>
      <c r="AS184" s="36"/>
      <c r="AT184" s="36">
        <v>3</v>
      </c>
      <c r="AU184" s="36">
        <v>2</v>
      </c>
      <c r="AV184" s="36">
        <v>3</v>
      </c>
      <c r="AW184" s="36">
        <v>4</v>
      </c>
      <c r="AX184" s="36">
        <v>3</v>
      </c>
      <c r="AY184" s="36"/>
      <c r="AZ184" s="36"/>
      <c r="BA184" s="36">
        <v>3</v>
      </c>
      <c r="BB184" s="36">
        <v>3</v>
      </c>
      <c r="BC184" s="36">
        <v>2</v>
      </c>
      <c r="BD184" s="36">
        <v>2</v>
      </c>
      <c r="BE184" s="36">
        <v>3</v>
      </c>
      <c r="BF184" s="36">
        <v>5</v>
      </c>
      <c r="BG184" s="36">
        <v>5</v>
      </c>
      <c r="BH184" s="36">
        <v>3</v>
      </c>
      <c r="BI184" s="36">
        <v>3</v>
      </c>
      <c r="BJ184" s="36"/>
      <c r="BK184" s="36"/>
      <c r="BL184" s="36"/>
      <c r="BM184" s="36"/>
      <c r="BN184" s="36">
        <v>1</v>
      </c>
      <c r="BO184" s="36"/>
      <c r="BP184" s="36"/>
      <c r="BQ184" s="36">
        <v>3</v>
      </c>
      <c r="BR184" s="36"/>
      <c r="BS184" s="36">
        <v>3</v>
      </c>
      <c r="BT184" s="36">
        <v>3</v>
      </c>
      <c r="BU184" s="36">
        <v>1</v>
      </c>
      <c r="BV184" s="36">
        <v>4</v>
      </c>
      <c r="BW184" s="36"/>
      <c r="BX184" s="36"/>
      <c r="BY184" s="36"/>
      <c r="BZ184" s="36"/>
      <c r="CA184" s="36"/>
      <c r="CB184" s="36"/>
      <c r="CC184" s="36"/>
      <c r="CD184" s="36"/>
      <c r="CE184" s="36"/>
      <c r="CF184" s="36"/>
      <c r="CG184" s="36"/>
      <c r="CH184" s="36"/>
      <c r="CI184" s="36"/>
      <c r="CK184" s="4" t="b">
        <f t="shared" si="2"/>
        <v>0</v>
      </c>
    </row>
    <row r="185" spans="1:89" ht="75" customHeight="1">
      <c r="A185" s="32" t="s">
        <v>101</v>
      </c>
      <c r="B185" s="32" t="s">
        <v>141</v>
      </c>
      <c r="C185" s="32" t="s">
        <v>332</v>
      </c>
      <c r="D185" s="34"/>
      <c r="E185" s="34">
        <v>100</v>
      </c>
      <c r="F185" s="34"/>
      <c r="G185" s="34">
        <v>100</v>
      </c>
      <c r="H185" s="34">
        <v>100</v>
      </c>
      <c r="I185" s="34">
        <v>100</v>
      </c>
      <c r="J185" s="34">
        <v>100</v>
      </c>
      <c r="K185" s="34">
        <v>100</v>
      </c>
      <c r="L185" s="34">
        <v>100</v>
      </c>
      <c r="M185" s="34">
        <v>400</v>
      </c>
      <c r="N185" s="34">
        <v>100</v>
      </c>
      <c r="O185" s="34">
        <v>100</v>
      </c>
      <c r="P185" s="34"/>
      <c r="Q185" s="34">
        <v>100</v>
      </c>
      <c r="R185" s="34"/>
      <c r="S185" s="34">
        <v>100</v>
      </c>
      <c r="T185" s="34">
        <v>100</v>
      </c>
      <c r="U185" s="34">
        <v>100</v>
      </c>
      <c r="V185" s="34">
        <v>100</v>
      </c>
      <c r="W185" s="34">
        <v>100</v>
      </c>
      <c r="X185" s="34">
        <v>100</v>
      </c>
      <c r="Y185" s="34">
        <v>100</v>
      </c>
      <c r="Z185" s="34">
        <v>100</v>
      </c>
      <c r="AA185" s="34">
        <v>100</v>
      </c>
      <c r="AB185" s="36"/>
      <c r="AC185" s="36">
        <v>11</v>
      </c>
      <c r="AD185" s="36">
        <v>22</v>
      </c>
      <c r="AE185" s="36">
        <v>23</v>
      </c>
      <c r="AF185" s="36">
        <v>23</v>
      </c>
      <c r="AG185" s="36">
        <v>24</v>
      </c>
      <c r="AH185" s="36">
        <v>24</v>
      </c>
      <c r="AI185" s="36">
        <v>26</v>
      </c>
      <c r="AJ185" s="36">
        <v>25</v>
      </c>
      <c r="AK185" s="36">
        <v>25</v>
      </c>
      <c r="AL185" s="36">
        <v>26</v>
      </c>
      <c r="AM185" s="36">
        <v>26</v>
      </c>
      <c r="AN185" s="36"/>
      <c r="AO185" s="36">
        <v>93</v>
      </c>
      <c r="AP185" s="36">
        <v>24</v>
      </c>
      <c r="AQ185" s="36">
        <v>24</v>
      </c>
      <c r="AR185" s="36">
        <v>25</v>
      </c>
      <c r="AS185" s="36">
        <v>26</v>
      </c>
      <c r="AT185" s="36">
        <v>26</v>
      </c>
      <c r="AU185" s="36">
        <v>28</v>
      </c>
      <c r="AV185" s="36">
        <v>27</v>
      </c>
      <c r="AW185" s="36">
        <v>26</v>
      </c>
      <c r="AX185" s="36">
        <v>27</v>
      </c>
      <c r="AY185" s="36">
        <v>28</v>
      </c>
      <c r="AZ185" s="36"/>
      <c r="BA185" s="36">
        <v>3</v>
      </c>
      <c r="BB185" s="36">
        <v>3</v>
      </c>
      <c r="BC185" s="36">
        <v>5</v>
      </c>
      <c r="BD185" s="36">
        <v>6</v>
      </c>
      <c r="BE185" s="36">
        <v>21</v>
      </c>
      <c r="BF185" s="36">
        <v>2</v>
      </c>
      <c r="BG185" s="36">
        <v>3</v>
      </c>
      <c r="BH185" s="36">
        <v>5</v>
      </c>
      <c r="BI185" s="36">
        <v>20</v>
      </c>
      <c r="BJ185" s="36">
        <v>16</v>
      </c>
      <c r="BK185" s="36">
        <v>9</v>
      </c>
      <c r="BL185" s="36"/>
      <c r="BM185" s="36">
        <v>3</v>
      </c>
      <c r="BN185" s="36">
        <v>3</v>
      </c>
      <c r="BO185" s="36"/>
      <c r="BP185" s="36"/>
      <c r="BQ185" s="36">
        <v>11</v>
      </c>
      <c r="BR185" s="36">
        <v>2</v>
      </c>
      <c r="BS185" s="36"/>
      <c r="BT185" s="36"/>
      <c r="BU185" s="36"/>
      <c r="BV185" s="36">
        <v>5</v>
      </c>
      <c r="BW185" s="36">
        <v>4</v>
      </c>
      <c r="BX185" s="36"/>
      <c r="BY185" s="36"/>
      <c r="BZ185" s="36"/>
      <c r="CA185" s="36">
        <v>5</v>
      </c>
      <c r="CB185" s="36"/>
      <c r="CC185" s="36">
        <v>10</v>
      </c>
      <c r="CD185" s="36"/>
      <c r="CE185" s="36"/>
      <c r="CF185" s="36"/>
      <c r="CG185" s="36"/>
      <c r="CH185" s="36">
        <v>2</v>
      </c>
      <c r="CI185" s="36">
        <v>5</v>
      </c>
      <c r="CK185" s="4" t="b">
        <f t="shared" si="2"/>
        <v>0</v>
      </c>
    </row>
    <row r="186" spans="1:89" ht="60" customHeight="1">
      <c r="A186" s="32" t="s">
        <v>87</v>
      </c>
      <c r="B186" s="32" t="s">
        <v>188</v>
      </c>
      <c r="C186" s="32" t="s">
        <v>333</v>
      </c>
      <c r="D186" s="34"/>
      <c r="E186" s="34"/>
      <c r="F186" s="34"/>
      <c r="G186" s="34"/>
      <c r="H186" s="34"/>
      <c r="I186" s="34"/>
      <c r="J186" s="34"/>
      <c r="K186" s="34"/>
      <c r="L186" s="34"/>
      <c r="M186" s="34"/>
      <c r="N186" s="34"/>
      <c r="O186" s="34"/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  <c r="AA186" s="34"/>
      <c r="AB186" s="36"/>
      <c r="AC186" s="36"/>
      <c r="AD186" s="36"/>
      <c r="AE186" s="36"/>
      <c r="AF186" s="36"/>
      <c r="AG186" s="36"/>
      <c r="AH186" s="36"/>
      <c r="AI186" s="36"/>
      <c r="AJ186" s="36">
        <v>12</v>
      </c>
      <c r="AK186" s="36">
        <v>12</v>
      </c>
      <c r="AL186" s="36">
        <v>12</v>
      </c>
      <c r="AM186" s="36"/>
      <c r="AN186" s="36"/>
      <c r="AO186" s="36"/>
      <c r="AP186" s="36"/>
      <c r="AQ186" s="36"/>
      <c r="AR186" s="36"/>
      <c r="AS186" s="36"/>
      <c r="AT186" s="36"/>
      <c r="AU186" s="36"/>
      <c r="AV186" s="36">
        <v>3</v>
      </c>
      <c r="AW186" s="36">
        <v>3</v>
      </c>
      <c r="AX186" s="36">
        <v>3</v>
      </c>
      <c r="AY186" s="36"/>
      <c r="AZ186" s="36"/>
      <c r="BA186" s="36"/>
      <c r="BB186" s="36"/>
      <c r="BC186" s="36"/>
      <c r="BD186" s="36"/>
      <c r="BE186" s="36"/>
      <c r="BF186" s="36"/>
      <c r="BG186" s="36"/>
      <c r="BH186" s="36">
        <v>10</v>
      </c>
      <c r="BI186" s="36">
        <v>1</v>
      </c>
      <c r="BJ186" s="36">
        <v>1</v>
      </c>
      <c r="BK186" s="36"/>
      <c r="BL186" s="36"/>
      <c r="BM186" s="36"/>
      <c r="BN186" s="36"/>
      <c r="BO186" s="36"/>
      <c r="BP186" s="36"/>
      <c r="BQ186" s="36"/>
      <c r="BR186" s="36"/>
      <c r="BS186" s="36"/>
      <c r="BT186" s="36">
        <v>2</v>
      </c>
      <c r="BU186" s="36">
        <v>23</v>
      </c>
      <c r="BV186" s="36">
        <v>3</v>
      </c>
      <c r="BW186" s="36"/>
      <c r="BX186" s="36"/>
      <c r="BY186" s="36"/>
      <c r="BZ186" s="36"/>
      <c r="CA186" s="36"/>
      <c r="CB186" s="36"/>
      <c r="CC186" s="36"/>
      <c r="CD186" s="36"/>
      <c r="CE186" s="36"/>
      <c r="CF186" s="36">
        <v>1</v>
      </c>
      <c r="CG186" s="36">
        <v>1</v>
      </c>
      <c r="CH186" s="36">
        <v>6</v>
      </c>
      <c r="CI186" s="36"/>
      <c r="CK186" s="4" t="b">
        <f t="shared" si="2"/>
        <v>0</v>
      </c>
    </row>
    <row r="187" spans="1:89" ht="75" customHeight="1">
      <c r="A187" s="32" t="s">
        <v>87</v>
      </c>
      <c r="B187" s="32" t="s">
        <v>232</v>
      </c>
      <c r="C187" s="32" t="s">
        <v>334</v>
      </c>
      <c r="D187" s="34"/>
      <c r="E187" s="34">
        <v>33.33</v>
      </c>
      <c r="F187" s="34">
        <v>100</v>
      </c>
      <c r="G187" s="34">
        <v>100</v>
      </c>
      <c r="H187" s="34">
        <v>100</v>
      </c>
      <c r="I187" s="34">
        <v>100</v>
      </c>
      <c r="J187" s="34">
        <v>87.5</v>
      </c>
      <c r="K187" s="34">
        <v>100</v>
      </c>
      <c r="L187" s="34">
        <v>100</v>
      </c>
      <c r="M187" s="34">
        <v>100</v>
      </c>
      <c r="N187" s="34">
        <v>100</v>
      </c>
      <c r="O187" s="34">
        <v>100</v>
      </c>
      <c r="P187" s="34"/>
      <c r="Q187" s="34">
        <v>150</v>
      </c>
      <c r="R187" s="34"/>
      <c r="S187" s="34"/>
      <c r="T187" s="34">
        <v>125</v>
      </c>
      <c r="U187" s="34">
        <v>100</v>
      </c>
      <c r="V187" s="34"/>
      <c r="W187" s="34"/>
      <c r="X187" s="34"/>
      <c r="Y187" s="34"/>
      <c r="Z187" s="34">
        <v>100</v>
      </c>
      <c r="AA187" s="34">
        <v>25</v>
      </c>
      <c r="AB187" s="36">
        <v>64</v>
      </c>
      <c r="AC187" s="36">
        <v>89</v>
      </c>
      <c r="AD187" s="36">
        <v>25</v>
      </c>
      <c r="AE187" s="36">
        <v>34</v>
      </c>
      <c r="AF187" s="36">
        <v>55</v>
      </c>
      <c r="AG187" s="36">
        <v>55</v>
      </c>
      <c r="AH187" s="36">
        <v>14</v>
      </c>
      <c r="AI187" s="36">
        <v>32</v>
      </c>
      <c r="AJ187" s="36">
        <v>35</v>
      </c>
      <c r="AK187" s="36">
        <v>35</v>
      </c>
      <c r="AL187" s="36">
        <v>80</v>
      </c>
      <c r="AM187" s="36">
        <v>34</v>
      </c>
      <c r="AN187" s="36">
        <v>30</v>
      </c>
      <c r="AO187" s="36">
        <v>79</v>
      </c>
      <c r="AP187" s="36">
        <v>42</v>
      </c>
      <c r="AQ187" s="36">
        <v>43</v>
      </c>
      <c r="AR187" s="36">
        <v>29</v>
      </c>
      <c r="AS187" s="36">
        <v>50</v>
      </c>
      <c r="AT187" s="36">
        <v>34</v>
      </c>
      <c r="AU187" s="36">
        <v>32</v>
      </c>
      <c r="AV187" s="36">
        <v>31</v>
      </c>
      <c r="AW187" s="36">
        <v>33</v>
      </c>
      <c r="AX187" s="36">
        <v>63</v>
      </c>
      <c r="AY187" s="36">
        <v>20</v>
      </c>
      <c r="AZ187" s="36"/>
      <c r="BA187" s="36">
        <v>40</v>
      </c>
      <c r="BB187" s="36">
        <v>33</v>
      </c>
      <c r="BC187" s="36">
        <v>20</v>
      </c>
      <c r="BD187" s="36">
        <v>32</v>
      </c>
      <c r="BE187" s="36">
        <v>21</v>
      </c>
      <c r="BF187" s="36">
        <v>13</v>
      </c>
      <c r="BG187" s="36">
        <v>39</v>
      </c>
      <c r="BH187" s="36">
        <v>20</v>
      </c>
      <c r="BI187" s="36">
        <v>12</v>
      </c>
      <c r="BJ187" s="36">
        <v>46</v>
      </c>
      <c r="BK187" s="36">
        <v>17</v>
      </c>
      <c r="BL187" s="36"/>
      <c r="BM187" s="36">
        <v>16</v>
      </c>
      <c r="BN187" s="36">
        <v>8</v>
      </c>
      <c r="BO187" s="36">
        <v>7</v>
      </c>
      <c r="BP187" s="36">
        <v>6</v>
      </c>
      <c r="BQ187" s="36">
        <v>20</v>
      </c>
      <c r="BR187" s="36"/>
      <c r="BS187" s="36">
        <v>20</v>
      </c>
      <c r="BT187" s="36">
        <v>15</v>
      </c>
      <c r="BU187" s="36">
        <v>11</v>
      </c>
      <c r="BV187" s="36">
        <v>30</v>
      </c>
      <c r="BW187" s="36">
        <v>15</v>
      </c>
      <c r="BX187" s="36"/>
      <c r="BY187" s="36">
        <v>10</v>
      </c>
      <c r="BZ187" s="36">
        <v>5</v>
      </c>
      <c r="CA187" s="36"/>
      <c r="CB187" s="36">
        <v>1</v>
      </c>
      <c r="CC187" s="36">
        <v>1</v>
      </c>
      <c r="CD187" s="36"/>
      <c r="CE187" s="36">
        <v>5</v>
      </c>
      <c r="CF187" s="36">
        <v>2</v>
      </c>
      <c r="CG187" s="36">
        <v>3</v>
      </c>
      <c r="CH187" s="36">
        <v>7</v>
      </c>
      <c r="CI187" s="36">
        <v>6</v>
      </c>
      <c r="CK187" s="4" t="b">
        <f t="shared" si="2"/>
        <v>0</v>
      </c>
    </row>
    <row r="188" spans="1:89" ht="60" customHeight="1">
      <c r="A188" s="32" t="s">
        <v>87</v>
      </c>
      <c r="B188" s="32" t="s">
        <v>335</v>
      </c>
      <c r="C188" s="32" t="s">
        <v>336</v>
      </c>
      <c r="D188" s="34">
        <v>95.24</v>
      </c>
      <c r="E188" s="34">
        <v>95.65</v>
      </c>
      <c r="F188" s="34"/>
      <c r="G188" s="34">
        <v>100</v>
      </c>
      <c r="H188" s="34">
        <v>100</v>
      </c>
      <c r="I188" s="34">
        <v>100</v>
      </c>
      <c r="J188" s="34"/>
      <c r="K188" s="34"/>
      <c r="L188" s="34">
        <v>75</v>
      </c>
      <c r="M188" s="34">
        <v>90.91</v>
      </c>
      <c r="N188" s="34">
        <v>90.91</v>
      </c>
      <c r="O188" s="34">
        <v>90.48</v>
      </c>
      <c r="P188" s="34"/>
      <c r="Q188" s="34"/>
      <c r="R188" s="34"/>
      <c r="S188" s="34"/>
      <c r="T188" s="34"/>
      <c r="U188" s="34"/>
      <c r="V188" s="34"/>
      <c r="W188" s="34"/>
      <c r="X188" s="34"/>
      <c r="Y188" s="34"/>
      <c r="Z188" s="34"/>
      <c r="AA188" s="34"/>
      <c r="AB188" s="36">
        <v>182</v>
      </c>
      <c r="AC188" s="36">
        <v>173</v>
      </c>
      <c r="AD188" s="36"/>
      <c r="AE188" s="36">
        <v>64</v>
      </c>
      <c r="AF188" s="36">
        <v>81</v>
      </c>
      <c r="AG188" s="36">
        <v>87</v>
      </c>
      <c r="AH188" s="36"/>
      <c r="AI188" s="36"/>
      <c r="AJ188" s="36">
        <v>15</v>
      </c>
      <c r="AK188" s="36">
        <v>39</v>
      </c>
      <c r="AL188" s="36">
        <v>56</v>
      </c>
      <c r="AM188" s="36">
        <v>62</v>
      </c>
      <c r="AN188" s="36">
        <v>154</v>
      </c>
      <c r="AO188" s="36">
        <v>159</v>
      </c>
      <c r="AP188" s="36"/>
      <c r="AQ188" s="36">
        <v>120</v>
      </c>
      <c r="AR188" s="36">
        <v>66</v>
      </c>
      <c r="AS188" s="36">
        <v>65</v>
      </c>
      <c r="AT188" s="36"/>
      <c r="AU188" s="36"/>
      <c r="AV188" s="36">
        <v>21</v>
      </c>
      <c r="AW188" s="36">
        <v>31</v>
      </c>
      <c r="AX188" s="36">
        <v>22</v>
      </c>
      <c r="AY188" s="36">
        <v>41</v>
      </c>
      <c r="AZ188" s="36">
        <v>144</v>
      </c>
      <c r="BA188" s="36">
        <v>134</v>
      </c>
      <c r="BB188" s="36"/>
      <c r="BC188" s="36">
        <v>129</v>
      </c>
      <c r="BD188" s="36">
        <v>90</v>
      </c>
      <c r="BE188" s="36">
        <v>87</v>
      </c>
      <c r="BF188" s="36">
        <v>56</v>
      </c>
      <c r="BG188" s="36">
        <v>89</v>
      </c>
      <c r="BH188" s="36">
        <v>127</v>
      </c>
      <c r="BI188" s="36">
        <v>187</v>
      </c>
      <c r="BJ188" s="36">
        <v>106</v>
      </c>
      <c r="BK188" s="36">
        <v>134</v>
      </c>
      <c r="BL188" s="36"/>
      <c r="BM188" s="36">
        <v>67</v>
      </c>
      <c r="BN188" s="36"/>
      <c r="BO188" s="36">
        <v>66</v>
      </c>
      <c r="BP188" s="36">
        <v>65</v>
      </c>
      <c r="BQ188" s="36">
        <v>76</v>
      </c>
      <c r="BR188" s="36">
        <v>6</v>
      </c>
      <c r="BS188" s="36">
        <v>59</v>
      </c>
      <c r="BT188" s="36">
        <v>56</v>
      </c>
      <c r="BU188" s="36">
        <v>20</v>
      </c>
      <c r="BV188" s="36">
        <v>53</v>
      </c>
      <c r="BW188" s="36">
        <v>36</v>
      </c>
      <c r="BX188" s="36"/>
      <c r="BY188" s="36">
        <v>23</v>
      </c>
      <c r="BZ188" s="36"/>
      <c r="CA188" s="36">
        <v>14</v>
      </c>
      <c r="CB188" s="36">
        <v>6</v>
      </c>
      <c r="CC188" s="36">
        <v>16</v>
      </c>
      <c r="CD188" s="36">
        <v>2</v>
      </c>
      <c r="CE188" s="36">
        <v>15</v>
      </c>
      <c r="CF188" s="36">
        <v>8</v>
      </c>
      <c r="CG188" s="36">
        <v>23</v>
      </c>
      <c r="CH188" s="36">
        <v>13</v>
      </c>
      <c r="CI188" s="36">
        <v>8</v>
      </c>
      <c r="CK188" s="4" t="b">
        <f t="shared" si="2"/>
        <v>1</v>
      </c>
    </row>
    <row r="189" spans="1:89" ht="60" customHeight="1">
      <c r="A189" s="32" t="s">
        <v>87</v>
      </c>
      <c r="B189" s="32" t="s">
        <v>335</v>
      </c>
      <c r="C189" s="32" t="s">
        <v>337</v>
      </c>
      <c r="D189" s="34"/>
      <c r="E189" s="34">
        <v>62.5</v>
      </c>
      <c r="F189" s="34">
        <v>100</v>
      </c>
      <c r="G189" s="34">
        <v>111.11</v>
      </c>
      <c r="H189" s="34">
        <v>100</v>
      </c>
      <c r="I189" s="34">
        <v>100</v>
      </c>
      <c r="J189" s="34">
        <v>88.89</v>
      </c>
      <c r="K189" s="34">
        <v>77.78</v>
      </c>
      <c r="L189" s="34">
        <v>100</v>
      </c>
      <c r="M189" s="34">
        <v>100</v>
      </c>
      <c r="N189" s="34">
        <v>88.89</v>
      </c>
      <c r="O189" s="34">
        <v>100</v>
      </c>
      <c r="P189" s="34"/>
      <c r="Q189" s="34">
        <v>50</v>
      </c>
      <c r="R189" s="34">
        <v>133.33000000000001</v>
      </c>
      <c r="S189" s="34">
        <v>100</v>
      </c>
      <c r="T189" s="34">
        <v>100</v>
      </c>
      <c r="U189" s="34">
        <v>100</v>
      </c>
      <c r="V189" s="34">
        <v>25</v>
      </c>
      <c r="W189" s="34">
        <v>100</v>
      </c>
      <c r="X189" s="34">
        <v>100</v>
      </c>
      <c r="Y189" s="34">
        <v>50</v>
      </c>
      <c r="Z189" s="34">
        <v>100</v>
      </c>
      <c r="AA189" s="34"/>
      <c r="AB189" s="36"/>
      <c r="AC189" s="36">
        <v>26</v>
      </c>
      <c r="AD189" s="36">
        <v>36</v>
      </c>
      <c r="AE189" s="36">
        <v>46</v>
      </c>
      <c r="AF189" s="36">
        <v>35</v>
      </c>
      <c r="AG189" s="36">
        <v>33</v>
      </c>
      <c r="AH189" s="36">
        <v>86</v>
      </c>
      <c r="AI189" s="36">
        <v>70</v>
      </c>
      <c r="AJ189" s="36">
        <v>33</v>
      </c>
      <c r="AK189" s="36">
        <v>2</v>
      </c>
      <c r="AL189" s="36">
        <v>38</v>
      </c>
      <c r="AM189" s="36">
        <v>34</v>
      </c>
      <c r="AN189" s="36"/>
      <c r="AO189" s="36">
        <v>17</v>
      </c>
      <c r="AP189" s="36">
        <v>46</v>
      </c>
      <c r="AQ189" s="36">
        <v>33</v>
      </c>
      <c r="AR189" s="36">
        <v>25</v>
      </c>
      <c r="AS189" s="36">
        <v>20</v>
      </c>
      <c r="AT189" s="36">
        <v>48</v>
      </c>
      <c r="AU189" s="36">
        <v>69</v>
      </c>
      <c r="AV189" s="36">
        <v>62</v>
      </c>
      <c r="AW189" s="36">
        <v>49</v>
      </c>
      <c r="AX189" s="36">
        <v>33</v>
      </c>
      <c r="AY189" s="36">
        <v>17</v>
      </c>
      <c r="AZ189" s="36"/>
      <c r="BA189" s="36">
        <v>28</v>
      </c>
      <c r="BB189" s="36">
        <v>19</v>
      </c>
      <c r="BC189" s="36">
        <v>22</v>
      </c>
      <c r="BD189" s="36">
        <v>22</v>
      </c>
      <c r="BE189" s="36">
        <v>16</v>
      </c>
      <c r="BF189" s="36">
        <v>29</v>
      </c>
      <c r="BG189" s="36">
        <v>40</v>
      </c>
      <c r="BH189" s="36">
        <v>38</v>
      </c>
      <c r="BI189" s="36">
        <v>28</v>
      </c>
      <c r="BJ189" s="36">
        <v>22</v>
      </c>
      <c r="BK189" s="36">
        <v>17</v>
      </c>
      <c r="BL189" s="36"/>
      <c r="BM189" s="36">
        <v>1</v>
      </c>
      <c r="BN189" s="36">
        <v>3</v>
      </c>
      <c r="BO189" s="36">
        <v>13</v>
      </c>
      <c r="BP189" s="36">
        <v>14</v>
      </c>
      <c r="BQ189" s="36">
        <v>18</v>
      </c>
      <c r="BR189" s="36">
        <v>19</v>
      </c>
      <c r="BS189" s="36">
        <v>14</v>
      </c>
      <c r="BT189" s="36">
        <v>18</v>
      </c>
      <c r="BU189" s="36">
        <v>25</v>
      </c>
      <c r="BV189" s="36">
        <v>27</v>
      </c>
      <c r="BW189" s="36">
        <v>4</v>
      </c>
      <c r="BX189" s="36"/>
      <c r="BY189" s="36"/>
      <c r="BZ189" s="36"/>
      <c r="CA189" s="36"/>
      <c r="CB189" s="36">
        <v>1</v>
      </c>
      <c r="CC189" s="36">
        <v>1</v>
      </c>
      <c r="CD189" s="36">
        <v>6</v>
      </c>
      <c r="CE189" s="36">
        <v>17</v>
      </c>
      <c r="CF189" s="36">
        <v>6</v>
      </c>
      <c r="CG189" s="36">
        <v>5</v>
      </c>
      <c r="CH189" s="36">
        <v>2</v>
      </c>
      <c r="CI189" s="36"/>
      <c r="CK189" s="4" t="b">
        <f t="shared" si="2"/>
        <v>0</v>
      </c>
    </row>
    <row r="190" spans="1:89" ht="60" customHeight="1">
      <c r="A190" s="32" t="s">
        <v>87</v>
      </c>
      <c r="B190" s="32" t="s">
        <v>131</v>
      </c>
      <c r="C190" s="32" t="s">
        <v>338</v>
      </c>
      <c r="D190" s="34"/>
      <c r="E190" s="34"/>
      <c r="F190" s="34"/>
      <c r="G190" s="34"/>
      <c r="H190" s="34"/>
      <c r="I190" s="34"/>
      <c r="J190" s="34"/>
      <c r="K190" s="34"/>
      <c r="L190" s="34"/>
      <c r="M190" s="34"/>
      <c r="N190" s="34"/>
      <c r="O190" s="34"/>
      <c r="P190" s="34"/>
      <c r="Q190" s="34"/>
      <c r="R190" s="34"/>
      <c r="S190" s="34"/>
      <c r="T190" s="34"/>
      <c r="U190" s="34"/>
      <c r="V190" s="34"/>
      <c r="W190" s="34"/>
      <c r="X190" s="34"/>
      <c r="Y190" s="34"/>
      <c r="Z190" s="34"/>
      <c r="AA190" s="34"/>
      <c r="AB190" s="36"/>
      <c r="AC190" s="36"/>
      <c r="AD190" s="36"/>
      <c r="AE190" s="36"/>
      <c r="AF190" s="36"/>
      <c r="AG190" s="36"/>
      <c r="AH190" s="36"/>
      <c r="AI190" s="36"/>
      <c r="AJ190" s="36"/>
      <c r="AK190" s="36"/>
      <c r="AL190" s="36"/>
      <c r="AM190" s="36"/>
      <c r="AN190" s="36"/>
      <c r="AO190" s="36"/>
      <c r="AP190" s="36"/>
      <c r="AQ190" s="36"/>
      <c r="AR190" s="36"/>
      <c r="AS190" s="36"/>
      <c r="AT190" s="36"/>
      <c r="AU190" s="36"/>
      <c r="AV190" s="36"/>
      <c r="AW190" s="36"/>
      <c r="AX190" s="36"/>
      <c r="AY190" s="36"/>
      <c r="AZ190" s="36"/>
      <c r="BA190" s="36"/>
      <c r="BB190" s="36"/>
      <c r="BC190" s="36">
        <v>21</v>
      </c>
      <c r="BD190" s="36">
        <v>21</v>
      </c>
      <c r="BE190" s="36"/>
      <c r="BF190" s="36"/>
      <c r="BG190" s="36"/>
      <c r="BH190" s="36"/>
      <c r="BI190" s="36"/>
      <c r="BJ190" s="36"/>
      <c r="BK190" s="36"/>
      <c r="BL190" s="36"/>
      <c r="BM190" s="36"/>
      <c r="BN190" s="36"/>
      <c r="BO190" s="36"/>
      <c r="BP190" s="36"/>
      <c r="BQ190" s="36"/>
      <c r="BR190" s="36"/>
      <c r="BS190" s="36"/>
      <c r="BT190" s="36"/>
      <c r="BU190" s="36"/>
      <c r="BV190" s="36"/>
      <c r="BW190" s="36"/>
      <c r="BX190" s="36"/>
      <c r="BY190" s="36"/>
      <c r="BZ190" s="36"/>
      <c r="CA190" s="36"/>
      <c r="CB190" s="36"/>
      <c r="CC190" s="36"/>
      <c r="CD190" s="36"/>
      <c r="CE190" s="36"/>
      <c r="CF190" s="36"/>
      <c r="CG190" s="36"/>
      <c r="CH190" s="36"/>
      <c r="CI190" s="36"/>
      <c r="CK190" s="4" t="b">
        <f t="shared" si="2"/>
        <v>0</v>
      </c>
    </row>
    <row r="191" spans="1:89" ht="75" customHeight="1">
      <c r="A191" s="32" t="s">
        <v>87</v>
      </c>
      <c r="B191" s="32" t="s">
        <v>131</v>
      </c>
      <c r="C191" s="32" t="s">
        <v>339</v>
      </c>
      <c r="D191" s="34"/>
      <c r="E191" s="34">
        <v>95.45</v>
      </c>
      <c r="F191" s="34">
        <v>100</v>
      </c>
      <c r="G191" s="34">
        <v>100</v>
      </c>
      <c r="H191" s="34">
        <v>95.65</v>
      </c>
      <c r="I191" s="34"/>
      <c r="J191" s="34">
        <v>91.3</v>
      </c>
      <c r="K191" s="34">
        <v>100</v>
      </c>
      <c r="L191" s="34">
        <v>100</v>
      </c>
      <c r="M191" s="34">
        <v>90.91</v>
      </c>
      <c r="N191" s="34">
        <v>90.91</v>
      </c>
      <c r="O191" s="34">
        <v>90</v>
      </c>
      <c r="P191" s="34"/>
      <c r="Q191" s="34"/>
      <c r="R191" s="34"/>
      <c r="S191" s="34"/>
      <c r="T191" s="34"/>
      <c r="U191" s="34"/>
      <c r="V191" s="34"/>
      <c r="W191" s="34"/>
      <c r="X191" s="34"/>
      <c r="Y191" s="34">
        <v>25</v>
      </c>
      <c r="Z191" s="34">
        <v>200</v>
      </c>
      <c r="AA191" s="34">
        <v>25</v>
      </c>
      <c r="AB191" s="36">
        <v>9</v>
      </c>
      <c r="AC191" s="36">
        <v>75</v>
      </c>
      <c r="AD191" s="36">
        <v>61</v>
      </c>
      <c r="AE191" s="36">
        <v>105</v>
      </c>
      <c r="AF191" s="36">
        <v>111</v>
      </c>
      <c r="AG191" s="36"/>
      <c r="AH191" s="36">
        <v>137</v>
      </c>
      <c r="AI191" s="36">
        <v>107</v>
      </c>
      <c r="AJ191" s="36">
        <v>113</v>
      </c>
      <c r="AK191" s="36">
        <v>104</v>
      </c>
      <c r="AL191" s="36">
        <v>124</v>
      </c>
      <c r="AM191" s="36">
        <v>144</v>
      </c>
      <c r="AN191" s="36">
        <v>9</v>
      </c>
      <c r="AO191" s="36">
        <v>74</v>
      </c>
      <c r="AP191" s="36">
        <v>52</v>
      </c>
      <c r="AQ191" s="36">
        <v>110</v>
      </c>
      <c r="AR191" s="36">
        <v>93</v>
      </c>
      <c r="AS191" s="36"/>
      <c r="AT191" s="36">
        <v>108</v>
      </c>
      <c r="AU191" s="36">
        <v>126</v>
      </c>
      <c r="AV191" s="36">
        <v>105</v>
      </c>
      <c r="AW191" s="36">
        <v>110</v>
      </c>
      <c r="AX191" s="36">
        <v>139</v>
      </c>
      <c r="AY191" s="36">
        <v>159</v>
      </c>
      <c r="AZ191" s="36"/>
      <c r="BA191" s="36">
        <v>22</v>
      </c>
      <c r="BB191" s="36">
        <v>119</v>
      </c>
      <c r="BC191" s="36">
        <v>35</v>
      </c>
      <c r="BD191" s="36">
        <v>46</v>
      </c>
      <c r="BE191" s="36"/>
      <c r="BF191" s="36"/>
      <c r="BG191" s="36">
        <v>97</v>
      </c>
      <c r="BH191" s="36">
        <v>73</v>
      </c>
      <c r="BI191" s="36">
        <v>84</v>
      </c>
      <c r="BJ191" s="36">
        <v>53</v>
      </c>
      <c r="BK191" s="36">
        <v>85</v>
      </c>
      <c r="BL191" s="36"/>
      <c r="BM191" s="36"/>
      <c r="BN191" s="36">
        <v>2</v>
      </c>
      <c r="BO191" s="36">
        <v>14</v>
      </c>
      <c r="BP191" s="36">
        <v>12</v>
      </c>
      <c r="BQ191" s="36"/>
      <c r="BR191" s="36"/>
      <c r="BS191" s="36">
        <v>36</v>
      </c>
      <c r="BT191" s="36">
        <v>27</v>
      </c>
      <c r="BU191" s="36">
        <v>39</v>
      </c>
      <c r="BV191" s="36">
        <v>18</v>
      </c>
      <c r="BW191" s="36">
        <v>34</v>
      </c>
      <c r="BX191" s="36"/>
      <c r="BY191" s="36"/>
      <c r="BZ191" s="36"/>
      <c r="CA191" s="36"/>
      <c r="CB191" s="36"/>
      <c r="CC191" s="36"/>
      <c r="CD191" s="36">
        <v>300</v>
      </c>
      <c r="CE191" s="36"/>
      <c r="CF191" s="36"/>
      <c r="CG191" s="36">
        <v>2</v>
      </c>
      <c r="CH191" s="36">
        <v>2</v>
      </c>
      <c r="CI191" s="36">
        <v>5</v>
      </c>
      <c r="CK191" s="4" t="b">
        <f t="shared" si="2"/>
        <v>0</v>
      </c>
    </row>
    <row r="192" spans="1:89" ht="60" customHeight="1">
      <c r="A192" s="32" t="s">
        <v>109</v>
      </c>
      <c r="B192" s="32" t="s">
        <v>194</v>
      </c>
      <c r="C192" s="32" t="s">
        <v>340</v>
      </c>
      <c r="D192" s="34"/>
      <c r="E192" s="34">
        <v>100</v>
      </c>
      <c r="F192" s="34">
        <v>75</v>
      </c>
      <c r="G192" s="34">
        <v>75</v>
      </c>
      <c r="H192" s="34">
        <v>66.67</v>
      </c>
      <c r="I192" s="34">
        <v>100</v>
      </c>
      <c r="J192" s="34">
        <v>100</v>
      </c>
      <c r="K192" s="34">
        <v>100</v>
      </c>
      <c r="L192" s="34">
        <v>100</v>
      </c>
      <c r="M192" s="34">
        <v>100</v>
      </c>
      <c r="N192" s="34">
        <v>75</v>
      </c>
      <c r="O192" s="34">
        <v>75</v>
      </c>
      <c r="P192" s="34"/>
      <c r="Q192" s="34">
        <v>100</v>
      </c>
      <c r="R192" s="34">
        <v>100</v>
      </c>
      <c r="S192" s="34">
        <v>33.33</v>
      </c>
      <c r="T192" s="34">
        <v>100</v>
      </c>
      <c r="U192" s="34">
        <v>100</v>
      </c>
      <c r="V192" s="34">
        <v>100</v>
      </c>
      <c r="W192" s="34">
        <v>100</v>
      </c>
      <c r="X192" s="34">
        <v>100</v>
      </c>
      <c r="Y192" s="34">
        <v>100</v>
      </c>
      <c r="Z192" s="34">
        <v>75</v>
      </c>
      <c r="AA192" s="34">
        <v>100</v>
      </c>
      <c r="AB192" s="36"/>
      <c r="AC192" s="36">
        <v>30</v>
      </c>
      <c r="AD192" s="36">
        <v>12</v>
      </c>
      <c r="AE192" s="36">
        <v>13</v>
      </c>
      <c r="AF192" s="36">
        <v>13</v>
      </c>
      <c r="AG192" s="36">
        <v>13</v>
      </c>
      <c r="AH192" s="36">
        <v>13</v>
      </c>
      <c r="AI192" s="36">
        <v>14</v>
      </c>
      <c r="AJ192" s="36">
        <v>12</v>
      </c>
      <c r="AK192" s="36">
        <v>17</v>
      </c>
      <c r="AL192" s="36">
        <v>14</v>
      </c>
      <c r="AM192" s="36">
        <v>14</v>
      </c>
      <c r="AN192" s="36"/>
      <c r="AO192" s="36">
        <v>35</v>
      </c>
      <c r="AP192" s="36">
        <v>12</v>
      </c>
      <c r="AQ192" s="36">
        <v>14</v>
      </c>
      <c r="AR192" s="36">
        <v>12</v>
      </c>
      <c r="AS192" s="36">
        <v>13</v>
      </c>
      <c r="AT192" s="36">
        <v>12</v>
      </c>
      <c r="AU192" s="36">
        <v>13</v>
      </c>
      <c r="AV192" s="36">
        <v>11</v>
      </c>
      <c r="AW192" s="36">
        <v>15</v>
      </c>
      <c r="AX192" s="36">
        <v>14</v>
      </c>
      <c r="AY192" s="36">
        <v>13</v>
      </c>
      <c r="AZ192" s="36"/>
      <c r="BA192" s="36">
        <v>8</v>
      </c>
      <c r="BB192" s="36">
        <v>2</v>
      </c>
      <c r="BC192" s="36">
        <v>1</v>
      </c>
      <c r="BD192" s="36">
        <v>4</v>
      </c>
      <c r="BE192" s="36">
        <v>3</v>
      </c>
      <c r="BF192" s="36">
        <v>10</v>
      </c>
      <c r="BG192" s="36">
        <v>8</v>
      </c>
      <c r="BH192" s="36">
        <v>5</v>
      </c>
      <c r="BI192" s="36">
        <v>7</v>
      </c>
      <c r="BJ192" s="36">
        <v>5</v>
      </c>
      <c r="BK192" s="36">
        <v>5</v>
      </c>
      <c r="BL192" s="36"/>
      <c r="BM192" s="36"/>
      <c r="BN192" s="36"/>
      <c r="BO192" s="36">
        <v>5</v>
      </c>
      <c r="BP192" s="36">
        <v>2</v>
      </c>
      <c r="BQ192" s="36"/>
      <c r="BR192" s="36">
        <v>2</v>
      </c>
      <c r="BS192" s="36">
        <v>1</v>
      </c>
      <c r="BT192" s="36"/>
      <c r="BU192" s="36"/>
      <c r="BV192" s="36">
        <v>1</v>
      </c>
      <c r="BW192" s="36"/>
      <c r="BX192" s="36"/>
      <c r="BY192" s="36"/>
      <c r="BZ192" s="36"/>
      <c r="CA192" s="36"/>
      <c r="CB192" s="36"/>
      <c r="CC192" s="36"/>
      <c r="CD192" s="36"/>
      <c r="CE192" s="36"/>
      <c r="CF192" s="36"/>
      <c r="CG192" s="36"/>
      <c r="CH192" s="36"/>
      <c r="CI192" s="36"/>
      <c r="CK192" s="4" t="b">
        <f t="shared" si="2"/>
        <v>0</v>
      </c>
    </row>
    <row r="193" spans="1:89" ht="90" customHeight="1">
      <c r="A193" s="32" t="s">
        <v>144</v>
      </c>
      <c r="B193" s="32" t="s">
        <v>145</v>
      </c>
      <c r="C193" s="32" t="s">
        <v>341</v>
      </c>
      <c r="D193" s="34"/>
      <c r="E193" s="34">
        <v>100</v>
      </c>
      <c r="F193" s="34">
        <v>100</v>
      </c>
      <c r="G193" s="34">
        <v>100</v>
      </c>
      <c r="H193" s="34">
        <v>100</v>
      </c>
      <c r="I193" s="34">
        <v>100</v>
      </c>
      <c r="J193" s="34">
        <v>100</v>
      </c>
      <c r="K193" s="34">
        <v>100</v>
      </c>
      <c r="L193" s="34">
        <v>100</v>
      </c>
      <c r="M193" s="34"/>
      <c r="N193" s="34">
        <v>100</v>
      </c>
      <c r="O193" s="34">
        <v>100</v>
      </c>
      <c r="P193" s="34"/>
      <c r="Q193" s="34">
        <v>100</v>
      </c>
      <c r="R193" s="34">
        <v>33.33</v>
      </c>
      <c r="S193" s="34">
        <v>50</v>
      </c>
      <c r="T193" s="34">
        <v>100</v>
      </c>
      <c r="U193" s="34">
        <v>100</v>
      </c>
      <c r="V193" s="34">
        <v>50</v>
      </c>
      <c r="W193" s="34">
        <v>25</v>
      </c>
      <c r="X193" s="34"/>
      <c r="Y193" s="34"/>
      <c r="Z193" s="34">
        <v>50</v>
      </c>
      <c r="AA193" s="34">
        <v>100</v>
      </c>
      <c r="AB193" s="36"/>
      <c r="AC193" s="36">
        <v>77</v>
      </c>
      <c r="AD193" s="36">
        <v>26</v>
      </c>
      <c r="AE193" s="36">
        <v>35</v>
      </c>
      <c r="AF193" s="36">
        <v>42</v>
      </c>
      <c r="AG193" s="36">
        <v>25</v>
      </c>
      <c r="AH193" s="36">
        <v>38</v>
      </c>
      <c r="AI193" s="36">
        <v>29</v>
      </c>
      <c r="AJ193" s="36">
        <v>29</v>
      </c>
      <c r="AK193" s="36"/>
      <c r="AL193" s="36">
        <v>33</v>
      </c>
      <c r="AM193" s="36">
        <v>40</v>
      </c>
      <c r="AN193" s="36"/>
      <c r="AO193" s="36">
        <v>220</v>
      </c>
      <c r="AP193" s="36">
        <v>29</v>
      </c>
      <c r="AQ193" s="36">
        <v>31</v>
      </c>
      <c r="AR193" s="36">
        <v>32</v>
      </c>
      <c r="AS193" s="36">
        <v>36</v>
      </c>
      <c r="AT193" s="36">
        <v>41</v>
      </c>
      <c r="AU193" s="36">
        <v>33</v>
      </c>
      <c r="AV193" s="36">
        <v>38</v>
      </c>
      <c r="AW193" s="36"/>
      <c r="AX193" s="36">
        <v>29</v>
      </c>
      <c r="AY193" s="36">
        <v>26</v>
      </c>
      <c r="AZ193" s="36"/>
      <c r="BA193" s="36">
        <v>3</v>
      </c>
      <c r="BB193" s="36">
        <v>16</v>
      </c>
      <c r="BC193" s="36">
        <v>12</v>
      </c>
      <c r="BD193" s="36">
        <v>12</v>
      </c>
      <c r="BE193" s="36">
        <v>8</v>
      </c>
      <c r="BF193" s="36">
        <v>22</v>
      </c>
      <c r="BG193" s="36">
        <v>28</v>
      </c>
      <c r="BH193" s="36">
        <v>14</v>
      </c>
      <c r="BI193" s="36"/>
      <c r="BJ193" s="36">
        <v>8</v>
      </c>
      <c r="BK193" s="36">
        <v>14</v>
      </c>
      <c r="BL193" s="36"/>
      <c r="BM193" s="36"/>
      <c r="BN193" s="36">
        <v>6</v>
      </c>
      <c r="BO193" s="36">
        <v>4</v>
      </c>
      <c r="BP193" s="36">
        <v>3</v>
      </c>
      <c r="BQ193" s="36"/>
      <c r="BR193" s="36">
        <v>11</v>
      </c>
      <c r="BS193" s="36">
        <v>4</v>
      </c>
      <c r="BT193" s="36">
        <v>3</v>
      </c>
      <c r="BU193" s="36"/>
      <c r="BV193" s="36">
        <v>7</v>
      </c>
      <c r="BW193" s="36">
        <v>7</v>
      </c>
      <c r="BX193" s="36"/>
      <c r="BY193" s="36"/>
      <c r="BZ193" s="36"/>
      <c r="CA193" s="36"/>
      <c r="CB193" s="36">
        <v>2</v>
      </c>
      <c r="CC193" s="36"/>
      <c r="CD193" s="36"/>
      <c r="CE193" s="36"/>
      <c r="CF193" s="36"/>
      <c r="CG193" s="36"/>
      <c r="CH193" s="36"/>
      <c r="CI193" s="36"/>
      <c r="CK193" s="4" t="b">
        <f t="shared" si="2"/>
        <v>0</v>
      </c>
    </row>
    <row r="194" spans="1:89" ht="60" customHeight="1">
      <c r="A194" s="32" t="s">
        <v>109</v>
      </c>
      <c r="B194" s="32" t="s">
        <v>194</v>
      </c>
      <c r="C194" s="32" t="s">
        <v>342</v>
      </c>
      <c r="D194" s="34"/>
      <c r="E194" s="34"/>
      <c r="F194" s="34"/>
      <c r="G194" s="34"/>
      <c r="H194" s="34"/>
      <c r="I194" s="34"/>
      <c r="J194" s="34"/>
      <c r="K194" s="34"/>
      <c r="L194" s="34"/>
      <c r="M194" s="34"/>
      <c r="N194" s="34"/>
      <c r="O194" s="34"/>
      <c r="P194" s="34"/>
      <c r="Q194" s="34"/>
      <c r="R194" s="34"/>
      <c r="S194" s="34"/>
      <c r="T194" s="34"/>
      <c r="U194" s="34"/>
      <c r="V194" s="34"/>
      <c r="W194" s="34"/>
      <c r="X194" s="34"/>
      <c r="Y194" s="34"/>
      <c r="Z194" s="34"/>
      <c r="AA194" s="34"/>
      <c r="AB194" s="36"/>
      <c r="AC194" s="36"/>
      <c r="AD194" s="36"/>
      <c r="AE194" s="36"/>
      <c r="AF194" s="36"/>
      <c r="AG194" s="36"/>
      <c r="AH194" s="36"/>
      <c r="AI194" s="36"/>
      <c r="AJ194" s="36"/>
      <c r="AK194" s="36"/>
      <c r="AL194" s="36"/>
      <c r="AM194" s="36"/>
      <c r="AN194" s="36"/>
      <c r="AO194" s="36"/>
      <c r="AP194" s="36"/>
      <c r="AQ194" s="36"/>
      <c r="AR194" s="36"/>
      <c r="AS194" s="36"/>
      <c r="AT194" s="36"/>
      <c r="AU194" s="36"/>
      <c r="AV194" s="36"/>
      <c r="AW194" s="36"/>
      <c r="AX194" s="36"/>
      <c r="AY194" s="36"/>
      <c r="AZ194" s="36"/>
      <c r="BA194" s="36"/>
      <c r="BB194" s="36"/>
      <c r="BC194" s="36"/>
      <c r="BD194" s="36"/>
      <c r="BE194" s="36">
        <v>11</v>
      </c>
      <c r="BF194" s="36">
        <v>10</v>
      </c>
      <c r="BG194" s="36">
        <v>2</v>
      </c>
      <c r="BH194" s="36"/>
      <c r="BI194" s="36"/>
      <c r="BJ194" s="36"/>
      <c r="BK194" s="36"/>
      <c r="BL194" s="36"/>
      <c r="BM194" s="36"/>
      <c r="BN194" s="36"/>
      <c r="BO194" s="36"/>
      <c r="BP194" s="36"/>
      <c r="BQ194" s="36"/>
      <c r="BR194" s="36">
        <v>6</v>
      </c>
      <c r="BS194" s="36">
        <v>11</v>
      </c>
      <c r="BT194" s="36"/>
      <c r="BU194" s="36"/>
      <c r="BV194" s="36"/>
      <c r="BW194" s="36"/>
      <c r="BX194" s="36"/>
      <c r="BY194" s="36"/>
      <c r="BZ194" s="36"/>
      <c r="CA194" s="36"/>
      <c r="CB194" s="36"/>
      <c r="CC194" s="36">
        <v>22</v>
      </c>
      <c r="CD194" s="36">
        <v>1</v>
      </c>
      <c r="CE194" s="36"/>
      <c r="CF194" s="36"/>
      <c r="CG194" s="36"/>
      <c r="CH194" s="36"/>
      <c r="CI194" s="36"/>
      <c r="CK194" s="4" t="b">
        <f t="shared" si="2"/>
        <v>0</v>
      </c>
    </row>
    <row r="195" spans="1:89" ht="60" customHeight="1">
      <c r="A195" s="32" t="s">
        <v>144</v>
      </c>
      <c r="B195" s="32" t="s">
        <v>343</v>
      </c>
      <c r="C195" s="32" t="s">
        <v>344</v>
      </c>
      <c r="D195" s="34"/>
      <c r="E195" s="34">
        <v>100</v>
      </c>
      <c r="F195" s="34">
        <v>100</v>
      </c>
      <c r="G195" s="34">
        <v>100</v>
      </c>
      <c r="H195" s="34">
        <v>100</v>
      </c>
      <c r="I195" s="34"/>
      <c r="J195" s="34">
        <v>100</v>
      </c>
      <c r="K195" s="34">
        <v>100</v>
      </c>
      <c r="L195" s="34">
        <v>75</v>
      </c>
      <c r="M195" s="34">
        <v>100</v>
      </c>
      <c r="N195" s="34">
        <v>100</v>
      </c>
      <c r="O195" s="34">
        <v>100</v>
      </c>
      <c r="P195" s="34"/>
      <c r="Q195" s="34">
        <v>100</v>
      </c>
      <c r="R195" s="34">
        <v>100</v>
      </c>
      <c r="S195" s="34">
        <v>75</v>
      </c>
      <c r="T195" s="34"/>
      <c r="U195" s="34">
        <v>50</v>
      </c>
      <c r="V195" s="34">
        <v>25</v>
      </c>
      <c r="W195" s="34"/>
      <c r="X195" s="34">
        <v>50</v>
      </c>
      <c r="Y195" s="34">
        <v>50</v>
      </c>
      <c r="Z195" s="34">
        <v>100</v>
      </c>
      <c r="AA195" s="34">
        <v>50</v>
      </c>
      <c r="AB195" s="36"/>
      <c r="AC195" s="36">
        <v>247</v>
      </c>
      <c r="AD195" s="36">
        <v>55</v>
      </c>
      <c r="AE195" s="36">
        <v>52</v>
      </c>
      <c r="AF195" s="36">
        <v>45</v>
      </c>
      <c r="AG195" s="36">
        <v>45</v>
      </c>
      <c r="AH195" s="36">
        <v>47</v>
      </c>
      <c r="AI195" s="36">
        <v>27</v>
      </c>
      <c r="AJ195" s="36">
        <v>43</v>
      </c>
      <c r="AK195" s="36">
        <v>51</v>
      </c>
      <c r="AL195" s="36">
        <v>48</v>
      </c>
      <c r="AM195" s="36">
        <v>54</v>
      </c>
      <c r="AN195" s="36"/>
      <c r="AO195" s="36">
        <v>256</v>
      </c>
      <c r="AP195" s="36">
        <v>70</v>
      </c>
      <c r="AQ195" s="36">
        <v>55</v>
      </c>
      <c r="AR195" s="36">
        <v>49</v>
      </c>
      <c r="AS195" s="36">
        <v>85</v>
      </c>
      <c r="AT195" s="36">
        <v>45</v>
      </c>
      <c r="AU195" s="36">
        <v>20</v>
      </c>
      <c r="AV195" s="36">
        <v>43</v>
      </c>
      <c r="AW195" s="36">
        <v>50</v>
      </c>
      <c r="AX195" s="36">
        <v>50</v>
      </c>
      <c r="AY195" s="36">
        <v>51</v>
      </c>
      <c r="AZ195" s="36"/>
      <c r="BA195" s="36">
        <v>24</v>
      </c>
      <c r="BB195" s="36">
        <v>22</v>
      </c>
      <c r="BC195" s="36">
        <v>39</v>
      </c>
      <c r="BD195" s="36">
        <v>24</v>
      </c>
      <c r="BE195" s="36">
        <v>24</v>
      </c>
      <c r="BF195" s="36">
        <v>30</v>
      </c>
      <c r="BG195" s="36">
        <v>29</v>
      </c>
      <c r="BH195" s="36">
        <v>28</v>
      </c>
      <c r="BI195" s="36">
        <v>23</v>
      </c>
      <c r="BJ195" s="36">
        <v>60</v>
      </c>
      <c r="BK195" s="36">
        <v>67</v>
      </c>
      <c r="BL195" s="36"/>
      <c r="BM195" s="36">
        <v>21</v>
      </c>
      <c r="BN195" s="36">
        <v>8</v>
      </c>
      <c r="BO195" s="36">
        <v>25</v>
      </c>
      <c r="BP195" s="36">
        <v>13</v>
      </c>
      <c r="BQ195" s="36">
        <v>9</v>
      </c>
      <c r="BR195" s="36">
        <v>13</v>
      </c>
      <c r="BS195" s="36">
        <v>12</v>
      </c>
      <c r="BT195" s="36">
        <v>17</v>
      </c>
      <c r="BU195" s="36">
        <v>14</v>
      </c>
      <c r="BV195" s="36">
        <v>13</v>
      </c>
      <c r="BW195" s="36">
        <v>11</v>
      </c>
      <c r="BX195" s="36"/>
      <c r="BY195" s="36">
        <v>1</v>
      </c>
      <c r="BZ195" s="36"/>
      <c r="CA195" s="36">
        <v>10</v>
      </c>
      <c r="CB195" s="36"/>
      <c r="CC195" s="36">
        <v>2</v>
      </c>
      <c r="CD195" s="36"/>
      <c r="CE195" s="36">
        <v>1</v>
      </c>
      <c r="CF195" s="36"/>
      <c r="CG195" s="36"/>
      <c r="CH195" s="36"/>
      <c r="CI195" s="36"/>
      <c r="CK195" s="4" t="b">
        <f t="shared" si="2"/>
        <v>0</v>
      </c>
    </row>
    <row r="196" spans="1:89" ht="60" customHeight="1">
      <c r="A196" s="32" t="s">
        <v>92</v>
      </c>
      <c r="B196" s="32" t="s">
        <v>99</v>
      </c>
      <c r="C196" s="32" t="s">
        <v>345</v>
      </c>
      <c r="D196" s="34"/>
      <c r="E196" s="34">
        <v>60</v>
      </c>
      <c r="F196" s="34">
        <v>100</v>
      </c>
      <c r="G196" s="34">
        <v>100</v>
      </c>
      <c r="H196" s="34">
        <v>100</v>
      </c>
      <c r="I196" s="34">
        <v>100</v>
      </c>
      <c r="J196" s="34">
        <v>100</v>
      </c>
      <c r="K196" s="34">
        <v>100</v>
      </c>
      <c r="L196" s="34">
        <v>100</v>
      </c>
      <c r="M196" s="34">
        <v>100</v>
      </c>
      <c r="N196" s="34"/>
      <c r="O196" s="34">
        <v>100</v>
      </c>
      <c r="P196" s="34"/>
      <c r="Q196" s="34">
        <v>150</v>
      </c>
      <c r="R196" s="34">
        <v>100</v>
      </c>
      <c r="S196" s="34">
        <v>100</v>
      </c>
      <c r="T196" s="34">
        <v>100</v>
      </c>
      <c r="U196" s="34">
        <v>100</v>
      </c>
      <c r="V196" s="34">
        <v>100</v>
      </c>
      <c r="W196" s="34">
        <v>100</v>
      </c>
      <c r="X196" s="34">
        <v>66.67</v>
      </c>
      <c r="Y196" s="34">
        <v>66.67</v>
      </c>
      <c r="Z196" s="34"/>
      <c r="AA196" s="34">
        <v>50</v>
      </c>
      <c r="AB196" s="36"/>
      <c r="AC196" s="36">
        <v>9</v>
      </c>
      <c r="AD196" s="36">
        <v>7</v>
      </c>
      <c r="AE196" s="36">
        <v>7</v>
      </c>
      <c r="AF196" s="36">
        <v>9</v>
      </c>
      <c r="AG196" s="36">
        <v>8</v>
      </c>
      <c r="AH196" s="36">
        <v>8</v>
      </c>
      <c r="AI196" s="36">
        <v>6</v>
      </c>
      <c r="AJ196" s="36">
        <v>6</v>
      </c>
      <c r="AK196" s="36">
        <v>5</v>
      </c>
      <c r="AL196" s="36">
        <v>15</v>
      </c>
      <c r="AM196" s="36">
        <v>13</v>
      </c>
      <c r="AN196" s="36"/>
      <c r="AO196" s="36">
        <v>5</v>
      </c>
      <c r="AP196" s="36">
        <v>6</v>
      </c>
      <c r="AQ196" s="36">
        <v>4</v>
      </c>
      <c r="AR196" s="36">
        <v>5</v>
      </c>
      <c r="AS196" s="36">
        <v>4</v>
      </c>
      <c r="AT196" s="36">
        <v>4</v>
      </c>
      <c r="AU196" s="36">
        <v>4</v>
      </c>
      <c r="AV196" s="36">
        <v>3</v>
      </c>
      <c r="AW196" s="36">
        <v>1</v>
      </c>
      <c r="AX196" s="36">
        <v>10</v>
      </c>
      <c r="AY196" s="36">
        <v>10</v>
      </c>
      <c r="AZ196" s="36"/>
      <c r="BA196" s="36">
        <v>23</v>
      </c>
      <c r="BB196" s="36">
        <v>9</v>
      </c>
      <c r="BC196" s="36">
        <v>4</v>
      </c>
      <c r="BD196" s="36"/>
      <c r="BE196" s="36">
        <v>5</v>
      </c>
      <c r="BF196" s="36"/>
      <c r="BG196" s="36">
        <v>5</v>
      </c>
      <c r="BH196" s="36">
        <v>4</v>
      </c>
      <c r="BI196" s="36"/>
      <c r="BJ196" s="36">
        <v>2</v>
      </c>
      <c r="BK196" s="36"/>
      <c r="BL196" s="36"/>
      <c r="BM196" s="36"/>
      <c r="BN196" s="36"/>
      <c r="BO196" s="36"/>
      <c r="BP196" s="36">
        <v>3</v>
      </c>
      <c r="BQ196" s="36">
        <v>3</v>
      </c>
      <c r="BR196" s="36">
        <v>1</v>
      </c>
      <c r="BS196" s="36"/>
      <c r="BT196" s="36">
        <v>3</v>
      </c>
      <c r="BU196" s="36">
        <v>5</v>
      </c>
      <c r="BV196" s="36">
        <v>7</v>
      </c>
      <c r="BW196" s="36">
        <v>2</v>
      </c>
      <c r="BX196" s="36"/>
      <c r="BY196" s="36"/>
      <c r="BZ196" s="36"/>
      <c r="CA196" s="36"/>
      <c r="CB196" s="36">
        <v>2</v>
      </c>
      <c r="CC196" s="36"/>
      <c r="CD196" s="36"/>
      <c r="CE196" s="36"/>
      <c r="CF196" s="36"/>
      <c r="CG196" s="36">
        <v>7</v>
      </c>
      <c r="CH196" s="36">
        <v>9</v>
      </c>
      <c r="CI196" s="36">
        <v>3</v>
      </c>
      <c r="CK196" s="4" t="b">
        <f t="shared" ref="CK196:CK259" si="3">ISNUMBER(D196)</f>
        <v>0</v>
      </c>
    </row>
    <row r="197" spans="1:89" ht="60" customHeight="1">
      <c r="A197" s="32" t="s">
        <v>144</v>
      </c>
      <c r="B197" s="32" t="s">
        <v>207</v>
      </c>
      <c r="C197" s="32" t="s">
        <v>346</v>
      </c>
      <c r="D197" s="34"/>
      <c r="E197" s="34"/>
      <c r="F197" s="34"/>
      <c r="G197" s="34"/>
      <c r="H197" s="34"/>
      <c r="I197" s="34"/>
      <c r="J197" s="34"/>
      <c r="K197" s="34"/>
      <c r="L197" s="34"/>
      <c r="M197" s="34"/>
      <c r="N197" s="34"/>
      <c r="O197" s="34"/>
      <c r="P197" s="34"/>
      <c r="Q197" s="34"/>
      <c r="R197" s="34"/>
      <c r="S197" s="34"/>
      <c r="T197" s="34"/>
      <c r="U197" s="34"/>
      <c r="V197" s="34"/>
      <c r="W197" s="34"/>
      <c r="X197" s="34"/>
      <c r="Y197" s="34"/>
      <c r="Z197" s="34"/>
      <c r="AA197" s="34"/>
      <c r="AB197" s="36"/>
      <c r="AC197" s="36"/>
      <c r="AD197" s="36"/>
      <c r="AE197" s="36"/>
      <c r="AF197" s="36"/>
      <c r="AG197" s="36"/>
      <c r="AH197" s="36"/>
      <c r="AI197" s="36"/>
      <c r="AJ197" s="36"/>
      <c r="AK197" s="36"/>
      <c r="AL197" s="36"/>
      <c r="AM197" s="36"/>
      <c r="AN197" s="36"/>
      <c r="AO197" s="36"/>
      <c r="AP197" s="36"/>
      <c r="AQ197" s="36"/>
      <c r="AR197" s="36"/>
      <c r="AS197" s="36"/>
      <c r="AT197" s="36"/>
      <c r="AU197" s="36"/>
      <c r="AV197" s="36"/>
      <c r="AW197" s="36"/>
      <c r="AX197" s="36"/>
      <c r="AY197" s="36"/>
      <c r="AZ197" s="36"/>
      <c r="BA197" s="36"/>
      <c r="BB197" s="36"/>
      <c r="BC197" s="36"/>
      <c r="BD197" s="36"/>
      <c r="BE197" s="36"/>
      <c r="BF197" s="36"/>
      <c r="BG197" s="36"/>
      <c r="BH197" s="36"/>
      <c r="BI197" s="36"/>
      <c r="BJ197" s="36"/>
      <c r="BK197" s="36"/>
      <c r="BL197" s="36"/>
      <c r="BM197" s="36"/>
      <c r="BN197" s="36"/>
      <c r="BO197" s="36"/>
      <c r="BP197" s="36"/>
      <c r="BQ197" s="36"/>
      <c r="BR197" s="36"/>
      <c r="BS197" s="36"/>
      <c r="BT197" s="36"/>
      <c r="BU197" s="36">
        <v>2</v>
      </c>
      <c r="BV197" s="36"/>
      <c r="BW197" s="36"/>
      <c r="BX197" s="36"/>
      <c r="BY197" s="36"/>
      <c r="BZ197" s="36"/>
      <c r="CA197" s="36"/>
      <c r="CB197" s="36"/>
      <c r="CC197" s="36"/>
      <c r="CD197" s="36"/>
      <c r="CE197" s="36"/>
      <c r="CF197" s="36"/>
      <c r="CG197" s="36"/>
      <c r="CH197" s="36"/>
      <c r="CI197" s="36"/>
      <c r="CK197" s="4" t="b">
        <f t="shared" si="3"/>
        <v>0</v>
      </c>
    </row>
    <row r="198" spans="1:89" ht="75" customHeight="1">
      <c r="A198" s="32" t="s">
        <v>87</v>
      </c>
      <c r="B198" s="32" t="s">
        <v>120</v>
      </c>
      <c r="C198" s="32" t="s">
        <v>347</v>
      </c>
      <c r="D198" s="34"/>
      <c r="E198" s="34">
        <v>50</v>
      </c>
      <c r="F198" s="34">
        <v>100</v>
      </c>
      <c r="G198" s="34"/>
      <c r="H198" s="34">
        <v>100</v>
      </c>
      <c r="I198" s="34">
        <v>100</v>
      </c>
      <c r="J198" s="34">
        <v>50</v>
      </c>
      <c r="K198" s="34">
        <v>100</v>
      </c>
      <c r="L198" s="34">
        <v>100</v>
      </c>
      <c r="M198" s="34">
        <v>100</v>
      </c>
      <c r="N198" s="34">
        <v>100</v>
      </c>
      <c r="O198" s="34">
        <v>100</v>
      </c>
      <c r="P198" s="34"/>
      <c r="Q198" s="34"/>
      <c r="R198" s="34">
        <v>100</v>
      </c>
      <c r="S198" s="34"/>
      <c r="T198" s="34"/>
      <c r="U198" s="34">
        <v>25</v>
      </c>
      <c r="V198" s="34"/>
      <c r="W198" s="34"/>
      <c r="X198" s="34"/>
      <c r="Y198" s="34"/>
      <c r="Z198" s="34"/>
      <c r="AA198" s="34"/>
      <c r="AB198" s="36"/>
      <c r="AC198" s="36">
        <v>28</v>
      </c>
      <c r="AD198" s="36">
        <v>15</v>
      </c>
      <c r="AE198" s="36"/>
      <c r="AF198" s="36">
        <v>36</v>
      </c>
      <c r="AG198" s="36">
        <v>30</v>
      </c>
      <c r="AH198" s="36">
        <v>18</v>
      </c>
      <c r="AI198" s="36">
        <v>22</v>
      </c>
      <c r="AJ198" s="36">
        <v>22</v>
      </c>
      <c r="AK198" s="36">
        <v>21</v>
      </c>
      <c r="AL198" s="36">
        <v>28</v>
      </c>
      <c r="AM198" s="36">
        <v>13</v>
      </c>
      <c r="AN198" s="36"/>
      <c r="AO198" s="36">
        <v>16</v>
      </c>
      <c r="AP198" s="36">
        <v>23</v>
      </c>
      <c r="AQ198" s="36"/>
      <c r="AR198" s="36">
        <v>38</v>
      </c>
      <c r="AS198" s="36">
        <v>21</v>
      </c>
      <c r="AT198" s="36">
        <v>22</v>
      </c>
      <c r="AU198" s="36">
        <v>18</v>
      </c>
      <c r="AV198" s="36">
        <v>21</v>
      </c>
      <c r="AW198" s="36">
        <v>17</v>
      </c>
      <c r="AX198" s="36">
        <v>19</v>
      </c>
      <c r="AY198" s="36">
        <v>13</v>
      </c>
      <c r="AZ198" s="36"/>
      <c r="BA198" s="36">
        <v>9</v>
      </c>
      <c r="BB198" s="36">
        <v>6</v>
      </c>
      <c r="BC198" s="36"/>
      <c r="BD198" s="36">
        <v>10</v>
      </c>
      <c r="BE198" s="36">
        <v>7</v>
      </c>
      <c r="BF198" s="36"/>
      <c r="BG198" s="36">
        <v>6</v>
      </c>
      <c r="BH198" s="36">
        <v>17</v>
      </c>
      <c r="BI198" s="36">
        <v>13</v>
      </c>
      <c r="BJ198" s="36">
        <v>7</v>
      </c>
      <c r="BK198" s="36">
        <v>9</v>
      </c>
      <c r="BL198" s="36"/>
      <c r="BM198" s="36">
        <v>3</v>
      </c>
      <c r="BN198" s="36">
        <v>6</v>
      </c>
      <c r="BO198" s="36"/>
      <c r="BP198" s="36">
        <v>4</v>
      </c>
      <c r="BQ198" s="36">
        <v>4</v>
      </c>
      <c r="BR198" s="36">
        <v>5</v>
      </c>
      <c r="BS198" s="36">
        <v>2</v>
      </c>
      <c r="BT198" s="36">
        <v>7</v>
      </c>
      <c r="BU198" s="36">
        <v>5</v>
      </c>
      <c r="BV198" s="36">
        <v>10</v>
      </c>
      <c r="BW198" s="36">
        <v>8</v>
      </c>
      <c r="BX198" s="36"/>
      <c r="BY198" s="36">
        <v>1</v>
      </c>
      <c r="BZ198" s="36"/>
      <c r="CA198" s="36"/>
      <c r="CB198" s="36"/>
      <c r="CC198" s="36"/>
      <c r="CD198" s="36">
        <v>1</v>
      </c>
      <c r="CE198" s="36">
        <v>1</v>
      </c>
      <c r="CF198" s="36"/>
      <c r="CG198" s="36">
        <v>1</v>
      </c>
      <c r="CH198" s="36">
        <v>4</v>
      </c>
      <c r="CI198" s="36">
        <v>1</v>
      </c>
      <c r="CK198" s="4" t="b">
        <f t="shared" si="3"/>
        <v>0</v>
      </c>
    </row>
    <row r="199" spans="1:89" ht="60" customHeight="1">
      <c r="A199" s="32" t="s">
        <v>101</v>
      </c>
      <c r="B199" s="32" t="s">
        <v>242</v>
      </c>
      <c r="C199" s="32" t="s">
        <v>348</v>
      </c>
      <c r="D199" s="34"/>
      <c r="E199" s="34">
        <v>100</v>
      </c>
      <c r="F199" s="34">
        <v>100</v>
      </c>
      <c r="G199" s="34">
        <v>100</v>
      </c>
      <c r="H199" s="34"/>
      <c r="I199" s="34"/>
      <c r="J199" s="34">
        <v>100</v>
      </c>
      <c r="K199" s="34"/>
      <c r="L199" s="34">
        <v>100</v>
      </c>
      <c r="M199" s="34">
        <v>100</v>
      </c>
      <c r="N199" s="34">
        <v>100</v>
      </c>
      <c r="O199" s="34">
        <v>100</v>
      </c>
      <c r="P199" s="34"/>
      <c r="Q199" s="34"/>
      <c r="R199" s="34">
        <v>100</v>
      </c>
      <c r="S199" s="34">
        <v>100</v>
      </c>
      <c r="T199" s="34"/>
      <c r="U199" s="34"/>
      <c r="V199" s="34">
        <v>100</v>
      </c>
      <c r="W199" s="34"/>
      <c r="X199" s="34">
        <v>100</v>
      </c>
      <c r="Y199" s="34">
        <v>100</v>
      </c>
      <c r="Z199" s="34">
        <v>100</v>
      </c>
      <c r="AA199" s="34">
        <v>100</v>
      </c>
      <c r="AB199" s="36"/>
      <c r="AC199" s="36">
        <v>12</v>
      </c>
      <c r="AD199" s="36">
        <v>12</v>
      </c>
      <c r="AE199" s="36">
        <v>13</v>
      </c>
      <c r="AF199" s="36">
        <v>11</v>
      </c>
      <c r="AG199" s="36">
        <v>15</v>
      </c>
      <c r="AH199" s="36">
        <v>12</v>
      </c>
      <c r="AI199" s="36"/>
      <c r="AJ199" s="36">
        <v>14</v>
      </c>
      <c r="AK199" s="36">
        <v>11</v>
      </c>
      <c r="AL199" s="36">
        <v>13</v>
      </c>
      <c r="AM199" s="36">
        <v>15</v>
      </c>
      <c r="AN199" s="36"/>
      <c r="AO199" s="36">
        <v>13</v>
      </c>
      <c r="AP199" s="36">
        <v>13</v>
      </c>
      <c r="AQ199" s="36">
        <v>12</v>
      </c>
      <c r="AR199" s="36">
        <v>13</v>
      </c>
      <c r="AS199" s="36">
        <v>15</v>
      </c>
      <c r="AT199" s="36">
        <v>12</v>
      </c>
      <c r="AU199" s="36"/>
      <c r="AV199" s="36">
        <v>4</v>
      </c>
      <c r="AW199" s="36">
        <v>11</v>
      </c>
      <c r="AX199" s="36">
        <v>13</v>
      </c>
      <c r="AY199" s="36">
        <v>16</v>
      </c>
      <c r="AZ199" s="36"/>
      <c r="BA199" s="36">
        <v>5</v>
      </c>
      <c r="BB199" s="36">
        <v>20</v>
      </c>
      <c r="BC199" s="36"/>
      <c r="BD199" s="36"/>
      <c r="BE199" s="36"/>
      <c r="BF199" s="36"/>
      <c r="BG199" s="36"/>
      <c r="BH199" s="36">
        <v>20</v>
      </c>
      <c r="BI199" s="36">
        <v>20</v>
      </c>
      <c r="BJ199" s="36">
        <v>16</v>
      </c>
      <c r="BK199" s="36">
        <v>3</v>
      </c>
      <c r="BL199" s="36"/>
      <c r="BM199" s="36"/>
      <c r="BN199" s="36"/>
      <c r="BO199" s="36">
        <v>19</v>
      </c>
      <c r="BP199" s="36"/>
      <c r="BQ199" s="36"/>
      <c r="BR199" s="36"/>
      <c r="BS199" s="36"/>
      <c r="BT199" s="36"/>
      <c r="BU199" s="36">
        <v>6</v>
      </c>
      <c r="BV199" s="36"/>
      <c r="BW199" s="36"/>
      <c r="BX199" s="36"/>
      <c r="BY199" s="36"/>
      <c r="BZ199" s="36"/>
      <c r="CA199" s="36"/>
      <c r="CB199" s="36"/>
      <c r="CC199" s="36"/>
      <c r="CD199" s="36"/>
      <c r="CE199" s="36"/>
      <c r="CF199" s="36"/>
      <c r="CG199" s="36"/>
      <c r="CH199" s="36"/>
      <c r="CI199" s="36"/>
      <c r="CK199" s="4" t="b">
        <f t="shared" si="3"/>
        <v>0</v>
      </c>
    </row>
    <row r="200" spans="1:89" ht="75" customHeight="1">
      <c r="A200" s="32" t="s">
        <v>101</v>
      </c>
      <c r="B200" s="32" t="s">
        <v>184</v>
      </c>
      <c r="C200" s="32" t="s">
        <v>349</v>
      </c>
      <c r="D200" s="34"/>
      <c r="E200" s="34">
        <v>100</v>
      </c>
      <c r="F200" s="34">
        <v>100</v>
      </c>
      <c r="G200" s="34">
        <v>100</v>
      </c>
      <c r="H200" s="34">
        <v>100</v>
      </c>
      <c r="I200" s="34">
        <v>100</v>
      </c>
      <c r="J200" s="34">
        <v>125</v>
      </c>
      <c r="K200" s="34">
        <v>75</v>
      </c>
      <c r="L200" s="34">
        <v>100</v>
      </c>
      <c r="M200" s="34">
        <v>100</v>
      </c>
      <c r="N200" s="34">
        <v>100</v>
      </c>
      <c r="O200" s="34">
        <v>100</v>
      </c>
      <c r="P200" s="34"/>
      <c r="Q200" s="34">
        <v>100</v>
      </c>
      <c r="R200" s="34">
        <v>100</v>
      </c>
      <c r="S200" s="34">
        <v>100</v>
      </c>
      <c r="T200" s="34">
        <v>100</v>
      </c>
      <c r="U200" s="34">
        <v>100</v>
      </c>
      <c r="V200" s="34">
        <v>75</v>
      </c>
      <c r="W200" s="34">
        <v>75</v>
      </c>
      <c r="X200" s="34">
        <v>75</v>
      </c>
      <c r="Y200" s="34">
        <v>100</v>
      </c>
      <c r="Z200" s="34">
        <v>100</v>
      </c>
      <c r="AA200" s="34">
        <v>100</v>
      </c>
      <c r="AB200" s="36"/>
      <c r="AC200" s="36">
        <v>39</v>
      </c>
      <c r="AD200" s="36">
        <v>27</v>
      </c>
      <c r="AE200" s="36">
        <v>32</v>
      </c>
      <c r="AF200" s="36">
        <v>44</v>
      </c>
      <c r="AG200" s="36">
        <v>41</v>
      </c>
      <c r="AH200" s="36">
        <v>34</v>
      </c>
      <c r="AI200" s="36">
        <v>34</v>
      </c>
      <c r="AJ200" s="36">
        <v>39</v>
      </c>
      <c r="AK200" s="36">
        <v>47</v>
      </c>
      <c r="AL200" s="36">
        <v>46</v>
      </c>
      <c r="AM200" s="36">
        <v>50</v>
      </c>
      <c r="AN200" s="36"/>
      <c r="AO200" s="36">
        <v>28</v>
      </c>
      <c r="AP200" s="36">
        <v>26</v>
      </c>
      <c r="AQ200" s="36">
        <v>31</v>
      </c>
      <c r="AR200" s="36">
        <v>41</v>
      </c>
      <c r="AS200" s="36">
        <v>38</v>
      </c>
      <c r="AT200" s="36">
        <v>33</v>
      </c>
      <c r="AU200" s="36">
        <v>31</v>
      </c>
      <c r="AV200" s="36">
        <v>39</v>
      </c>
      <c r="AW200" s="36">
        <v>46</v>
      </c>
      <c r="AX200" s="36">
        <v>45</v>
      </c>
      <c r="AY200" s="36">
        <v>49</v>
      </c>
      <c r="AZ200" s="36"/>
      <c r="BA200" s="36">
        <v>3</v>
      </c>
      <c r="BB200" s="36">
        <v>11</v>
      </c>
      <c r="BC200" s="36">
        <v>7</v>
      </c>
      <c r="BD200" s="36">
        <v>1</v>
      </c>
      <c r="BE200" s="36">
        <v>13</v>
      </c>
      <c r="BF200" s="36">
        <v>5</v>
      </c>
      <c r="BG200" s="36">
        <v>4</v>
      </c>
      <c r="BH200" s="36">
        <v>2</v>
      </c>
      <c r="BI200" s="36">
        <v>5</v>
      </c>
      <c r="BJ200" s="36">
        <v>5</v>
      </c>
      <c r="BK200" s="36">
        <v>1</v>
      </c>
      <c r="BL200" s="36"/>
      <c r="BM200" s="36"/>
      <c r="BN200" s="36"/>
      <c r="BO200" s="36"/>
      <c r="BP200" s="36">
        <v>1</v>
      </c>
      <c r="BQ200" s="36">
        <v>1</v>
      </c>
      <c r="BR200" s="36">
        <v>1</v>
      </c>
      <c r="BS200" s="36"/>
      <c r="BT200" s="36">
        <v>2</v>
      </c>
      <c r="BU200" s="36">
        <v>1</v>
      </c>
      <c r="BV200" s="36"/>
      <c r="BW200" s="36">
        <v>1</v>
      </c>
      <c r="BX200" s="36"/>
      <c r="BY200" s="36"/>
      <c r="BZ200" s="36"/>
      <c r="CA200" s="36"/>
      <c r="CB200" s="36"/>
      <c r="CC200" s="36"/>
      <c r="CD200" s="36"/>
      <c r="CE200" s="36"/>
      <c r="CF200" s="36"/>
      <c r="CG200" s="36"/>
      <c r="CH200" s="36"/>
      <c r="CI200" s="36"/>
      <c r="CK200" s="4" t="b">
        <f t="shared" si="3"/>
        <v>0</v>
      </c>
    </row>
    <row r="201" spans="1:89" ht="90" customHeight="1">
      <c r="A201" s="32" t="s">
        <v>101</v>
      </c>
      <c r="B201" s="32" t="s">
        <v>184</v>
      </c>
      <c r="C201" s="32" t="s">
        <v>350</v>
      </c>
      <c r="D201" s="34"/>
      <c r="E201" s="34">
        <v>100</v>
      </c>
      <c r="F201" s="34"/>
      <c r="G201" s="34">
        <v>100</v>
      </c>
      <c r="H201" s="34"/>
      <c r="I201" s="34">
        <v>100</v>
      </c>
      <c r="J201" s="34">
        <v>100</v>
      </c>
      <c r="K201" s="34">
        <v>100</v>
      </c>
      <c r="L201" s="34">
        <v>100</v>
      </c>
      <c r="M201" s="34">
        <v>100</v>
      </c>
      <c r="N201" s="34">
        <v>100</v>
      </c>
      <c r="O201" s="34">
        <v>100</v>
      </c>
      <c r="P201" s="34"/>
      <c r="Q201" s="34">
        <v>100</v>
      </c>
      <c r="R201" s="34"/>
      <c r="S201" s="34">
        <v>100</v>
      </c>
      <c r="T201" s="34"/>
      <c r="U201" s="34">
        <v>100</v>
      </c>
      <c r="V201" s="34">
        <v>100</v>
      </c>
      <c r="W201" s="34">
        <v>100</v>
      </c>
      <c r="X201" s="34">
        <v>100</v>
      </c>
      <c r="Y201" s="34">
        <v>100</v>
      </c>
      <c r="Z201" s="34">
        <v>100</v>
      </c>
      <c r="AA201" s="34">
        <v>100</v>
      </c>
      <c r="AB201" s="36"/>
      <c r="AC201" s="36">
        <v>21</v>
      </c>
      <c r="AD201" s="36">
        <v>19</v>
      </c>
      <c r="AE201" s="36">
        <v>21</v>
      </c>
      <c r="AF201" s="36">
        <v>24</v>
      </c>
      <c r="AG201" s="36">
        <v>20</v>
      </c>
      <c r="AH201" s="36">
        <v>21</v>
      </c>
      <c r="AI201" s="36">
        <v>20</v>
      </c>
      <c r="AJ201" s="36">
        <v>21</v>
      </c>
      <c r="AK201" s="36">
        <v>21</v>
      </c>
      <c r="AL201" s="36">
        <v>30</v>
      </c>
      <c r="AM201" s="36">
        <v>26</v>
      </c>
      <c r="AN201" s="36"/>
      <c r="AO201" s="36">
        <v>27</v>
      </c>
      <c r="AP201" s="36">
        <v>18</v>
      </c>
      <c r="AQ201" s="36">
        <v>27</v>
      </c>
      <c r="AR201" s="36">
        <v>22</v>
      </c>
      <c r="AS201" s="36">
        <v>19</v>
      </c>
      <c r="AT201" s="36">
        <v>20</v>
      </c>
      <c r="AU201" s="36">
        <v>19</v>
      </c>
      <c r="AV201" s="36">
        <v>20</v>
      </c>
      <c r="AW201" s="36">
        <v>20</v>
      </c>
      <c r="AX201" s="36">
        <v>29</v>
      </c>
      <c r="AY201" s="36">
        <v>25</v>
      </c>
      <c r="AZ201" s="36"/>
      <c r="BA201" s="36">
        <v>8</v>
      </c>
      <c r="BB201" s="36">
        <v>22</v>
      </c>
      <c r="BC201" s="36">
        <v>8</v>
      </c>
      <c r="BD201" s="36">
        <v>9</v>
      </c>
      <c r="BE201" s="36">
        <v>6</v>
      </c>
      <c r="BF201" s="36">
        <v>10</v>
      </c>
      <c r="BG201" s="36">
        <v>8</v>
      </c>
      <c r="BH201" s="36">
        <v>42</v>
      </c>
      <c r="BI201" s="36">
        <v>38</v>
      </c>
      <c r="BJ201" s="36">
        <v>28</v>
      </c>
      <c r="BK201" s="36">
        <v>29</v>
      </c>
      <c r="BL201" s="36"/>
      <c r="BM201" s="36">
        <v>2</v>
      </c>
      <c r="BN201" s="36">
        <v>4</v>
      </c>
      <c r="BO201" s="36">
        <v>2</v>
      </c>
      <c r="BP201" s="36">
        <v>5</v>
      </c>
      <c r="BQ201" s="36">
        <v>3</v>
      </c>
      <c r="BR201" s="36">
        <v>7</v>
      </c>
      <c r="BS201" s="36">
        <v>5</v>
      </c>
      <c r="BT201" s="36">
        <v>22</v>
      </c>
      <c r="BU201" s="36">
        <v>12</v>
      </c>
      <c r="BV201" s="36">
        <v>11</v>
      </c>
      <c r="BW201" s="36">
        <v>4</v>
      </c>
      <c r="BX201" s="36"/>
      <c r="BY201" s="36">
        <v>4</v>
      </c>
      <c r="BZ201" s="36">
        <v>2</v>
      </c>
      <c r="CA201" s="36"/>
      <c r="CB201" s="36">
        <v>2</v>
      </c>
      <c r="CC201" s="36">
        <v>1</v>
      </c>
      <c r="CD201" s="36">
        <v>3</v>
      </c>
      <c r="CE201" s="36">
        <v>3</v>
      </c>
      <c r="CF201" s="36">
        <v>9</v>
      </c>
      <c r="CG201" s="36">
        <v>7</v>
      </c>
      <c r="CH201" s="36">
        <v>9</v>
      </c>
      <c r="CI201" s="36">
        <v>3</v>
      </c>
      <c r="CK201" s="4" t="b">
        <f t="shared" si="3"/>
        <v>0</v>
      </c>
    </row>
    <row r="202" spans="1:89" ht="60" customHeight="1">
      <c r="A202" s="32" t="s">
        <v>87</v>
      </c>
      <c r="B202" s="32" t="s">
        <v>90</v>
      </c>
      <c r="C202" s="32" t="s">
        <v>351</v>
      </c>
      <c r="D202" s="34"/>
      <c r="E202" s="34"/>
      <c r="F202" s="34"/>
      <c r="G202" s="34"/>
      <c r="H202" s="34"/>
      <c r="I202" s="34"/>
      <c r="J202" s="34"/>
      <c r="K202" s="34"/>
      <c r="L202" s="34"/>
      <c r="M202" s="34"/>
      <c r="N202" s="34"/>
      <c r="O202" s="34"/>
      <c r="P202" s="34"/>
      <c r="Q202" s="34"/>
      <c r="R202" s="34"/>
      <c r="S202" s="34"/>
      <c r="T202" s="34"/>
      <c r="U202" s="34"/>
      <c r="V202" s="34"/>
      <c r="W202" s="34"/>
      <c r="X202" s="34"/>
      <c r="Y202" s="34"/>
      <c r="Z202" s="34"/>
      <c r="AA202" s="34"/>
      <c r="AB202" s="36"/>
      <c r="AC202" s="36"/>
      <c r="AD202" s="36"/>
      <c r="AE202" s="36"/>
      <c r="AF202" s="36"/>
      <c r="AG202" s="36"/>
      <c r="AH202" s="36">
        <v>2</v>
      </c>
      <c r="AI202" s="36">
        <v>8</v>
      </c>
      <c r="AJ202" s="36">
        <v>2</v>
      </c>
      <c r="AK202" s="36">
        <v>5</v>
      </c>
      <c r="AL202" s="36">
        <v>4</v>
      </c>
      <c r="AM202" s="36"/>
      <c r="AN202" s="36"/>
      <c r="AO202" s="36"/>
      <c r="AP202" s="36"/>
      <c r="AQ202" s="36"/>
      <c r="AR202" s="36"/>
      <c r="AS202" s="36"/>
      <c r="AT202" s="36">
        <v>4</v>
      </c>
      <c r="AU202" s="36">
        <v>5</v>
      </c>
      <c r="AV202" s="36">
        <v>3</v>
      </c>
      <c r="AW202" s="36">
        <v>4</v>
      </c>
      <c r="AX202" s="36">
        <v>3</v>
      </c>
      <c r="AY202" s="36"/>
      <c r="AZ202" s="36"/>
      <c r="BA202" s="36"/>
      <c r="BB202" s="36"/>
      <c r="BC202" s="36"/>
      <c r="BD202" s="36"/>
      <c r="BE202" s="36"/>
      <c r="BF202" s="36"/>
      <c r="BG202" s="36"/>
      <c r="BH202" s="36"/>
      <c r="BI202" s="36">
        <v>14</v>
      </c>
      <c r="BJ202" s="36">
        <v>13</v>
      </c>
      <c r="BK202" s="36"/>
      <c r="BL202" s="36"/>
      <c r="BM202" s="36"/>
      <c r="BN202" s="36"/>
      <c r="BO202" s="36"/>
      <c r="BP202" s="36"/>
      <c r="BQ202" s="36"/>
      <c r="BR202" s="36">
        <v>6</v>
      </c>
      <c r="BS202" s="36">
        <v>3</v>
      </c>
      <c r="BT202" s="36">
        <v>8</v>
      </c>
      <c r="BU202" s="36"/>
      <c r="BV202" s="36">
        <v>5</v>
      </c>
      <c r="BW202" s="36"/>
      <c r="BX202" s="36"/>
      <c r="BY202" s="36"/>
      <c r="BZ202" s="36"/>
      <c r="CA202" s="36"/>
      <c r="CB202" s="36"/>
      <c r="CC202" s="36"/>
      <c r="CD202" s="36"/>
      <c r="CE202" s="36">
        <v>1</v>
      </c>
      <c r="CF202" s="36"/>
      <c r="CG202" s="36"/>
      <c r="CH202" s="36"/>
      <c r="CI202" s="36"/>
      <c r="CK202" s="4" t="b">
        <f t="shared" si="3"/>
        <v>0</v>
      </c>
    </row>
    <row r="203" spans="1:89" ht="90" customHeight="1">
      <c r="A203" s="32" t="s">
        <v>87</v>
      </c>
      <c r="B203" s="32" t="s">
        <v>106</v>
      </c>
      <c r="C203" s="32" t="s">
        <v>352</v>
      </c>
      <c r="D203" s="34"/>
      <c r="E203" s="34"/>
      <c r="F203" s="34"/>
      <c r="G203" s="34"/>
      <c r="H203" s="34">
        <v>100</v>
      </c>
      <c r="I203" s="34">
        <v>100</v>
      </c>
      <c r="J203" s="34"/>
      <c r="K203" s="34"/>
      <c r="L203" s="34"/>
      <c r="M203" s="34"/>
      <c r="N203" s="34"/>
      <c r="O203" s="34"/>
      <c r="P203" s="34"/>
      <c r="Q203" s="34"/>
      <c r="R203" s="34"/>
      <c r="S203" s="34"/>
      <c r="T203" s="34"/>
      <c r="U203" s="34"/>
      <c r="V203" s="34"/>
      <c r="W203" s="34"/>
      <c r="X203" s="34"/>
      <c r="Y203" s="34"/>
      <c r="Z203" s="34"/>
      <c r="AA203" s="34"/>
      <c r="AB203" s="36"/>
      <c r="AC203" s="36">
        <v>8</v>
      </c>
      <c r="AD203" s="36">
        <v>9</v>
      </c>
      <c r="AE203" s="36">
        <v>13</v>
      </c>
      <c r="AF203" s="36">
        <v>10</v>
      </c>
      <c r="AG203" s="36">
        <v>7</v>
      </c>
      <c r="AH203" s="36">
        <v>16</v>
      </c>
      <c r="AI203" s="36">
        <v>5</v>
      </c>
      <c r="AJ203" s="36">
        <v>7</v>
      </c>
      <c r="AK203" s="36">
        <v>5</v>
      </c>
      <c r="AL203" s="36">
        <v>3</v>
      </c>
      <c r="AM203" s="36">
        <v>4</v>
      </c>
      <c r="AN203" s="36"/>
      <c r="AO203" s="36">
        <v>3</v>
      </c>
      <c r="AP203" s="36">
        <v>10</v>
      </c>
      <c r="AQ203" s="36">
        <v>6</v>
      </c>
      <c r="AR203" s="36">
        <v>4</v>
      </c>
      <c r="AS203" s="36">
        <v>4</v>
      </c>
      <c r="AT203" s="36">
        <v>10</v>
      </c>
      <c r="AU203" s="36">
        <v>4</v>
      </c>
      <c r="AV203" s="36">
        <v>4</v>
      </c>
      <c r="AW203" s="36">
        <v>3</v>
      </c>
      <c r="AX203" s="36">
        <v>5</v>
      </c>
      <c r="AY203" s="36">
        <v>2</v>
      </c>
      <c r="AZ203" s="36"/>
      <c r="BA203" s="36">
        <v>22</v>
      </c>
      <c r="BB203" s="36">
        <v>14</v>
      </c>
      <c r="BC203" s="36">
        <v>17</v>
      </c>
      <c r="BD203" s="36">
        <v>31</v>
      </c>
      <c r="BE203" s="36">
        <v>22</v>
      </c>
      <c r="BF203" s="36">
        <v>22</v>
      </c>
      <c r="BG203" s="36">
        <v>13</v>
      </c>
      <c r="BH203" s="36">
        <v>16</v>
      </c>
      <c r="BI203" s="36">
        <v>13</v>
      </c>
      <c r="BJ203" s="36">
        <v>19</v>
      </c>
      <c r="BK203" s="36">
        <v>28</v>
      </c>
      <c r="BL203" s="36"/>
      <c r="BM203" s="36">
        <v>14</v>
      </c>
      <c r="BN203" s="36">
        <v>18</v>
      </c>
      <c r="BO203" s="36">
        <v>19</v>
      </c>
      <c r="BP203" s="36">
        <v>30</v>
      </c>
      <c r="BQ203" s="36">
        <v>14</v>
      </c>
      <c r="BR203" s="36">
        <v>14</v>
      </c>
      <c r="BS203" s="36">
        <v>17</v>
      </c>
      <c r="BT203" s="36">
        <v>19</v>
      </c>
      <c r="BU203" s="36">
        <v>17</v>
      </c>
      <c r="BV203" s="36">
        <v>9</v>
      </c>
      <c r="BW203" s="36">
        <v>30</v>
      </c>
      <c r="BX203" s="36"/>
      <c r="BY203" s="36">
        <v>11</v>
      </c>
      <c r="BZ203" s="36">
        <v>7</v>
      </c>
      <c r="CA203" s="36">
        <v>7</v>
      </c>
      <c r="CB203" s="36">
        <v>16</v>
      </c>
      <c r="CC203" s="36">
        <v>11</v>
      </c>
      <c r="CD203" s="36">
        <v>11</v>
      </c>
      <c r="CE203" s="36">
        <v>6</v>
      </c>
      <c r="CF203" s="36">
        <v>8</v>
      </c>
      <c r="CG203" s="36">
        <v>6</v>
      </c>
      <c r="CH203" s="36">
        <v>4</v>
      </c>
      <c r="CI203" s="36">
        <v>10</v>
      </c>
      <c r="CK203" s="4" t="b">
        <f t="shared" si="3"/>
        <v>0</v>
      </c>
    </row>
    <row r="204" spans="1:89" ht="60" customHeight="1">
      <c r="A204" s="32" t="s">
        <v>109</v>
      </c>
      <c r="B204" s="32" t="s">
        <v>127</v>
      </c>
      <c r="C204" s="32" t="s">
        <v>353</v>
      </c>
      <c r="D204" s="34"/>
      <c r="E204" s="34">
        <v>50</v>
      </c>
      <c r="F204" s="34">
        <v>100</v>
      </c>
      <c r="G204" s="34">
        <v>100</v>
      </c>
      <c r="H204" s="34">
        <v>100</v>
      </c>
      <c r="I204" s="34">
        <v>100</v>
      </c>
      <c r="J204" s="34">
        <v>100</v>
      </c>
      <c r="K204" s="34">
        <v>75</v>
      </c>
      <c r="L204" s="34">
        <v>100</v>
      </c>
      <c r="M204" s="34">
        <v>100</v>
      </c>
      <c r="N204" s="34">
        <v>100</v>
      </c>
      <c r="O204" s="34">
        <v>75</v>
      </c>
      <c r="P204" s="34"/>
      <c r="Q204" s="34">
        <v>100</v>
      </c>
      <c r="R204" s="34">
        <v>100</v>
      </c>
      <c r="S204" s="34"/>
      <c r="T204" s="34">
        <v>100</v>
      </c>
      <c r="U204" s="34"/>
      <c r="V204" s="34"/>
      <c r="W204" s="34"/>
      <c r="X204" s="34"/>
      <c r="Y204" s="34">
        <v>100</v>
      </c>
      <c r="Z204" s="34"/>
      <c r="AA204" s="34">
        <v>50</v>
      </c>
      <c r="AB204" s="36"/>
      <c r="AC204" s="36">
        <v>29</v>
      </c>
      <c r="AD204" s="36">
        <v>14</v>
      </c>
      <c r="AE204" s="36">
        <v>11</v>
      </c>
      <c r="AF204" s="36">
        <v>26</v>
      </c>
      <c r="AG204" s="36">
        <v>16</v>
      </c>
      <c r="AH204" s="36">
        <v>11</v>
      </c>
      <c r="AI204" s="36">
        <v>9</v>
      </c>
      <c r="AJ204" s="36">
        <v>8</v>
      </c>
      <c r="AK204" s="36">
        <v>5</v>
      </c>
      <c r="AL204" s="36">
        <v>13</v>
      </c>
      <c r="AM204" s="36">
        <v>5</v>
      </c>
      <c r="AN204" s="36"/>
      <c r="AO204" s="36">
        <v>1</v>
      </c>
      <c r="AP204" s="36">
        <v>14</v>
      </c>
      <c r="AQ204" s="36">
        <v>7</v>
      </c>
      <c r="AR204" s="36">
        <v>17</v>
      </c>
      <c r="AS204" s="36">
        <v>4</v>
      </c>
      <c r="AT204" s="36">
        <v>6</v>
      </c>
      <c r="AU204" s="36">
        <v>2</v>
      </c>
      <c r="AV204" s="36">
        <v>13</v>
      </c>
      <c r="AW204" s="36">
        <v>16</v>
      </c>
      <c r="AX204" s="36">
        <v>13</v>
      </c>
      <c r="AY204" s="36">
        <v>15</v>
      </c>
      <c r="AZ204" s="36"/>
      <c r="BA204" s="36">
        <v>5</v>
      </c>
      <c r="BB204" s="36">
        <v>15</v>
      </c>
      <c r="BC204" s="36">
        <v>18</v>
      </c>
      <c r="BD204" s="36">
        <v>15</v>
      </c>
      <c r="BE204" s="36">
        <v>9</v>
      </c>
      <c r="BF204" s="36">
        <v>5</v>
      </c>
      <c r="BG204" s="36">
        <v>6</v>
      </c>
      <c r="BH204" s="36">
        <v>18</v>
      </c>
      <c r="BI204" s="36">
        <v>13</v>
      </c>
      <c r="BJ204" s="36">
        <v>3</v>
      </c>
      <c r="BK204" s="36">
        <v>17</v>
      </c>
      <c r="BL204" s="36"/>
      <c r="BM204" s="36"/>
      <c r="BN204" s="36">
        <v>3</v>
      </c>
      <c r="BO204" s="36"/>
      <c r="BP204" s="36">
        <v>8</v>
      </c>
      <c r="BQ204" s="36"/>
      <c r="BR204" s="36">
        <v>7</v>
      </c>
      <c r="BS204" s="36">
        <v>7</v>
      </c>
      <c r="BT204" s="36">
        <v>9</v>
      </c>
      <c r="BU204" s="36">
        <v>4</v>
      </c>
      <c r="BV204" s="36">
        <v>9</v>
      </c>
      <c r="BW204" s="36">
        <v>4</v>
      </c>
      <c r="BX204" s="36"/>
      <c r="BY204" s="36"/>
      <c r="BZ204" s="36"/>
      <c r="CA204" s="36">
        <v>1</v>
      </c>
      <c r="CB204" s="36"/>
      <c r="CC204" s="36">
        <v>31</v>
      </c>
      <c r="CD204" s="36">
        <v>4</v>
      </c>
      <c r="CE204" s="36">
        <v>3</v>
      </c>
      <c r="CF204" s="36">
        <v>3</v>
      </c>
      <c r="CG204" s="36">
        <v>2</v>
      </c>
      <c r="CH204" s="36">
        <v>5</v>
      </c>
      <c r="CI204" s="36">
        <v>1</v>
      </c>
      <c r="CK204" s="4" t="b">
        <f t="shared" si="3"/>
        <v>0</v>
      </c>
    </row>
    <row r="205" spans="1:89" ht="60" customHeight="1">
      <c r="A205" s="32" t="s">
        <v>87</v>
      </c>
      <c r="B205" s="32" t="s">
        <v>104</v>
      </c>
      <c r="C205" s="32" t="s">
        <v>354</v>
      </c>
      <c r="D205" s="34"/>
      <c r="E205" s="34">
        <v>44.44</v>
      </c>
      <c r="F205" s="34">
        <v>100</v>
      </c>
      <c r="G205" s="34">
        <v>100</v>
      </c>
      <c r="H205" s="34">
        <v>211.11</v>
      </c>
      <c r="I205" s="34">
        <v>100</v>
      </c>
      <c r="J205" s="34"/>
      <c r="K205" s="34"/>
      <c r="L205" s="34">
        <v>100</v>
      </c>
      <c r="M205" s="34">
        <v>100</v>
      </c>
      <c r="N205" s="34">
        <v>88.89</v>
      </c>
      <c r="O205" s="34">
        <v>100</v>
      </c>
      <c r="P205" s="34"/>
      <c r="Q205" s="34"/>
      <c r="R205" s="34"/>
      <c r="S205" s="34"/>
      <c r="T205" s="34">
        <v>125</v>
      </c>
      <c r="U205" s="34">
        <v>75</v>
      </c>
      <c r="V205" s="34">
        <v>44.44</v>
      </c>
      <c r="W205" s="34"/>
      <c r="X205" s="34"/>
      <c r="Y205" s="34"/>
      <c r="Z205" s="34">
        <v>75</v>
      </c>
      <c r="AA205" s="34"/>
      <c r="AB205" s="36"/>
      <c r="AC205" s="36">
        <v>101</v>
      </c>
      <c r="AD205" s="36">
        <v>73</v>
      </c>
      <c r="AE205" s="36">
        <v>81</v>
      </c>
      <c r="AF205" s="36">
        <v>93</v>
      </c>
      <c r="AG205" s="36">
        <v>79</v>
      </c>
      <c r="AH205" s="36">
        <v>80</v>
      </c>
      <c r="AI205" s="36">
        <v>68</v>
      </c>
      <c r="AJ205" s="36">
        <v>66</v>
      </c>
      <c r="AK205" s="36">
        <v>79</v>
      </c>
      <c r="AL205" s="36">
        <v>86</v>
      </c>
      <c r="AM205" s="36">
        <v>69</v>
      </c>
      <c r="AN205" s="36"/>
      <c r="AO205" s="36">
        <v>108</v>
      </c>
      <c r="AP205" s="36">
        <v>60</v>
      </c>
      <c r="AQ205" s="36">
        <v>83</v>
      </c>
      <c r="AR205" s="36">
        <v>85</v>
      </c>
      <c r="AS205" s="36">
        <v>57</v>
      </c>
      <c r="AT205" s="36">
        <v>58</v>
      </c>
      <c r="AU205" s="36">
        <v>68</v>
      </c>
      <c r="AV205" s="36">
        <v>69</v>
      </c>
      <c r="AW205" s="36">
        <v>73</v>
      </c>
      <c r="AX205" s="36">
        <v>66</v>
      </c>
      <c r="AY205" s="36">
        <v>54</v>
      </c>
      <c r="AZ205" s="36"/>
      <c r="BA205" s="36">
        <v>20</v>
      </c>
      <c r="BB205" s="36">
        <v>49</v>
      </c>
      <c r="BC205" s="36">
        <v>40</v>
      </c>
      <c r="BD205" s="36">
        <v>39</v>
      </c>
      <c r="BE205" s="36">
        <v>41</v>
      </c>
      <c r="BF205" s="36">
        <v>23</v>
      </c>
      <c r="BG205" s="36">
        <v>33</v>
      </c>
      <c r="BH205" s="36">
        <v>33</v>
      </c>
      <c r="BI205" s="36">
        <v>57</v>
      </c>
      <c r="BJ205" s="36">
        <v>45</v>
      </c>
      <c r="BK205" s="36">
        <v>34</v>
      </c>
      <c r="BL205" s="36"/>
      <c r="BM205" s="36">
        <v>1</v>
      </c>
      <c r="BN205" s="36">
        <v>7</v>
      </c>
      <c r="BO205" s="36">
        <v>6</v>
      </c>
      <c r="BP205" s="36">
        <v>15</v>
      </c>
      <c r="BQ205" s="36">
        <v>12</v>
      </c>
      <c r="BR205" s="36">
        <v>13</v>
      </c>
      <c r="BS205" s="36">
        <v>15</v>
      </c>
      <c r="BT205" s="36">
        <v>9</v>
      </c>
      <c r="BU205" s="36">
        <v>12</v>
      </c>
      <c r="BV205" s="36">
        <v>14</v>
      </c>
      <c r="BW205" s="36">
        <v>13</v>
      </c>
      <c r="BX205" s="36"/>
      <c r="BY205" s="36"/>
      <c r="BZ205" s="36"/>
      <c r="CA205" s="36">
        <v>1</v>
      </c>
      <c r="CB205" s="36"/>
      <c r="CC205" s="36"/>
      <c r="CD205" s="36"/>
      <c r="CE205" s="36"/>
      <c r="CF205" s="36"/>
      <c r="CG205" s="36"/>
      <c r="CH205" s="36">
        <v>1</v>
      </c>
      <c r="CI205" s="36">
        <v>1</v>
      </c>
      <c r="CK205" s="4" t="b">
        <f t="shared" si="3"/>
        <v>0</v>
      </c>
    </row>
    <row r="206" spans="1:89" ht="60" customHeight="1">
      <c r="A206" s="32" t="s">
        <v>144</v>
      </c>
      <c r="B206" s="32" t="s">
        <v>151</v>
      </c>
      <c r="C206" s="32" t="s">
        <v>355</v>
      </c>
      <c r="D206" s="34"/>
      <c r="E206" s="34">
        <v>55.56</v>
      </c>
      <c r="F206" s="34">
        <v>100</v>
      </c>
      <c r="G206" s="34">
        <v>100</v>
      </c>
      <c r="H206" s="34">
        <v>100</v>
      </c>
      <c r="I206" s="34">
        <v>100</v>
      </c>
      <c r="J206" s="34">
        <v>100</v>
      </c>
      <c r="K206" s="34">
        <v>87.5</v>
      </c>
      <c r="L206" s="34">
        <v>100</v>
      </c>
      <c r="M206" s="34">
        <v>100</v>
      </c>
      <c r="N206" s="34">
        <v>100</v>
      </c>
      <c r="O206" s="34">
        <v>100</v>
      </c>
      <c r="P206" s="34"/>
      <c r="Q206" s="34"/>
      <c r="R206" s="34"/>
      <c r="S206" s="34">
        <v>50</v>
      </c>
      <c r="T206" s="34">
        <v>50</v>
      </c>
      <c r="U206" s="34"/>
      <c r="V206" s="34">
        <v>50</v>
      </c>
      <c r="W206" s="34"/>
      <c r="X206" s="34">
        <v>50</v>
      </c>
      <c r="Y206" s="34">
        <v>50</v>
      </c>
      <c r="Z206" s="34"/>
      <c r="AA206" s="34">
        <v>200</v>
      </c>
      <c r="AB206" s="36"/>
      <c r="AC206" s="36">
        <v>28</v>
      </c>
      <c r="AD206" s="36">
        <v>17</v>
      </c>
      <c r="AE206" s="36">
        <v>34</v>
      </c>
      <c r="AF206" s="36">
        <v>39</v>
      </c>
      <c r="AG206" s="36">
        <v>31</v>
      </c>
      <c r="AH206" s="36">
        <v>34</v>
      </c>
      <c r="AI206" s="36">
        <v>20</v>
      </c>
      <c r="AJ206" s="36">
        <v>30</v>
      </c>
      <c r="AK206" s="36">
        <v>32</v>
      </c>
      <c r="AL206" s="36">
        <v>17</v>
      </c>
      <c r="AM206" s="36">
        <v>33</v>
      </c>
      <c r="AN206" s="36"/>
      <c r="AO206" s="36">
        <v>29</v>
      </c>
      <c r="AP206" s="36">
        <v>19</v>
      </c>
      <c r="AQ206" s="36">
        <v>18</v>
      </c>
      <c r="AR206" s="36">
        <v>13</v>
      </c>
      <c r="AS206" s="36">
        <v>37</v>
      </c>
      <c r="AT206" s="36">
        <v>39</v>
      </c>
      <c r="AU206" s="36">
        <v>33</v>
      </c>
      <c r="AV206" s="36">
        <v>29</v>
      </c>
      <c r="AW206" s="36">
        <v>25</v>
      </c>
      <c r="AX206" s="36">
        <v>28</v>
      </c>
      <c r="AY206" s="36">
        <v>27</v>
      </c>
      <c r="AZ206" s="36"/>
      <c r="BA206" s="36">
        <v>48</v>
      </c>
      <c r="BB206" s="36">
        <v>29</v>
      </c>
      <c r="BC206" s="36">
        <v>21</v>
      </c>
      <c r="BD206" s="36">
        <v>24</v>
      </c>
      <c r="BE206" s="36">
        <v>17</v>
      </c>
      <c r="BF206" s="36">
        <v>14</v>
      </c>
      <c r="BG206" s="36">
        <v>19</v>
      </c>
      <c r="BH206" s="36">
        <v>30</v>
      </c>
      <c r="BI206" s="36">
        <v>27</v>
      </c>
      <c r="BJ206" s="36">
        <v>22</v>
      </c>
      <c r="BK206" s="36">
        <v>24</v>
      </c>
      <c r="BL206" s="36"/>
      <c r="BM206" s="36"/>
      <c r="BN206" s="36">
        <v>29</v>
      </c>
      <c r="BO206" s="36">
        <v>11</v>
      </c>
      <c r="BP206" s="36">
        <v>18</v>
      </c>
      <c r="BQ206" s="36">
        <v>13</v>
      </c>
      <c r="BR206" s="36">
        <v>17</v>
      </c>
      <c r="BS206" s="36">
        <v>9</v>
      </c>
      <c r="BT206" s="36">
        <v>11</v>
      </c>
      <c r="BU206" s="36">
        <v>16</v>
      </c>
      <c r="BV206" s="36">
        <v>13</v>
      </c>
      <c r="BW206" s="36">
        <v>24</v>
      </c>
      <c r="BX206" s="36"/>
      <c r="BY206" s="36"/>
      <c r="BZ206" s="36">
        <v>3</v>
      </c>
      <c r="CA206" s="36"/>
      <c r="CB206" s="36">
        <v>10</v>
      </c>
      <c r="CC206" s="36">
        <v>5</v>
      </c>
      <c r="CD206" s="36">
        <v>9</v>
      </c>
      <c r="CE206" s="36">
        <v>3</v>
      </c>
      <c r="CF206" s="36">
        <v>3</v>
      </c>
      <c r="CG206" s="36">
        <v>6</v>
      </c>
      <c r="CH206" s="36">
        <v>7</v>
      </c>
      <c r="CI206" s="36">
        <v>9</v>
      </c>
      <c r="CK206" s="4" t="b">
        <f t="shared" si="3"/>
        <v>0</v>
      </c>
    </row>
    <row r="207" spans="1:89" ht="60" customHeight="1">
      <c r="A207" s="32" t="s">
        <v>101</v>
      </c>
      <c r="B207" s="32" t="s">
        <v>305</v>
      </c>
      <c r="C207" s="32" t="s">
        <v>356</v>
      </c>
      <c r="D207" s="34"/>
      <c r="E207" s="34">
        <v>50</v>
      </c>
      <c r="F207" s="34">
        <v>100</v>
      </c>
      <c r="G207" s="34">
        <v>100</v>
      </c>
      <c r="H207" s="34">
        <v>100</v>
      </c>
      <c r="I207" s="34">
        <v>100</v>
      </c>
      <c r="J207" s="34">
        <v>100</v>
      </c>
      <c r="K207" s="34"/>
      <c r="L207" s="34">
        <v>50</v>
      </c>
      <c r="M207" s="34">
        <v>100</v>
      </c>
      <c r="N207" s="34">
        <v>100</v>
      </c>
      <c r="O207" s="34">
        <v>25</v>
      </c>
      <c r="P207" s="34"/>
      <c r="Q207" s="34">
        <v>100</v>
      </c>
      <c r="R207" s="34">
        <v>100</v>
      </c>
      <c r="S207" s="34">
        <v>100</v>
      </c>
      <c r="T207" s="34">
        <v>100</v>
      </c>
      <c r="U207" s="34">
        <v>100</v>
      </c>
      <c r="V207" s="34"/>
      <c r="W207" s="34"/>
      <c r="X207" s="34">
        <v>50</v>
      </c>
      <c r="Y207" s="34">
        <v>100</v>
      </c>
      <c r="Z207" s="34">
        <v>100</v>
      </c>
      <c r="AA207" s="34">
        <v>25</v>
      </c>
      <c r="AB207" s="36"/>
      <c r="AC207" s="36">
        <v>75</v>
      </c>
      <c r="AD207" s="36">
        <v>12</v>
      </c>
      <c r="AE207" s="36">
        <v>15</v>
      </c>
      <c r="AF207" s="36">
        <v>25</v>
      </c>
      <c r="AG207" s="36">
        <v>14</v>
      </c>
      <c r="AH207" s="36">
        <v>11</v>
      </c>
      <c r="AI207" s="36">
        <v>13</v>
      </c>
      <c r="AJ207" s="36">
        <v>8</v>
      </c>
      <c r="AK207" s="36">
        <v>12</v>
      </c>
      <c r="AL207" s="36">
        <v>19</v>
      </c>
      <c r="AM207" s="36">
        <v>10</v>
      </c>
      <c r="AN207" s="36"/>
      <c r="AO207" s="36">
        <v>245</v>
      </c>
      <c r="AP207" s="36">
        <v>12</v>
      </c>
      <c r="AQ207" s="36">
        <v>15</v>
      </c>
      <c r="AR207" s="36">
        <v>24</v>
      </c>
      <c r="AS207" s="36">
        <v>14</v>
      </c>
      <c r="AT207" s="36">
        <v>11</v>
      </c>
      <c r="AU207" s="36">
        <v>13</v>
      </c>
      <c r="AV207" s="36">
        <v>8</v>
      </c>
      <c r="AW207" s="36">
        <v>9</v>
      </c>
      <c r="AX207" s="36">
        <v>20</v>
      </c>
      <c r="AY207" s="36">
        <v>10</v>
      </c>
      <c r="AZ207" s="36"/>
      <c r="BA207" s="36">
        <v>7</v>
      </c>
      <c r="BB207" s="36">
        <v>10</v>
      </c>
      <c r="BC207" s="36">
        <v>9</v>
      </c>
      <c r="BD207" s="36">
        <v>5</v>
      </c>
      <c r="BE207" s="36">
        <v>11</v>
      </c>
      <c r="BF207" s="36">
        <v>6</v>
      </c>
      <c r="BG207" s="36">
        <v>3</v>
      </c>
      <c r="BH207" s="36">
        <v>13</v>
      </c>
      <c r="BI207" s="36">
        <v>16</v>
      </c>
      <c r="BJ207" s="36">
        <v>20</v>
      </c>
      <c r="BK207" s="36">
        <v>17</v>
      </c>
      <c r="BL207" s="36"/>
      <c r="BM207" s="36"/>
      <c r="BN207" s="36"/>
      <c r="BO207" s="36"/>
      <c r="BP207" s="36"/>
      <c r="BQ207" s="36"/>
      <c r="BR207" s="36">
        <v>1</v>
      </c>
      <c r="BS207" s="36"/>
      <c r="BT207" s="36"/>
      <c r="BU207" s="36"/>
      <c r="BV207" s="36">
        <v>3</v>
      </c>
      <c r="BW207" s="36">
        <v>7</v>
      </c>
      <c r="BX207" s="36"/>
      <c r="BY207" s="36"/>
      <c r="BZ207" s="36"/>
      <c r="CA207" s="36"/>
      <c r="CB207" s="36"/>
      <c r="CC207" s="36"/>
      <c r="CD207" s="36"/>
      <c r="CE207" s="36"/>
      <c r="CF207" s="36"/>
      <c r="CG207" s="36"/>
      <c r="CH207" s="36"/>
      <c r="CI207" s="36"/>
      <c r="CK207" s="4" t="b">
        <f t="shared" si="3"/>
        <v>0</v>
      </c>
    </row>
    <row r="208" spans="1:89" ht="60" customHeight="1">
      <c r="A208" s="32" t="s">
        <v>92</v>
      </c>
      <c r="B208" s="32" t="s">
        <v>112</v>
      </c>
      <c r="C208" s="32" t="s">
        <v>357</v>
      </c>
      <c r="D208" s="34"/>
      <c r="E208" s="34">
        <v>50</v>
      </c>
      <c r="F208" s="34">
        <v>100</v>
      </c>
      <c r="G208" s="34">
        <v>100</v>
      </c>
      <c r="H208" s="34">
        <v>175</v>
      </c>
      <c r="I208" s="34">
        <v>100</v>
      </c>
      <c r="J208" s="34">
        <v>100</v>
      </c>
      <c r="K208" s="34">
        <v>100</v>
      </c>
      <c r="L208" s="34">
        <v>100</v>
      </c>
      <c r="M208" s="34"/>
      <c r="N208" s="34">
        <v>100</v>
      </c>
      <c r="O208" s="34">
        <v>100</v>
      </c>
      <c r="P208" s="34"/>
      <c r="Q208" s="34">
        <v>225</v>
      </c>
      <c r="R208" s="34">
        <v>100</v>
      </c>
      <c r="S208" s="34">
        <v>100</v>
      </c>
      <c r="T208" s="34">
        <v>175</v>
      </c>
      <c r="U208" s="34">
        <v>100</v>
      </c>
      <c r="V208" s="34">
        <v>100</v>
      </c>
      <c r="W208" s="34">
        <v>100</v>
      </c>
      <c r="X208" s="34">
        <v>100</v>
      </c>
      <c r="Y208" s="34"/>
      <c r="Z208" s="34"/>
      <c r="AA208" s="34">
        <v>100</v>
      </c>
      <c r="AB208" s="36"/>
      <c r="AC208" s="36">
        <v>43</v>
      </c>
      <c r="AD208" s="36">
        <v>23</v>
      </c>
      <c r="AE208" s="36">
        <v>30</v>
      </c>
      <c r="AF208" s="36">
        <v>51</v>
      </c>
      <c r="AG208" s="36">
        <v>22</v>
      </c>
      <c r="AH208" s="36">
        <v>29</v>
      </c>
      <c r="AI208" s="36">
        <v>31</v>
      </c>
      <c r="AJ208" s="36">
        <v>25</v>
      </c>
      <c r="AK208" s="36"/>
      <c r="AL208" s="36">
        <v>33</v>
      </c>
      <c r="AM208" s="36">
        <v>31</v>
      </c>
      <c r="AN208" s="36"/>
      <c r="AO208" s="36">
        <v>41</v>
      </c>
      <c r="AP208" s="36">
        <v>31</v>
      </c>
      <c r="AQ208" s="36">
        <v>30</v>
      </c>
      <c r="AR208" s="36">
        <v>54</v>
      </c>
      <c r="AS208" s="36">
        <v>28</v>
      </c>
      <c r="AT208" s="36">
        <v>27</v>
      </c>
      <c r="AU208" s="36">
        <v>31</v>
      </c>
      <c r="AV208" s="36">
        <v>25</v>
      </c>
      <c r="AW208" s="36"/>
      <c r="AX208" s="36">
        <v>30</v>
      </c>
      <c r="AY208" s="36">
        <v>27</v>
      </c>
      <c r="AZ208" s="36"/>
      <c r="BA208" s="36">
        <v>8</v>
      </c>
      <c r="BB208" s="36">
        <v>4</v>
      </c>
      <c r="BC208" s="36">
        <v>9</v>
      </c>
      <c r="BD208" s="36">
        <v>3</v>
      </c>
      <c r="BE208" s="36"/>
      <c r="BF208" s="36">
        <v>3</v>
      </c>
      <c r="BG208" s="36"/>
      <c r="BH208" s="36"/>
      <c r="BI208" s="36">
        <v>4</v>
      </c>
      <c r="BJ208" s="36">
        <v>8</v>
      </c>
      <c r="BK208" s="36"/>
      <c r="BL208" s="36"/>
      <c r="BM208" s="36">
        <v>8</v>
      </c>
      <c r="BN208" s="36">
        <v>4</v>
      </c>
      <c r="BO208" s="36">
        <v>9</v>
      </c>
      <c r="BP208" s="36"/>
      <c r="BQ208" s="36">
        <v>5</v>
      </c>
      <c r="BR208" s="36">
        <v>2</v>
      </c>
      <c r="BS208" s="36">
        <v>3</v>
      </c>
      <c r="BT208" s="36">
        <v>2</v>
      </c>
      <c r="BU208" s="36">
        <v>4</v>
      </c>
      <c r="BV208" s="36">
        <v>12</v>
      </c>
      <c r="BW208" s="36">
        <v>7</v>
      </c>
      <c r="BX208" s="36"/>
      <c r="BY208" s="36">
        <v>8</v>
      </c>
      <c r="BZ208" s="36">
        <v>4</v>
      </c>
      <c r="CA208" s="36">
        <v>9</v>
      </c>
      <c r="CB208" s="36">
        <v>5</v>
      </c>
      <c r="CC208" s="36">
        <v>3</v>
      </c>
      <c r="CD208" s="36">
        <v>1</v>
      </c>
      <c r="CE208" s="36">
        <v>3</v>
      </c>
      <c r="CF208" s="36">
        <v>2</v>
      </c>
      <c r="CG208" s="36">
        <v>4</v>
      </c>
      <c r="CH208" s="36">
        <v>20</v>
      </c>
      <c r="CI208" s="36"/>
      <c r="CK208" s="4" t="b">
        <f t="shared" si="3"/>
        <v>0</v>
      </c>
    </row>
    <row r="209" spans="1:89" ht="75" customHeight="1">
      <c r="A209" s="32" t="s">
        <v>124</v>
      </c>
      <c r="B209" s="32" t="s">
        <v>268</v>
      </c>
      <c r="C209" s="32" t="s">
        <v>358</v>
      </c>
      <c r="D209" s="34"/>
      <c r="E209" s="34"/>
      <c r="F209" s="34">
        <v>100</v>
      </c>
      <c r="G209" s="34">
        <v>100</v>
      </c>
      <c r="H209" s="34">
        <v>100</v>
      </c>
      <c r="I209" s="34">
        <v>100</v>
      </c>
      <c r="J209" s="34">
        <v>100</v>
      </c>
      <c r="K209" s="34">
        <v>75</v>
      </c>
      <c r="L209" s="34">
        <v>50</v>
      </c>
      <c r="M209" s="34">
        <v>100</v>
      </c>
      <c r="N209" s="34">
        <v>100</v>
      </c>
      <c r="O209" s="34">
        <v>100</v>
      </c>
      <c r="P209" s="34"/>
      <c r="Q209" s="34"/>
      <c r="R209" s="34">
        <v>100</v>
      </c>
      <c r="S209" s="34">
        <v>100</v>
      </c>
      <c r="T209" s="34">
        <v>100</v>
      </c>
      <c r="U209" s="34">
        <v>100</v>
      </c>
      <c r="V209" s="34">
        <v>100</v>
      </c>
      <c r="W209" s="34">
        <v>75</v>
      </c>
      <c r="X209" s="34">
        <v>50</v>
      </c>
      <c r="Y209" s="34">
        <v>100</v>
      </c>
      <c r="Z209" s="34">
        <v>100</v>
      </c>
      <c r="AA209" s="34">
        <v>100</v>
      </c>
      <c r="AB209" s="36"/>
      <c r="AC209" s="36">
        <v>25</v>
      </c>
      <c r="AD209" s="36">
        <v>38</v>
      </c>
      <c r="AE209" s="36">
        <v>37</v>
      </c>
      <c r="AF209" s="36">
        <v>30</v>
      </c>
      <c r="AG209" s="36">
        <v>36</v>
      </c>
      <c r="AH209" s="36">
        <v>37</v>
      </c>
      <c r="AI209" s="36">
        <v>28</v>
      </c>
      <c r="AJ209" s="36">
        <v>15</v>
      </c>
      <c r="AK209" s="36">
        <v>34</v>
      </c>
      <c r="AL209" s="36">
        <v>32</v>
      </c>
      <c r="AM209" s="36">
        <v>31</v>
      </c>
      <c r="AN209" s="36"/>
      <c r="AO209" s="36">
        <v>523</v>
      </c>
      <c r="AP209" s="36">
        <v>37</v>
      </c>
      <c r="AQ209" s="36">
        <v>36</v>
      </c>
      <c r="AR209" s="36">
        <v>30</v>
      </c>
      <c r="AS209" s="36">
        <v>36</v>
      </c>
      <c r="AT209" s="36">
        <v>35</v>
      </c>
      <c r="AU209" s="36">
        <v>28</v>
      </c>
      <c r="AV209" s="36">
        <v>16</v>
      </c>
      <c r="AW209" s="36">
        <v>32</v>
      </c>
      <c r="AX209" s="36">
        <v>31</v>
      </c>
      <c r="AY209" s="36">
        <v>28</v>
      </c>
      <c r="AZ209" s="36"/>
      <c r="BA209" s="36">
        <v>1</v>
      </c>
      <c r="BB209" s="36">
        <v>20</v>
      </c>
      <c r="BC209" s="36">
        <v>3</v>
      </c>
      <c r="BD209" s="36">
        <v>12</v>
      </c>
      <c r="BE209" s="36">
        <v>20</v>
      </c>
      <c r="BF209" s="36">
        <v>7</v>
      </c>
      <c r="BG209" s="36">
        <v>2</v>
      </c>
      <c r="BH209" s="36">
        <v>10</v>
      </c>
      <c r="BI209" s="36">
        <v>23</v>
      </c>
      <c r="BJ209" s="36">
        <v>1</v>
      </c>
      <c r="BK209" s="36">
        <v>32</v>
      </c>
      <c r="BL209" s="36"/>
      <c r="BM209" s="36"/>
      <c r="BN209" s="36">
        <v>2</v>
      </c>
      <c r="BO209" s="36">
        <v>3</v>
      </c>
      <c r="BP209" s="36">
        <v>3</v>
      </c>
      <c r="BQ209" s="36">
        <v>5</v>
      </c>
      <c r="BR209" s="36">
        <v>3</v>
      </c>
      <c r="BS209" s="36">
        <v>1</v>
      </c>
      <c r="BT209" s="36">
        <v>4</v>
      </c>
      <c r="BU209" s="36">
        <v>2</v>
      </c>
      <c r="BV209" s="36"/>
      <c r="BW209" s="36">
        <v>2</v>
      </c>
      <c r="BX209" s="36"/>
      <c r="BY209" s="36"/>
      <c r="BZ209" s="36"/>
      <c r="CA209" s="36"/>
      <c r="CB209" s="36"/>
      <c r="CC209" s="36"/>
      <c r="CD209" s="36"/>
      <c r="CE209" s="36"/>
      <c r="CF209" s="36"/>
      <c r="CG209" s="36"/>
      <c r="CH209" s="36"/>
      <c r="CI209" s="36"/>
      <c r="CK209" s="4" t="b">
        <f t="shared" si="3"/>
        <v>0</v>
      </c>
    </row>
    <row r="210" spans="1:89" ht="75" customHeight="1">
      <c r="A210" s="32" t="s">
        <v>87</v>
      </c>
      <c r="B210" s="32" t="s">
        <v>181</v>
      </c>
      <c r="C210" s="32" t="s">
        <v>359</v>
      </c>
      <c r="D210" s="34"/>
      <c r="E210" s="34">
        <v>50</v>
      </c>
      <c r="F210" s="34">
        <v>100</v>
      </c>
      <c r="G210" s="34">
        <v>100</v>
      </c>
      <c r="H210" s="34">
        <v>100</v>
      </c>
      <c r="I210" s="34">
        <v>100</v>
      </c>
      <c r="J210" s="34">
        <v>100</v>
      </c>
      <c r="K210" s="34">
        <v>100</v>
      </c>
      <c r="L210" s="34">
        <v>100</v>
      </c>
      <c r="M210" s="34">
        <v>100</v>
      </c>
      <c r="N210" s="34">
        <v>75</v>
      </c>
      <c r="O210" s="34">
        <v>100</v>
      </c>
      <c r="P210" s="34"/>
      <c r="Q210" s="34">
        <v>50</v>
      </c>
      <c r="R210" s="34"/>
      <c r="S210" s="34"/>
      <c r="T210" s="34"/>
      <c r="U210" s="34"/>
      <c r="V210" s="34"/>
      <c r="W210" s="34"/>
      <c r="X210" s="34"/>
      <c r="Y210" s="34"/>
      <c r="Z210" s="34"/>
      <c r="AA210" s="34"/>
      <c r="AB210" s="36"/>
      <c r="AC210" s="36">
        <v>10</v>
      </c>
      <c r="AD210" s="36">
        <v>8</v>
      </c>
      <c r="AE210" s="36">
        <v>24</v>
      </c>
      <c r="AF210" s="36">
        <v>10</v>
      </c>
      <c r="AG210" s="36">
        <v>20</v>
      </c>
      <c r="AH210" s="36">
        <v>23</v>
      </c>
      <c r="AI210" s="36">
        <v>7</v>
      </c>
      <c r="AJ210" s="36">
        <v>11</v>
      </c>
      <c r="AK210" s="36">
        <v>10</v>
      </c>
      <c r="AL210" s="36">
        <v>10</v>
      </c>
      <c r="AM210" s="36">
        <v>8</v>
      </c>
      <c r="AN210" s="36"/>
      <c r="AO210" s="36">
        <v>3</v>
      </c>
      <c r="AP210" s="36">
        <v>7</v>
      </c>
      <c r="AQ210" s="36">
        <v>19</v>
      </c>
      <c r="AR210" s="36">
        <v>6</v>
      </c>
      <c r="AS210" s="36">
        <v>20</v>
      </c>
      <c r="AT210" s="36">
        <v>15</v>
      </c>
      <c r="AU210" s="36">
        <v>19</v>
      </c>
      <c r="AV210" s="36">
        <v>18</v>
      </c>
      <c r="AW210" s="36">
        <v>13</v>
      </c>
      <c r="AX210" s="36">
        <v>4</v>
      </c>
      <c r="AY210" s="36">
        <v>9</v>
      </c>
      <c r="AZ210" s="36"/>
      <c r="BA210" s="36">
        <v>8</v>
      </c>
      <c r="BB210" s="36">
        <v>4</v>
      </c>
      <c r="BC210" s="36">
        <v>3</v>
      </c>
      <c r="BD210" s="36">
        <v>5</v>
      </c>
      <c r="BE210" s="36">
        <v>2</v>
      </c>
      <c r="BF210" s="36">
        <v>2</v>
      </c>
      <c r="BG210" s="36">
        <v>10</v>
      </c>
      <c r="BH210" s="36">
        <v>1</v>
      </c>
      <c r="BI210" s="36">
        <v>2</v>
      </c>
      <c r="BJ210" s="36">
        <v>5</v>
      </c>
      <c r="BK210" s="36">
        <v>2</v>
      </c>
      <c r="BL210" s="36"/>
      <c r="BM210" s="36"/>
      <c r="BN210" s="36"/>
      <c r="BO210" s="36">
        <v>1</v>
      </c>
      <c r="BP210" s="36">
        <v>6</v>
      </c>
      <c r="BQ210" s="36"/>
      <c r="BR210" s="36"/>
      <c r="BS210" s="36">
        <v>1</v>
      </c>
      <c r="BT210" s="36">
        <v>1</v>
      </c>
      <c r="BU210" s="36">
        <v>5</v>
      </c>
      <c r="BV210" s="36"/>
      <c r="BW210" s="36">
        <v>2</v>
      </c>
      <c r="BX210" s="36"/>
      <c r="BY210" s="36"/>
      <c r="BZ210" s="36"/>
      <c r="CA210" s="36"/>
      <c r="CB210" s="36"/>
      <c r="CC210" s="36"/>
      <c r="CD210" s="36"/>
      <c r="CE210" s="36"/>
      <c r="CF210" s="36"/>
      <c r="CG210" s="36"/>
      <c r="CH210" s="36"/>
      <c r="CI210" s="36"/>
      <c r="CK210" s="4" t="b">
        <f t="shared" si="3"/>
        <v>0</v>
      </c>
    </row>
    <row r="211" spans="1:89" ht="60" customHeight="1">
      <c r="A211" s="32" t="s">
        <v>144</v>
      </c>
      <c r="B211" s="32" t="s">
        <v>207</v>
      </c>
      <c r="C211" s="32" t="s">
        <v>360</v>
      </c>
      <c r="D211" s="34">
        <v>100</v>
      </c>
      <c r="E211" s="34">
        <v>100</v>
      </c>
      <c r="F211" s="34">
        <v>100</v>
      </c>
      <c r="G211" s="34">
        <v>100</v>
      </c>
      <c r="H211" s="34">
        <v>100</v>
      </c>
      <c r="I211" s="34"/>
      <c r="J211" s="34"/>
      <c r="K211" s="34"/>
      <c r="L211" s="34"/>
      <c r="M211" s="34"/>
      <c r="N211" s="34"/>
      <c r="O211" s="34"/>
      <c r="P211" s="34"/>
      <c r="Q211" s="34">
        <v>100</v>
      </c>
      <c r="R211" s="34"/>
      <c r="S211" s="34"/>
      <c r="T211" s="34"/>
      <c r="U211" s="34"/>
      <c r="V211" s="34"/>
      <c r="W211" s="34"/>
      <c r="X211" s="34"/>
      <c r="Y211" s="34"/>
      <c r="Z211" s="34"/>
      <c r="AA211" s="34"/>
      <c r="AB211" s="36">
        <v>323</v>
      </c>
      <c r="AC211" s="36">
        <v>590</v>
      </c>
      <c r="AD211" s="36">
        <v>214</v>
      </c>
      <c r="AE211" s="36">
        <v>224</v>
      </c>
      <c r="AF211" s="36">
        <v>224</v>
      </c>
      <c r="AG211" s="36"/>
      <c r="AH211" s="36">
        <v>185</v>
      </c>
      <c r="AI211" s="36">
        <v>172</v>
      </c>
      <c r="AJ211" s="36">
        <v>158</v>
      </c>
      <c r="AK211" s="36">
        <v>170</v>
      </c>
      <c r="AL211" s="36">
        <v>173</v>
      </c>
      <c r="AM211" s="36">
        <v>153</v>
      </c>
      <c r="AN211" s="36">
        <v>328</v>
      </c>
      <c r="AO211" s="36">
        <v>4369</v>
      </c>
      <c r="AP211" s="36">
        <v>206</v>
      </c>
      <c r="AQ211" s="36">
        <v>225</v>
      </c>
      <c r="AR211" s="36">
        <v>180</v>
      </c>
      <c r="AS211" s="36"/>
      <c r="AT211" s="36">
        <v>199</v>
      </c>
      <c r="AU211" s="36">
        <v>179</v>
      </c>
      <c r="AV211" s="36">
        <v>227</v>
      </c>
      <c r="AW211" s="36">
        <v>144</v>
      </c>
      <c r="AX211" s="36">
        <v>130</v>
      </c>
      <c r="AY211" s="36">
        <v>225</v>
      </c>
      <c r="AZ211" s="36">
        <v>215</v>
      </c>
      <c r="BA211" s="36">
        <v>360</v>
      </c>
      <c r="BB211" s="36"/>
      <c r="BC211" s="36">
        <v>271</v>
      </c>
      <c r="BD211" s="36">
        <v>218</v>
      </c>
      <c r="BE211" s="36">
        <v>171</v>
      </c>
      <c r="BF211" s="36">
        <v>118</v>
      </c>
      <c r="BG211" s="36">
        <v>227</v>
      </c>
      <c r="BH211" s="36">
        <v>162</v>
      </c>
      <c r="BI211" s="36">
        <v>192</v>
      </c>
      <c r="BJ211" s="36">
        <v>185</v>
      </c>
      <c r="BK211" s="36">
        <v>123</v>
      </c>
      <c r="BL211" s="36">
        <v>61</v>
      </c>
      <c r="BM211" s="36">
        <v>65</v>
      </c>
      <c r="BN211" s="36"/>
      <c r="BO211" s="36">
        <v>58</v>
      </c>
      <c r="BP211" s="36">
        <v>56</v>
      </c>
      <c r="BQ211" s="36">
        <v>34</v>
      </c>
      <c r="BR211" s="36">
        <v>29</v>
      </c>
      <c r="BS211" s="36">
        <v>59</v>
      </c>
      <c r="BT211" s="36">
        <v>48</v>
      </c>
      <c r="BU211" s="36">
        <v>72</v>
      </c>
      <c r="BV211" s="36">
        <v>49</v>
      </c>
      <c r="BW211" s="36">
        <v>39</v>
      </c>
      <c r="BX211" s="36">
        <v>17</v>
      </c>
      <c r="BY211" s="36">
        <v>14</v>
      </c>
      <c r="BZ211" s="36"/>
      <c r="CA211" s="36">
        <v>15</v>
      </c>
      <c r="CB211" s="36">
        <v>3</v>
      </c>
      <c r="CC211" s="36">
        <v>9</v>
      </c>
      <c r="CD211" s="36">
        <v>6</v>
      </c>
      <c r="CE211" s="36">
        <v>7</v>
      </c>
      <c r="CF211" s="36">
        <v>14</v>
      </c>
      <c r="CG211" s="36">
        <v>18</v>
      </c>
      <c r="CH211" s="36">
        <v>27</v>
      </c>
      <c r="CI211" s="36">
        <v>19</v>
      </c>
      <c r="CK211" s="4" t="b">
        <f t="shared" si="3"/>
        <v>1</v>
      </c>
    </row>
    <row r="212" spans="1:89" ht="75" customHeight="1">
      <c r="A212" s="32" t="s">
        <v>144</v>
      </c>
      <c r="B212" s="32" t="s">
        <v>207</v>
      </c>
      <c r="C212" s="32" t="s">
        <v>361</v>
      </c>
      <c r="D212" s="34"/>
      <c r="E212" s="34"/>
      <c r="F212" s="34"/>
      <c r="G212" s="34"/>
      <c r="H212" s="34"/>
      <c r="I212" s="34"/>
      <c r="J212" s="34"/>
      <c r="K212" s="34"/>
      <c r="L212" s="34"/>
      <c r="M212" s="34"/>
      <c r="N212" s="34">
        <v>100</v>
      </c>
      <c r="O212" s="34">
        <v>100</v>
      </c>
      <c r="P212" s="34"/>
      <c r="Q212" s="34"/>
      <c r="R212" s="34"/>
      <c r="S212" s="34"/>
      <c r="T212" s="34"/>
      <c r="U212" s="34"/>
      <c r="V212" s="34"/>
      <c r="W212" s="34"/>
      <c r="X212" s="34"/>
      <c r="Y212" s="34"/>
      <c r="Z212" s="34"/>
      <c r="AA212" s="34"/>
      <c r="AB212" s="36"/>
      <c r="AC212" s="36"/>
      <c r="AD212" s="36"/>
      <c r="AE212" s="36"/>
      <c r="AF212" s="36"/>
      <c r="AG212" s="36"/>
      <c r="AH212" s="36"/>
      <c r="AI212" s="36"/>
      <c r="AJ212" s="36"/>
      <c r="AK212" s="36"/>
      <c r="AL212" s="36">
        <v>5</v>
      </c>
      <c r="AM212" s="36">
        <v>1</v>
      </c>
      <c r="AN212" s="36"/>
      <c r="AO212" s="36"/>
      <c r="AP212" s="36"/>
      <c r="AQ212" s="36"/>
      <c r="AR212" s="36"/>
      <c r="AS212" s="36"/>
      <c r="AT212" s="36"/>
      <c r="AU212" s="36"/>
      <c r="AV212" s="36"/>
      <c r="AW212" s="36"/>
      <c r="AX212" s="36">
        <v>7</v>
      </c>
      <c r="AY212" s="36">
        <v>5</v>
      </c>
      <c r="AZ212" s="36"/>
      <c r="BA212" s="36"/>
      <c r="BB212" s="36"/>
      <c r="BC212" s="36"/>
      <c r="BD212" s="36"/>
      <c r="BE212" s="36"/>
      <c r="BF212" s="36"/>
      <c r="BG212" s="36"/>
      <c r="BH212" s="36"/>
      <c r="BI212" s="36"/>
      <c r="BJ212" s="36">
        <v>7</v>
      </c>
      <c r="BK212" s="36">
        <v>10</v>
      </c>
      <c r="BL212" s="36"/>
      <c r="BM212" s="36"/>
      <c r="BN212" s="36"/>
      <c r="BO212" s="36"/>
      <c r="BP212" s="36"/>
      <c r="BQ212" s="36"/>
      <c r="BR212" s="36"/>
      <c r="BS212" s="36"/>
      <c r="BT212" s="36"/>
      <c r="BU212" s="36"/>
      <c r="BV212" s="36">
        <v>9</v>
      </c>
      <c r="BW212" s="36">
        <v>14</v>
      </c>
      <c r="BX212" s="36"/>
      <c r="BY212" s="36"/>
      <c r="BZ212" s="36"/>
      <c r="CA212" s="36"/>
      <c r="CB212" s="36"/>
      <c r="CC212" s="36"/>
      <c r="CD212" s="36"/>
      <c r="CE212" s="36"/>
      <c r="CF212" s="36"/>
      <c r="CG212" s="36"/>
      <c r="CH212" s="36">
        <v>5</v>
      </c>
      <c r="CI212" s="36">
        <v>3</v>
      </c>
      <c r="CK212" s="4" t="b">
        <f t="shared" si="3"/>
        <v>0</v>
      </c>
    </row>
    <row r="213" spans="1:89" ht="60" customHeight="1">
      <c r="A213" s="32" t="s">
        <v>144</v>
      </c>
      <c r="B213" s="32" t="s">
        <v>198</v>
      </c>
      <c r="C213" s="32" t="s">
        <v>362</v>
      </c>
      <c r="D213" s="34"/>
      <c r="E213" s="34"/>
      <c r="F213" s="34"/>
      <c r="G213" s="34">
        <v>100</v>
      </c>
      <c r="H213" s="34"/>
      <c r="I213" s="34">
        <v>100</v>
      </c>
      <c r="J213" s="34">
        <v>100</v>
      </c>
      <c r="K213" s="34">
        <v>100</v>
      </c>
      <c r="L213" s="34">
        <v>100</v>
      </c>
      <c r="M213" s="34"/>
      <c r="N213" s="34">
        <v>100</v>
      </c>
      <c r="O213" s="34"/>
      <c r="P213" s="34"/>
      <c r="Q213" s="34"/>
      <c r="R213" s="34"/>
      <c r="S213" s="34">
        <v>100</v>
      </c>
      <c r="T213" s="34"/>
      <c r="U213" s="34"/>
      <c r="V213" s="34"/>
      <c r="W213" s="34"/>
      <c r="X213" s="34"/>
      <c r="Y213" s="34"/>
      <c r="Z213" s="34"/>
      <c r="AA213" s="34"/>
      <c r="AB213" s="36"/>
      <c r="AC213" s="36"/>
      <c r="AD213" s="36">
        <v>46</v>
      </c>
      <c r="AE213" s="36">
        <v>140</v>
      </c>
      <c r="AF213" s="36">
        <v>47</v>
      </c>
      <c r="AG213" s="36">
        <v>40</v>
      </c>
      <c r="AH213" s="36">
        <v>49</v>
      </c>
      <c r="AI213" s="36">
        <v>39</v>
      </c>
      <c r="AJ213" s="36">
        <v>31</v>
      </c>
      <c r="AK213" s="36"/>
      <c r="AL213" s="36">
        <v>25</v>
      </c>
      <c r="AM213" s="36"/>
      <c r="AN213" s="36"/>
      <c r="AO213" s="36"/>
      <c r="AP213" s="36">
        <v>45</v>
      </c>
      <c r="AQ213" s="36">
        <v>143</v>
      </c>
      <c r="AR213" s="36">
        <v>46</v>
      </c>
      <c r="AS213" s="36">
        <v>46</v>
      </c>
      <c r="AT213" s="36">
        <v>50</v>
      </c>
      <c r="AU213" s="36">
        <v>53</v>
      </c>
      <c r="AV213" s="36">
        <v>39</v>
      </c>
      <c r="AW213" s="36"/>
      <c r="AX213" s="36">
        <v>36</v>
      </c>
      <c r="AY213" s="36"/>
      <c r="AZ213" s="36"/>
      <c r="BA213" s="36"/>
      <c r="BB213" s="36"/>
      <c r="BC213" s="36">
        <v>75</v>
      </c>
      <c r="BD213" s="36">
        <v>31</v>
      </c>
      <c r="BE213" s="36">
        <v>11</v>
      </c>
      <c r="BF213" s="36">
        <v>210</v>
      </c>
      <c r="BG213" s="36">
        <v>28</v>
      </c>
      <c r="BH213" s="36">
        <v>165</v>
      </c>
      <c r="BI213" s="36"/>
      <c r="BJ213" s="36">
        <v>19</v>
      </c>
      <c r="BK213" s="36"/>
      <c r="BL213" s="36"/>
      <c r="BM213" s="36"/>
      <c r="BN213" s="36">
        <v>22</v>
      </c>
      <c r="BO213" s="36">
        <v>36</v>
      </c>
      <c r="BP213" s="36">
        <v>30</v>
      </c>
      <c r="BQ213" s="36">
        <v>30</v>
      </c>
      <c r="BR213" s="36">
        <v>210</v>
      </c>
      <c r="BS213" s="36">
        <v>28</v>
      </c>
      <c r="BT213" s="36">
        <v>165</v>
      </c>
      <c r="BU213" s="36"/>
      <c r="BV213" s="36">
        <v>8</v>
      </c>
      <c r="BW213" s="36"/>
      <c r="BX213" s="36"/>
      <c r="BY213" s="36"/>
      <c r="BZ213" s="36">
        <v>8</v>
      </c>
      <c r="CA213" s="36">
        <v>5</v>
      </c>
      <c r="CB213" s="36">
        <v>15</v>
      </c>
      <c r="CC213" s="36">
        <v>16</v>
      </c>
      <c r="CD213" s="36">
        <v>70</v>
      </c>
      <c r="CE213" s="36">
        <v>12</v>
      </c>
      <c r="CF213" s="36">
        <v>165</v>
      </c>
      <c r="CG213" s="36"/>
      <c r="CH213" s="36">
        <v>4</v>
      </c>
      <c r="CI213" s="36"/>
      <c r="CK213" s="4" t="b">
        <f t="shared" si="3"/>
        <v>0</v>
      </c>
    </row>
    <row r="214" spans="1:89" ht="75" customHeight="1">
      <c r="A214" s="32" t="s">
        <v>144</v>
      </c>
      <c r="B214" s="32" t="s">
        <v>169</v>
      </c>
      <c r="C214" s="32" t="s">
        <v>363</v>
      </c>
      <c r="D214" s="34"/>
      <c r="E214" s="34">
        <v>40</v>
      </c>
      <c r="F214" s="34">
        <v>100</v>
      </c>
      <c r="G214" s="34">
        <v>100</v>
      </c>
      <c r="H214" s="34">
        <v>100</v>
      </c>
      <c r="I214" s="34">
        <v>100</v>
      </c>
      <c r="J214" s="34">
        <v>100</v>
      </c>
      <c r="K214" s="34">
        <v>100</v>
      </c>
      <c r="L214" s="34">
        <v>100</v>
      </c>
      <c r="M214" s="34">
        <v>100</v>
      </c>
      <c r="N214" s="34">
        <v>100</v>
      </c>
      <c r="O214" s="34">
        <v>100</v>
      </c>
      <c r="P214" s="34"/>
      <c r="Q214" s="34">
        <v>50</v>
      </c>
      <c r="R214" s="34"/>
      <c r="S214" s="34"/>
      <c r="T214" s="34"/>
      <c r="U214" s="34"/>
      <c r="V214" s="34"/>
      <c r="W214" s="34"/>
      <c r="X214" s="34"/>
      <c r="Y214" s="34"/>
      <c r="Z214" s="34"/>
      <c r="AA214" s="34">
        <v>100</v>
      </c>
      <c r="AB214" s="36"/>
      <c r="AC214" s="36">
        <v>35</v>
      </c>
      <c r="AD214" s="36">
        <v>6</v>
      </c>
      <c r="AE214" s="36">
        <v>10</v>
      </c>
      <c r="AF214" s="36">
        <v>14</v>
      </c>
      <c r="AG214" s="36">
        <v>12</v>
      </c>
      <c r="AH214" s="36">
        <v>4</v>
      </c>
      <c r="AI214" s="36">
        <v>4</v>
      </c>
      <c r="AJ214" s="36">
        <v>4</v>
      </c>
      <c r="AK214" s="36">
        <v>5</v>
      </c>
      <c r="AL214" s="36">
        <v>10</v>
      </c>
      <c r="AM214" s="36">
        <v>2</v>
      </c>
      <c r="AN214" s="36"/>
      <c r="AO214" s="36">
        <v>13</v>
      </c>
      <c r="AP214" s="36">
        <v>6</v>
      </c>
      <c r="AQ214" s="36">
        <v>18</v>
      </c>
      <c r="AR214" s="36">
        <v>7</v>
      </c>
      <c r="AS214" s="36">
        <v>9</v>
      </c>
      <c r="AT214" s="36">
        <v>18</v>
      </c>
      <c r="AU214" s="36">
        <v>3</v>
      </c>
      <c r="AV214" s="36">
        <v>5</v>
      </c>
      <c r="AW214" s="36">
        <v>5</v>
      </c>
      <c r="AX214" s="36">
        <v>1</v>
      </c>
      <c r="AY214" s="36"/>
      <c r="AZ214" s="36"/>
      <c r="BA214" s="36">
        <v>2</v>
      </c>
      <c r="BB214" s="36">
        <v>6</v>
      </c>
      <c r="BC214" s="36">
        <v>11</v>
      </c>
      <c r="BD214" s="36">
        <v>6</v>
      </c>
      <c r="BE214" s="36">
        <v>1</v>
      </c>
      <c r="BF214" s="36">
        <v>4</v>
      </c>
      <c r="BG214" s="36">
        <v>4</v>
      </c>
      <c r="BH214" s="36">
        <v>16</v>
      </c>
      <c r="BI214" s="36">
        <v>3</v>
      </c>
      <c r="BJ214" s="36">
        <v>6</v>
      </c>
      <c r="BK214" s="36">
        <v>24</v>
      </c>
      <c r="BL214" s="36"/>
      <c r="BM214" s="36">
        <v>1</v>
      </c>
      <c r="BN214" s="36">
        <v>1</v>
      </c>
      <c r="BO214" s="36">
        <v>4</v>
      </c>
      <c r="BP214" s="36">
        <v>3</v>
      </c>
      <c r="BQ214" s="36">
        <v>8</v>
      </c>
      <c r="BR214" s="36">
        <v>6</v>
      </c>
      <c r="BS214" s="36">
        <v>2</v>
      </c>
      <c r="BT214" s="36"/>
      <c r="BU214" s="36">
        <v>1</v>
      </c>
      <c r="BV214" s="36">
        <v>5</v>
      </c>
      <c r="BW214" s="36">
        <v>5</v>
      </c>
      <c r="BX214" s="36"/>
      <c r="BY214" s="36"/>
      <c r="BZ214" s="36"/>
      <c r="CA214" s="36"/>
      <c r="CB214" s="36">
        <v>1</v>
      </c>
      <c r="CC214" s="36"/>
      <c r="CD214" s="36"/>
      <c r="CE214" s="36"/>
      <c r="CF214" s="36">
        <v>3</v>
      </c>
      <c r="CG214" s="36"/>
      <c r="CH214" s="36"/>
      <c r="CI214" s="36"/>
      <c r="CK214" s="4" t="b">
        <f t="shared" si="3"/>
        <v>0</v>
      </c>
    </row>
    <row r="215" spans="1:89" ht="60" customHeight="1">
      <c r="A215" s="32" t="s">
        <v>144</v>
      </c>
      <c r="B215" s="32" t="s">
        <v>167</v>
      </c>
      <c r="C215" s="32" t="s">
        <v>364</v>
      </c>
      <c r="D215" s="34"/>
      <c r="E215" s="34">
        <v>50</v>
      </c>
      <c r="F215" s="34">
        <v>100</v>
      </c>
      <c r="G215" s="34">
        <v>100</v>
      </c>
      <c r="H215" s="34">
        <v>100</v>
      </c>
      <c r="I215" s="34">
        <v>100</v>
      </c>
      <c r="J215" s="34">
        <v>100</v>
      </c>
      <c r="K215" s="34">
        <v>50</v>
      </c>
      <c r="L215" s="34">
        <v>100</v>
      </c>
      <c r="M215" s="34">
        <v>100</v>
      </c>
      <c r="N215" s="34">
        <v>100</v>
      </c>
      <c r="O215" s="34">
        <v>100</v>
      </c>
      <c r="P215" s="34"/>
      <c r="Q215" s="34">
        <v>100</v>
      </c>
      <c r="R215" s="34">
        <v>25</v>
      </c>
      <c r="S215" s="34"/>
      <c r="T215" s="34">
        <v>50</v>
      </c>
      <c r="U215" s="34"/>
      <c r="V215" s="34"/>
      <c r="W215" s="34"/>
      <c r="X215" s="34">
        <v>100</v>
      </c>
      <c r="Y215" s="34"/>
      <c r="Z215" s="34"/>
      <c r="AA215" s="34">
        <v>125</v>
      </c>
      <c r="AB215" s="36"/>
      <c r="AC215" s="36">
        <v>7</v>
      </c>
      <c r="AD215" s="36">
        <v>10</v>
      </c>
      <c r="AE215" s="36">
        <v>10</v>
      </c>
      <c r="AF215" s="36">
        <v>10</v>
      </c>
      <c r="AG215" s="36">
        <v>10</v>
      </c>
      <c r="AH215" s="36">
        <v>11</v>
      </c>
      <c r="AI215" s="36">
        <v>5</v>
      </c>
      <c r="AJ215" s="36">
        <v>14</v>
      </c>
      <c r="AK215" s="36">
        <v>17</v>
      </c>
      <c r="AL215" s="36">
        <v>16</v>
      </c>
      <c r="AM215" s="36">
        <v>21</v>
      </c>
      <c r="AN215" s="36"/>
      <c r="AO215" s="36">
        <v>107</v>
      </c>
      <c r="AP215" s="36">
        <v>12</v>
      </c>
      <c r="AQ215" s="36">
        <v>19</v>
      </c>
      <c r="AR215" s="36">
        <v>9</v>
      </c>
      <c r="AS215" s="36">
        <v>6</v>
      </c>
      <c r="AT215" s="36">
        <v>10</v>
      </c>
      <c r="AU215" s="36">
        <v>4</v>
      </c>
      <c r="AV215" s="36">
        <v>13</v>
      </c>
      <c r="AW215" s="36">
        <v>8</v>
      </c>
      <c r="AX215" s="36">
        <v>14</v>
      </c>
      <c r="AY215" s="36">
        <v>14</v>
      </c>
      <c r="AZ215" s="36"/>
      <c r="BA215" s="36">
        <v>8</v>
      </c>
      <c r="BB215" s="36">
        <v>15</v>
      </c>
      <c r="BC215" s="36">
        <v>6</v>
      </c>
      <c r="BD215" s="36">
        <v>11</v>
      </c>
      <c r="BE215" s="36">
        <v>13</v>
      </c>
      <c r="BF215" s="36">
        <v>6</v>
      </c>
      <c r="BG215" s="36">
        <v>8</v>
      </c>
      <c r="BH215" s="36">
        <v>16</v>
      </c>
      <c r="BI215" s="36">
        <v>7</v>
      </c>
      <c r="BJ215" s="36">
        <v>8</v>
      </c>
      <c r="BK215" s="36">
        <v>8</v>
      </c>
      <c r="BL215" s="36"/>
      <c r="BM215" s="36"/>
      <c r="BN215" s="36"/>
      <c r="BO215" s="36">
        <v>1</v>
      </c>
      <c r="BP215" s="36">
        <v>3</v>
      </c>
      <c r="BQ215" s="36">
        <v>3</v>
      </c>
      <c r="BR215" s="36">
        <v>1</v>
      </c>
      <c r="BS215" s="36">
        <v>4</v>
      </c>
      <c r="BT215" s="36">
        <v>10</v>
      </c>
      <c r="BU215" s="36">
        <v>3</v>
      </c>
      <c r="BV215" s="36">
        <v>4</v>
      </c>
      <c r="BW215" s="36">
        <v>6</v>
      </c>
      <c r="BX215" s="36"/>
      <c r="BY215" s="36"/>
      <c r="BZ215" s="36"/>
      <c r="CA215" s="36"/>
      <c r="CB215" s="36"/>
      <c r="CC215" s="36"/>
      <c r="CD215" s="36"/>
      <c r="CE215" s="36"/>
      <c r="CF215" s="36"/>
      <c r="CG215" s="36"/>
      <c r="CH215" s="36"/>
      <c r="CI215" s="36"/>
      <c r="CK215" s="4" t="b">
        <f t="shared" si="3"/>
        <v>0</v>
      </c>
    </row>
    <row r="216" spans="1:89" ht="105" customHeight="1">
      <c r="A216" s="32" t="s">
        <v>87</v>
      </c>
      <c r="B216" s="32" t="s">
        <v>232</v>
      </c>
      <c r="C216" s="32" t="s">
        <v>365</v>
      </c>
      <c r="D216" s="34"/>
      <c r="E216" s="34">
        <v>100</v>
      </c>
      <c r="F216" s="34">
        <v>100</v>
      </c>
      <c r="G216" s="34">
        <v>112.5</v>
      </c>
      <c r="H216" s="34">
        <v>112.5</v>
      </c>
      <c r="I216" s="34">
        <v>100</v>
      </c>
      <c r="J216" s="34">
        <v>100</v>
      </c>
      <c r="K216" s="34">
        <v>100</v>
      </c>
      <c r="L216" s="34">
        <v>100</v>
      </c>
      <c r="M216" s="34">
        <v>112.5</v>
      </c>
      <c r="N216" s="34">
        <v>112.5</v>
      </c>
      <c r="O216" s="34">
        <v>112.5</v>
      </c>
      <c r="P216" s="34"/>
      <c r="Q216" s="34"/>
      <c r="R216" s="34">
        <v>25</v>
      </c>
      <c r="S216" s="34">
        <v>75</v>
      </c>
      <c r="T216" s="34">
        <v>50</v>
      </c>
      <c r="U216" s="34">
        <v>50</v>
      </c>
      <c r="V216" s="34">
        <v>100</v>
      </c>
      <c r="W216" s="34">
        <v>75</v>
      </c>
      <c r="X216" s="34">
        <v>100</v>
      </c>
      <c r="Y216" s="34">
        <v>125</v>
      </c>
      <c r="Z216" s="34">
        <v>175</v>
      </c>
      <c r="AA216" s="34">
        <v>125</v>
      </c>
      <c r="AB216" s="36">
        <v>18</v>
      </c>
      <c r="AC216" s="36">
        <v>70</v>
      </c>
      <c r="AD216" s="36">
        <v>53</v>
      </c>
      <c r="AE216" s="36">
        <v>77</v>
      </c>
      <c r="AF216" s="36">
        <v>79</v>
      </c>
      <c r="AG216" s="36">
        <v>77</v>
      </c>
      <c r="AH216" s="36">
        <v>112</v>
      </c>
      <c r="AI216" s="36">
        <v>72</v>
      </c>
      <c r="AJ216" s="36">
        <v>58</v>
      </c>
      <c r="AK216" s="36">
        <v>69</v>
      </c>
      <c r="AL216" s="36">
        <v>90</v>
      </c>
      <c r="AM216" s="36">
        <v>81</v>
      </c>
      <c r="AN216" s="36">
        <v>11</v>
      </c>
      <c r="AO216" s="36">
        <v>58</v>
      </c>
      <c r="AP216" s="36">
        <v>50</v>
      </c>
      <c r="AQ216" s="36">
        <v>74</v>
      </c>
      <c r="AR216" s="36">
        <v>75</v>
      </c>
      <c r="AS216" s="36">
        <v>56</v>
      </c>
      <c r="AT216" s="36">
        <v>56</v>
      </c>
      <c r="AU216" s="36">
        <v>79</v>
      </c>
      <c r="AV216" s="36">
        <v>96</v>
      </c>
      <c r="AW216" s="36">
        <v>62</v>
      </c>
      <c r="AX216" s="36">
        <v>54</v>
      </c>
      <c r="AY216" s="36">
        <v>70</v>
      </c>
      <c r="AZ216" s="36"/>
      <c r="BA216" s="36">
        <v>55</v>
      </c>
      <c r="BB216" s="36">
        <v>100</v>
      </c>
      <c r="BC216" s="36">
        <v>88</v>
      </c>
      <c r="BD216" s="36">
        <v>90</v>
      </c>
      <c r="BE216" s="36">
        <v>75</v>
      </c>
      <c r="BF216" s="36">
        <v>103</v>
      </c>
      <c r="BG216" s="36">
        <v>89</v>
      </c>
      <c r="BH216" s="36">
        <v>33</v>
      </c>
      <c r="BI216" s="36">
        <v>59</v>
      </c>
      <c r="BJ216" s="36">
        <v>180</v>
      </c>
      <c r="BK216" s="36">
        <v>59</v>
      </c>
      <c r="BL216" s="36"/>
      <c r="BM216" s="36"/>
      <c r="BN216" s="36">
        <v>13</v>
      </c>
      <c r="BO216" s="36">
        <v>28</v>
      </c>
      <c r="BP216" s="36">
        <v>50</v>
      </c>
      <c r="BQ216" s="36">
        <v>44</v>
      </c>
      <c r="BR216" s="36">
        <v>45</v>
      </c>
      <c r="BS216" s="36">
        <v>50</v>
      </c>
      <c r="BT216" s="36">
        <v>48</v>
      </c>
      <c r="BU216" s="36">
        <v>43</v>
      </c>
      <c r="BV216" s="36">
        <v>70</v>
      </c>
      <c r="BW216" s="36">
        <v>43</v>
      </c>
      <c r="BX216" s="36"/>
      <c r="BY216" s="36"/>
      <c r="BZ216" s="36"/>
      <c r="CA216" s="36">
        <v>1</v>
      </c>
      <c r="CB216" s="36">
        <v>2</v>
      </c>
      <c r="CC216" s="36">
        <v>6</v>
      </c>
      <c r="CD216" s="36">
        <v>7</v>
      </c>
      <c r="CE216" s="36">
        <v>5</v>
      </c>
      <c r="CF216" s="36">
        <v>14</v>
      </c>
      <c r="CG216" s="36">
        <v>2</v>
      </c>
      <c r="CH216" s="36">
        <v>16</v>
      </c>
      <c r="CI216" s="36">
        <v>2</v>
      </c>
      <c r="CK216" s="4" t="b">
        <f t="shared" si="3"/>
        <v>0</v>
      </c>
    </row>
    <row r="217" spans="1:89" ht="90" customHeight="1">
      <c r="A217" s="32" t="s">
        <v>109</v>
      </c>
      <c r="B217" s="32" t="s">
        <v>114</v>
      </c>
      <c r="C217" s="32" t="s">
        <v>366</v>
      </c>
      <c r="D217" s="34"/>
      <c r="E217" s="34">
        <v>100</v>
      </c>
      <c r="F217" s="34">
        <v>100</v>
      </c>
      <c r="G217" s="34">
        <v>100</v>
      </c>
      <c r="H217" s="34"/>
      <c r="I217" s="34">
        <v>100</v>
      </c>
      <c r="J217" s="34">
        <v>100</v>
      </c>
      <c r="K217" s="34">
        <v>75</v>
      </c>
      <c r="L217" s="34">
        <v>75</v>
      </c>
      <c r="M217" s="34">
        <v>100</v>
      </c>
      <c r="N217" s="34">
        <v>100</v>
      </c>
      <c r="O217" s="34">
        <v>100</v>
      </c>
      <c r="P217" s="34"/>
      <c r="Q217" s="34">
        <v>100</v>
      </c>
      <c r="R217" s="34">
        <v>100</v>
      </c>
      <c r="S217" s="34"/>
      <c r="T217" s="34"/>
      <c r="U217" s="34"/>
      <c r="V217" s="34"/>
      <c r="W217" s="34"/>
      <c r="X217" s="34"/>
      <c r="Y217" s="34"/>
      <c r="Z217" s="34">
        <v>100</v>
      </c>
      <c r="AA217" s="34">
        <v>100</v>
      </c>
      <c r="AB217" s="36"/>
      <c r="AC217" s="36">
        <v>170</v>
      </c>
      <c r="AD217" s="36">
        <v>6</v>
      </c>
      <c r="AE217" s="36">
        <v>10</v>
      </c>
      <c r="AF217" s="36">
        <v>24</v>
      </c>
      <c r="AG217" s="36">
        <v>13</v>
      </c>
      <c r="AH217" s="36">
        <v>15</v>
      </c>
      <c r="AI217" s="36">
        <v>16</v>
      </c>
      <c r="AJ217" s="36">
        <v>13</v>
      </c>
      <c r="AK217" s="36">
        <v>10</v>
      </c>
      <c r="AL217" s="36">
        <v>13</v>
      </c>
      <c r="AM217" s="36">
        <v>8</v>
      </c>
      <c r="AN217" s="36"/>
      <c r="AO217" s="36">
        <v>103</v>
      </c>
      <c r="AP217" s="36">
        <v>11</v>
      </c>
      <c r="AQ217" s="36">
        <v>6</v>
      </c>
      <c r="AR217" s="36">
        <v>11</v>
      </c>
      <c r="AS217" s="36">
        <v>8</v>
      </c>
      <c r="AT217" s="36">
        <v>20</v>
      </c>
      <c r="AU217" s="36">
        <v>11</v>
      </c>
      <c r="AV217" s="36">
        <v>11</v>
      </c>
      <c r="AW217" s="36">
        <v>15</v>
      </c>
      <c r="AX217" s="36"/>
      <c r="AY217" s="36">
        <v>12</v>
      </c>
      <c r="AZ217" s="36"/>
      <c r="BA217" s="36">
        <v>12</v>
      </c>
      <c r="BB217" s="36">
        <v>7</v>
      </c>
      <c r="BC217" s="36">
        <v>30</v>
      </c>
      <c r="BD217" s="36">
        <v>36</v>
      </c>
      <c r="BE217" s="36">
        <v>22</v>
      </c>
      <c r="BF217" s="36">
        <v>9</v>
      </c>
      <c r="BG217" s="36">
        <v>10</v>
      </c>
      <c r="BH217" s="36"/>
      <c r="BI217" s="36">
        <v>8</v>
      </c>
      <c r="BJ217" s="36">
        <v>12</v>
      </c>
      <c r="BK217" s="36"/>
      <c r="BL217" s="36"/>
      <c r="BM217" s="36"/>
      <c r="BN217" s="36">
        <v>1</v>
      </c>
      <c r="BO217" s="36">
        <v>1</v>
      </c>
      <c r="BP217" s="36"/>
      <c r="BQ217" s="36"/>
      <c r="BR217" s="36">
        <v>2</v>
      </c>
      <c r="BS217" s="36"/>
      <c r="BT217" s="36"/>
      <c r="BU217" s="36">
        <v>3</v>
      </c>
      <c r="BV217" s="36">
        <v>4</v>
      </c>
      <c r="BW217" s="36"/>
      <c r="BX217" s="36"/>
      <c r="BY217" s="36"/>
      <c r="BZ217" s="36"/>
      <c r="CA217" s="36"/>
      <c r="CB217" s="36">
        <v>36</v>
      </c>
      <c r="CC217" s="36">
        <v>22</v>
      </c>
      <c r="CD217" s="36"/>
      <c r="CE217" s="36">
        <v>1</v>
      </c>
      <c r="CF217" s="36"/>
      <c r="CG217" s="36"/>
      <c r="CH217" s="36"/>
      <c r="CI217" s="36"/>
      <c r="CK217" s="4" t="b">
        <f t="shared" si="3"/>
        <v>0</v>
      </c>
    </row>
    <row r="218" spans="1:89" ht="60" customHeight="1">
      <c r="A218" s="32" t="s">
        <v>144</v>
      </c>
      <c r="B218" s="32" t="s">
        <v>167</v>
      </c>
      <c r="C218" s="32" t="s">
        <v>367</v>
      </c>
      <c r="D218" s="34"/>
      <c r="E218" s="34">
        <v>62.5</v>
      </c>
      <c r="F218" s="34">
        <v>100</v>
      </c>
      <c r="G218" s="34"/>
      <c r="H218" s="34">
        <v>88.89</v>
      </c>
      <c r="I218" s="34">
        <v>87.5</v>
      </c>
      <c r="J218" s="34">
        <v>100</v>
      </c>
      <c r="K218" s="34">
        <v>100</v>
      </c>
      <c r="L218" s="34">
        <v>100</v>
      </c>
      <c r="M218" s="34">
        <v>112.5</v>
      </c>
      <c r="N218" s="34">
        <v>87.5</v>
      </c>
      <c r="O218" s="34">
        <v>100</v>
      </c>
      <c r="P218" s="34"/>
      <c r="Q218" s="34">
        <v>50</v>
      </c>
      <c r="R218" s="34">
        <v>100</v>
      </c>
      <c r="S218" s="34"/>
      <c r="T218" s="34">
        <v>100</v>
      </c>
      <c r="U218" s="34">
        <v>50</v>
      </c>
      <c r="V218" s="34">
        <v>75</v>
      </c>
      <c r="W218" s="34">
        <v>100</v>
      </c>
      <c r="X218" s="34">
        <v>100</v>
      </c>
      <c r="Y218" s="34">
        <v>75</v>
      </c>
      <c r="Z218" s="34">
        <v>100</v>
      </c>
      <c r="AA218" s="34">
        <v>75</v>
      </c>
      <c r="AB218" s="36"/>
      <c r="AC218" s="36">
        <v>29</v>
      </c>
      <c r="AD218" s="36">
        <v>10</v>
      </c>
      <c r="AE218" s="36"/>
      <c r="AF218" s="36">
        <v>11</v>
      </c>
      <c r="AG218" s="36">
        <v>22</v>
      </c>
      <c r="AH218" s="36">
        <v>20</v>
      </c>
      <c r="AI218" s="36">
        <v>6</v>
      </c>
      <c r="AJ218" s="36">
        <v>13</v>
      </c>
      <c r="AK218" s="36">
        <v>16</v>
      </c>
      <c r="AL218" s="36">
        <v>16</v>
      </c>
      <c r="AM218" s="36">
        <v>56</v>
      </c>
      <c r="AN218" s="36"/>
      <c r="AO218" s="36">
        <v>27</v>
      </c>
      <c r="AP218" s="36">
        <v>4</v>
      </c>
      <c r="AQ218" s="36"/>
      <c r="AR218" s="36">
        <v>18</v>
      </c>
      <c r="AS218" s="36">
        <v>5</v>
      </c>
      <c r="AT218" s="36">
        <v>15</v>
      </c>
      <c r="AU218" s="36">
        <v>22</v>
      </c>
      <c r="AV218" s="36">
        <v>18</v>
      </c>
      <c r="AW218" s="36">
        <v>12</v>
      </c>
      <c r="AX218" s="36">
        <v>21</v>
      </c>
      <c r="AY218" s="36">
        <v>45</v>
      </c>
      <c r="AZ218" s="36"/>
      <c r="BA218" s="36">
        <v>7</v>
      </c>
      <c r="BB218" s="36">
        <v>10</v>
      </c>
      <c r="BC218" s="36"/>
      <c r="BD218" s="36">
        <v>9</v>
      </c>
      <c r="BE218" s="36">
        <v>8</v>
      </c>
      <c r="BF218" s="36">
        <v>9</v>
      </c>
      <c r="BG218" s="36">
        <v>10</v>
      </c>
      <c r="BH218" s="36">
        <v>10</v>
      </c>
      <c r="BI218" s="36">
        <v>11</v>
      </c>
      <c r="BJ218" s="36">
        <v>13</v>
      </c>
      <c r="BK218" s="36">
        <v>19</v>
      </c>
      <c r="BL218" s="36"/>
      <c r="BM218" s="36"/>
      <c r="BN218" s="36">
        <v>2</v>
      </c>
      <c r="BO218" s="36"/>
      <c r="BP218" s="36">
        <v>3</v>
      </c>
      <c r="BQ218" s="36">
        <v>4</v>
      </c>
      <c r="BR218" s="36">
        <v>7</v>
      </c>
      <c r="BS218" s="36">
        <v>9</v>
      </c>
      <c r="BT218" s="36">
        <v>9</v>
      </c>
      <c r="BU218" s="36">
        <v>6</v>
      </c>
      <c r="BV218" s="36">
        <v>18</v>
      </c>
      <c r="BW218" s="36">
        <v>19</v>
      </c>
      <c r="BX218" s="36"/>
      <c r="BY218" s="36"/>
      <c r="BZ218" s="36"/>
      <c r="CA218" s="36"/>
      <c r="CB218" s="36"/>
      <c r="CC218" s="36"/>
      <c r="CD218" s="36"/>
      <c r="CE218" s="36"/>
      <c r="CF218" s="36"/>
      <c r="CG218" s="36"/>
      <c r="CH218" s="36">
        <v>2</v>
      </c>
      <c r="CI218" s="36"/>
      <c r="CK218" s="4" t="b">
        <f t="shared" si="3"/>
        <v>0</v>
      </c>
    </row>
    <row r="219" spans="1:89" ht="90" customHeight="1">
      <c r="A219" s="32" t="s">
        <v>144</v>
      </c>
      <c r="B219" s="32" t="s">
        <v>169</v>
      </c>
      <c r="C219" s="32" t="s">
        <v>368</v>
      </c>
      <c r="D219" s="34"/>
      <c r="E219" s="34"/>
      <c r="F219" s="34">
        <v>100</v>
      </c>
      <c r="G219" s="34">
        <v>100</v>
      </c>
      <c r="H219" s="34">
        <v>100</v>
      </c>
      <c r="I219" s="34">
        <v>100</v>
      </c>
      <c r="J219" s="34">
        <v>100</v>
      </c>
      <c r="K219" s="34">
        <v>100</v>
      </c>
      <c r="L219" s="34">
        <v>75</v>
      </c>
      <c r="M219" s="34">
        <v>100</v>
      </c>
      <c r="N219" s="34">
        <v>100</v>
      </c>
      <c r="O219" s="34">
        <v>100</v>
      </c>
      <c r="P219" s="34"/>
      <c r="Q219" s="34"/>
      <c r="R219" s="34"/>
      <c r="S219" s="34"/>
      <c r="T219" s="34"/>
      <c r="U219" s="34"/>
      <c r="V219" s="34"/>
      <c r="W219" s="34"/>
      <c r="X219" s="34"/>
      <c r="Y219" s="34"/>
      <c r="Z219" s="34"/>
      <c r="AA219" s="34">
        <v>75</v>
      </c>
      <c r="AB219" s="36"/>
      <c r="AC219" s="36">
        <v>25</v>
      </c>
      <c r="AD219" s="36">
        <v>8</v>
      </c>
      <c r="AE219" s="36">
        <v>11</v>
      </c>
      <c r="AF219" s="36">
        <v>11</v>
      </c>
      <c r="AG219" s="36">
        <v>16</v>
      </c>
      <c r="AH219" s="36">
        <v>6</v>
      </c>
      <c r="AI219" s="36">
        <v>9</v>
      </c>
      <c r="AJ219" s="36">
        <v>13</v>
      </c>
      <c r="AK219" s="36">
        <v>11</v>
      </c>
      <c r="AL219" s="36">
        <v>8</v>
      </c>
      <c r="AM219" s="36">
        <v>12</v>
      </c>
      <c r="AN219" s="36"/>
      <c r="AO219" s="36">
        <v>17</v>
      </c>
      <c r="AP219" s="36">
        <v>4</v>
      </c>
      <c r="AQ219" s="36">
        <v>25</v>
      </c>
      <c r="AR219" s="36">
        <v>8</v>
      </c>
      <c r="AS219" s="36">
        <v>8</v>
      </c>
      <c r="AT219" s="36">
        <v>16</v>
      </c>
      <c r="AU219" s="36">
        <v>14</v>
      </c>
      <c r="AV219" s="36">
        <v>12</v>
      </c>
      <c r="AW219" s="36">
        <v>11</v>
      </c>
      <c r="AX219" s="36">
        <v>12</v>
      </c>
      <c r="AY219" s="36">
        <v>8</v>
      </c>
      <c r="AZ219" s="36"/>
      <c r="BA219" s="36">
        <v>6</v>
      </c>
      <c r="BB219" s="36">
        <v>7</v>
      </c>
      <c r="BC219" s="36">
        <v>7</v>
      </c>
      <c r="BD219" s="36">
        <v>4</v>
      </c>
      <c r="BE219" s="36">
        <v>7</v>
      </c>
      <c r="BF219" s="36">
        <v>5</v>
      </c>
      <c r="BG219" s="36">
        <v>19</v>
      </c>
      <c r="BH219" s="36">
        <v>9</v>
      </c>
      <c r="BI219" s="36">
        <v>5</v>
      </c>
      <c r="BJ219" s="36">
        <v>8</v>
      </c>
      <c r="BK219" s="36">
        <v>9</v>
      </c>
      <c r="BL219" s="36"/>
      <c r="BM219" s="36">
        <v>1</v>
      </c>
      <c r="BN219" s="36">
        <v>10</v>
      </c>
      <c r="BO219" s="36">
        <v>8</v>
      </c>
      <c r="BP219" s="36">
        <v>5</v>
      </c>
      <c r="BQ219" s="36">
        <v>9</v>
      </c>
      <c r="BR219" s="36">
        <v>6</v>
      </c>
      <c r="BS219" s="36">
        <v>5</v>
      </c>
      <c r="BT219" s="36">
        <v>5</v>
      </c>
      <c r="BU219" s="36">
        <v>8</v>
      </c>
      <c r="BV219" s="36">
        <v>12</v>
      </c>
      <c r="BW219" s="36">
        <v>16</v>
      </c>
      <c r="BX219" s="36"/>
      <c r="BY219" s="36"/>
      <c r="BZ219" s="36"/>
      <c r="CA219" s="36"/>
      <c r="CB219" s="36"/>
      <c r="CC219" s="36"/>
      <c r="CD219" s="36">
        <v>1</v>
      </c>
      <c r="CE219" s="36"/>
      <c r="CF219" s="36">
        <v>1</v>
      </c>
      <c r="CG219" s="36">
        <v>1</v>
      </c>
      <c r="CH219" s="36"/>
      <c r="CI219" s="36">
        <v>1</v>
      </c>
      <c r="CK219" s="4" t="b">
        <f t="shared" si="3"/>
        <v>0</v>
      </c>
    </row>
    <row r="220" spans="1:89" ht="60" customHeight="1">
      <c r="A220" s="32" t="s">
        <v>109</v>
      </c>
      <c r="B220" s="32" t="s">
        <v>114</v>
      </c>
      <c r="C220" s="32" t="s">
        <v>369</v>
      </c>
      <c r="D220" s="34"/>
      <c r="E220" s="34"/>
      <c r="F220" s="34"/>
      <c r="G220" s="34"/>
      <c r="H220" s="34"/>
      <c r="I220" s="34"/>
      <c r="J220" s="34"/>
      <c r="K220" s="34"/>
      <c r="L220" s="34"/>
      <c r="M220" s="34"/>
      <c r="N220" s="34"/>
      <c r="O220" s="34"/>
      <c r="P220" s="34"/>
      <c r="Q220" s="34"/>
      <c r="R220" s="34"/>
      <c r="S220" s="34"/>
      <c r="T220" s="34"/>
      <c r="U220" s="34"/>
      <c r="V220" s="34"/>
      <c r="W220" s="34"/>
      <c r="X220" s="34"/>
      <c r="Y220" s="34"/>
      <c r="Z220" s="34"/>
      <c r="AA220" s="34"/>
      <c r="AB220" s="36">
        <v>330</v>
      </c>
      <c r="AC220" s="36">
        <v>347</v>
      </c>
      <c r="AD220" s="36">
        <v>157</v>
      </c>
      <c r="AE220" s="36">
        <v>167</v>
      </c>
      <c r="AF220" s="36">
        <v>181</v>
      </c>
      <c r="AG220" s="36">
        <v>171</v>
      </c>
      <c r="AH220" s="36"/>
      <c r="AI220" s="36"/>
      <c r="AJ220" s="36">
        <v>63</v>
      </c>
      <c r="AK220" s="36">
        <v>52</v>
      </c>
      <c r="AL220" s="36">
        <v>109</v>
      </c>
      <c r="AM220" s="36"/>
      <c r="AN220" s="36">
        <v>253</v>
      </c>
      <c r="AO220" s="36">
        <v>380</v>
      </c>
      <c r="AP220" s="36">
        <v>239</v>
      </c>
      <c r="AQ220" s="36">
        <v>200</v>
      </c>
      <c r="AR220" s="36">
        <v>160</v>
      </c>
      <c r="AS220" s="36">
        <v>139</v>
      </c>
      <c r="AT220" s="36"/>
      <c r="AU220" s="36"/>
      <c r="AV220" s="36">
        <v>54</v>
      </c>
      <c r="AW220" s="36">
        <v>60</v>
      </c>
      <c r="AX220" s="36">
        <v>59</v>
      </c>
      <c r="AY220" s="36"/>
      <c r="AZ220" s="36">
        <v>230</v>
      </c>
      <c r="BA220" s="36">
        <v>233</v>
      </c>
      <c r="BB220" s="36">
        <v>184</v>
      </c>
      <c r="BC220" s="36">
        <v>132</v>
      </c>
      <c r="BD220" s="36">
        <v>184</v>
      </c>
      <c r="BE220" s="36">
        <v>125</v>
      </c>
      <c r="BF220" s="36">
        <v>90</v>
      </c>
      <c r="BG220" s="36">
        <v>149</v>
      </c>
      <c r="BH220" s="36">
        <v>150</v>
      </c>
      <c r="BI220" s="36">
        <v>140</v>
      </c>
      <c r="BJ220" s="36">
        <v>167</v>
      </c>
      <c r="BK220" s="36"/>
      <c r="BL220" s="36">
        <v>48</v>
      </c>
      <c r="BM220" s="36">
        <v>58</v>
      </c>
      <c r="BN220" s="36">
        <v>68</v>
      </c>
      <c r="BO220" s="36">
        <v>85</v>
      </c>
      <c r="BP220" s="36">
        <v>45</v>
      </c>
      <c r="BQ220" s="36">
        <v>7</v>
      </c>
      <c r="BR220" s="36"/>
      <c r="BS220" s="36"/>
      <c r="BT220" s="36">
        <v>3</v>
      </c>
      <c r="BU220" s="36">
        <v>70</v>
      </c>
      <c r="BV220" s="36">
        <v>62</v>
      </c>
      <c r="BW220" s="36"/>
      <c r="BX220" s="36">
        <v>7</v>
      </c>
      <c r="BY220" s="36">
        <v>11</v>
      </c>
      <c r="BZ220" s="36">
        <v>20</v>
      </c>
      <c r="CA220" s="36">
        <v>6</v>
      </c>
      <c r="CB220" s="36">
        <v>6</v>
      </c>
      <c r="CC220" s="36">
        <v>2</v>
      </c>
      <c r="CD220" s="36"/>
      <c r="CE220" s="36"/>
      <c r="CF220" s="36"/>
      <c r="CG220" s="36"/>
      <c r="CH220" s="36">
        <v>3</v>
      </c>
      <c r="CI220" s="36"/>
      <c r="CK220" s="4" t="b">
        <f t="shared" si="3"/>
        <v>0</v>
      </c>
    </row>
    <row r="221" spans="1:89" ht="60" customHeight="1">
      <c r="A221" s="32" t="s">
        <v>109</v>
      </c>
      <c r="B221" s="32" t="s">
        <v>114</v>
      </c>
      <c r="C221" s="32" t="s">
        <v>370</v>
      </c>
      <c r="D221" s="34"/>
      <c r="E221" s="34">
        <v>100</v>
      </c>
      <c r="F221" s="34">
        <v>100</v>
      </c>
      <c r="G221" s="34">
        <v>100</v>
      </c>
      <c r="H221" s="34">
        <v>100</v>
      </c>
      <c r="I221" s="34">
        <v>100</v>
      </c>
      <c r="J221" s="34">
        <v>100</v>
      </c>
      <c r="K221" s="34">
        <v>100</v>
      </c>
      <c r="L221" s="34">
        <v>100</v>
      </c>
      <c r="M221" s="34">
        <v>100</v>
      </c>
      <c r="N221" s="34">
        <v>100</v>
      </c>
      <c r="O221" s="34">
        <v>100</v>
      </c>
      <c r="P221" s="34"/>
      <c r="Q221" s="34"/>
      <c r="R221" s="34"/>
      <c r="S221" s="34"/>
      <c r="T221" s="34"/>
      <c r="U221" s="34">
        <v>100</v>
      </c>
      <c r="V221" s="34">
        <v>100</v>
      </c>
      <c r="W221" s="34"/>
      <c r="X221" s="34"/>
      <c r="Y221" s="34"/>
      <c r="Z221" s="34"/>
      <c r="AA221" s="34">
        <v>100</v>
      </c>
      <c r="AB221" s="36"/>
      <c r="AC221" s="36">
        <v>218</v>
      </c>
      <c r="AD221" s="36">
        <v>50</v>
      </c>
      <c r="AE221" s="36">
        <v>97</v>
      </c>
      <c r="AF221" s="36">
        <v>165</v>
      </c>
      <c r="AG221" s="36">
        <v>151</v>
      </c>
      <c r="AH221" s="36">
        <v>224</v>
      </c>
      <c r="AI221" s="36">
        <v>175</v>
      </c>
      <c r="AJ221" s="36">
        <v>120</v>
      </c>
      <c r="AK221" s="36">
        <v>145</v>
      </c>
      <c r="AL221" s="36">
        <v>136</v>
      </c>
      <c r="AM221" s="36">
        <v>131</v>
      </c>
      <c r="AN221" s="36"/>
      <c r="AO221" s="36">
        <v>226</v>
      </c>
      <c r="AP221" s="36">
        <v>61</v>
      </c>
      <c r="AQ221" s="36">
        <v>74</v>
      </c>
      <c r="AR221" s="36">
        <v>29</v>
      </c>
      <c r="AS221" s="36">
        <v>126</v>
      </c>
      <c r="AT221" s="36">
        <v>250</v>
      </c>
      <c r="AU221" s="36">
        <v>232</v>
      </c>
      <c r="AV221" s="36">
        <v>171</v>
      </c>
      <c r="AW221" s="36">
        <v>173</v>
      </c>
      <c r="AX221" s="36">
        <v>142</v>
      </c>
      <c r="AY221" s="36">
        <v>118</v>
      </c>
      <c r="AZ221" s="36"/>
      <c r="BA221" s="36">
        <v>81</v>
      </c>
      <c r="BB221" s="36">
        <v>116</v>
      </c>
      <c r="BC221" s="36">
        <v>93</v>
      </c>
      <c r="BD221" s="36">
        <v>65</v>
      </c>
      <c r="BE221" s="36">
        <v>63</v>
      </c>
      <c r="BF221" s="36">
        <v>72</v>
      </c>
      <c r="BG221" s="36">
        <v>100</v>
      </c>
      <c r="BH221" s="36">
        <v>65</v>
      </c>
      <c r="BI221" s="36">
        <v>105</v>
      </c>
      <c r="BJ221" s="36">
        <v>29</v>
      </c>
      <c r="BK221" s="36">
        <v>100</v>
      </c>
      <c r="BL221" s="36"/>
      <c r="BM221" s="36"/>
      <c r="BN221" s="36">
        <v>11</v>
      </c>
      <c r="BO221" s="36">
        <v>34</v>
      </c>
      <c r="BP221" s="36">
        <v>40</v>
      </c>
      <c r="BQ221" s="36">
        <v>41</v>
      </c>
      <c r="BR221" s="36">
        <v>49</v>
      </c>
      <c r="BS221" s="36">
        <v>16</v>
      </c>
      <c r="BT221" s="36">
        <v>19</v>
      </c>
      <c r="BU221" s="36">
        <v>44</v>
      </c>
      <c r="BV221" s="36">
        <v>6</v>
      </c>
      <c r="BW221" s="36">
        <v>46</v>
      </c>
      <c r="BX221" s="36"/>
      <c r="BY221" s="36"/>
      <c r="BZ221" s="36"/>
      <c r="CA221" s="36"/>
      <c r="CB221" s="36"/>
      <c r="CC221" s="36"/>
      <c r="CD221" s="36">
        <v>1</v>
      </c>
      <c r="CE221" s="36">
        <v>1</v>
      </c>
      <c r="CF221" s="36"/>
      <c r="CG221" s="36">
        <v>3</v>
      </c>
      <c r="CH221" s="36">
        <v>4</v>
      </c>
      <c r="CI221" s="36">
        <v>2</v>
      </c>
      <c r="CK221" s="4" t="b">
        <f t="shared" si="3"/>
        <v>0</v>
      </c>
    </row>
    <row r="222" spans="1:89" ht="60" customHeight="1">
      <c r="A222" s="32" t="s">
        <v>109</v>
      </c>
      <c r="B222" s="32" t="s">
        <v>158</v>
      </c>
      <c r="C222" s="32" t="s">
        <v>371</v>
      </c>
      <c r="D222" s="34"/>
      <c r="E222" s="34">
        <v>50</v>
      </c>
      <c r="F222" s="34">
        <v>50</v>
      </c>
      <c r="G222" s="34">
        <v>50</v>
      </c>
      <c r="H222" s="34">
        <v>100</v>
      </c>
      <c r="I222" s="34">
        <v>100</v>
      </c>
      <c r="J222" s="34">
        <v>100</v>
      </c>
      <c r="K222" s="34">
        <v>100</v>
      </c>
      <c r="L222" s="34">
        <v>100</v>
      </c>
      <c r="M222" s="34">
        <v>100</v>
      </c>
      <c r="N222" s="34">
        <v>100</v>
      </c>
      <c r="O222" s="34"/>
      <c r="P222" s="34"/>
      <c r="Q222" s="34">
        <v>50</v>
      </c>
      <c r="R222" s="34">
        <v>50</v>
      </c>
      <c r="S222" s="34">
        <v>50</v>
      </c>
      <c r="T222" s="34">
        <v>100</v>
      </c>
      <c r="U222" s="34">
        <v>100</v>
      </c>
      <c r="V222" s="34">
        <v>100</v>
      </c>
      <c r="W222" s="34">
        <v>100</v>
      </c>
      <c r="X222" s="34">
        <v>100</v>
      </c>
      <c r="Y222" s="34">
        <v>100</v>
      </c>
      <c r="Z222" s="34">
        <v>100</v>
      </c>
      <c r="AA222" s="34"/>
      <c r="AB222" s="36"/>
      <c r="AC222" s="36">
        <v>91</v>
      </c>
      <c r="AD222" s="36">
        <v>6</v>
      </c>
      <c r="AE222" s="36">
        <v>17</v>
      </c>
      <c r="AF222" s="36">
        <v>22</v>
      </c>
      <c r="AG222" s="36">
        <v>11</v>
      </c>
      <c r="AH222" s="36">
        <v>8</v>
      </c>
      <c r="AI222" s="36">
        <v>10</v>
      </c>
      <c r="AJ222" s="36">
        <v>9</v>
      </c>
      <c r="AK222" s="36">
        <v>10</v>
      </c>
      <c r="AL222" s="36">
        <v>8</v>
      </c>
      <c r="AM222" s="36"/>
      <c r="AN222" s="36"/>
      <c r="AO222" s="36">
        <v>111</v>
      </c>
      <c r="AP222" s="36">
        <v>3</v>
      </c>
      <c r="AQ222" s="36">
        <v>23</v>
      </c>
      <c r="AR222" s="36">
        <v>16</v>
      </c>
      <c r="AS222" s="36">
        <v>7</v>
      </c>
      <c r="AT222" s="36">
        <v>10</v>
      </c>
      <c r="AU222" s="36">
        <v>25</v>
      </c>
      <c r="AV222" s="36">
        <v>15</v>
      </c>
      <c r="AW222" s="36">
        <v>9</v>
      </c>
      <c r="AX222" s="36">
        <v>9</v>
      </c>
      <c r="AY222" s="36"/>
      <c r="AZ222" s="36"/>
      <c r="BA222" s="36">
        <v>13</v>
      </c>
      <c r="BB222" s="36">
        <v>9</v>
      </c>
      <c r="BC222" s="36">
        <v>4</v>
      </c>
      <c r="BD222" s="36">
        <v>1</v>
      </c>
      <c r="BE222" s="36">
        <v>4</v>
      </c>
      <c r="BF222" s="36">
        <v>6</v>
      </c>
      <c r="BG222" s="36">
        <v>4</v>
      </c>
      <c r="BH222" s="36">
        <v>4</v>
      </c>
      <c r="BI222" s="36">
        <v>15</v>
      </c>
      <c r="BJ222" s="36">
        <v>7</v>
      </c>
      <c r="BK222" s="36"/>
      <c r="BL222" s="36"/>
      <c r="BM222" s="36">
        <v>3</v>
      </c>
      <c r="BN222" s="36"/>
      <c r="BO222" s="36"/>
      <c r="BP222" s="36"/>
      <c r="BQ222" s="36"/>
      <c r="BR222" s="36">
        <v>6</v>
      </c>
      <c r="BS222" s="36">
        <v>4</v>
      </c>
      <c r="BT222" s="36">
        <v>2</v>
      </c>
      <c r="BU222" s="36"/>
      <c r="BV222" s="36"/>
      <c r="BW222" s="36"/>
      <c r="BX222" s="36"/>
      <c r="BY222" s="36"/>
      <c r="BZ222" s="36"/>
      <c r="CA222" s="36"/>
      <c r="CB222" s="36">
        <v>7</v>
      </c>
      <c r="CC222" s="36"/>
      <c r="CD222" s="36">
        <v>1</v>
      </c>
      <c r="CE222" s="36"/>
      <c r="CF222" s="36"/>
      <c r="CG222" s="36"/>
      <c r="CH222" s="36"/>
      <c r="CI222" s="36"/>
      <c r="CK222" s="4" t="b">
        <f t="shared" si="3"/>
        <v>0</v>
      </c>
    </row>
    <row r="223" spans="1:89" ht="60" customHeight="1">
      <c r="A223" s="32" t="s">
        <v>109</v>
      </c>
      <c r="B223" s="32" t="s">
        <v>372</v>
      </c>
      <c r="C223" s="32" t="s">
        <v>373</v>
      </c>
      <c r="D223" s="34"/>
      <c r="E223" s="34">
        <v>100</v>
      </c>
      <c r="F223" s="34">
        <v>100</v>
      </c>
      <c r="G223" s="34">
        <v>100</v>
      </c>
      <c r="H223" s="34">
        <v>100</v>
      </c>
      <c r="I223" s="34">
        <v>100</v>
      </c>
      <c r="J223" s="34">
        <v>100</v>
      </c>
      <c r="K223" s="34">
        <v>100</v>
      </c>
      <c r="L223" s="34">
        <v>100</v>
      </c>
      <c r="M223" s="34">
        <v>100</v>
      </c>
      <c r="N223" s="34">
        <v>100</v>
      </c>
      <c r="O223" s="34">
        <v>100</v>
      </c>
      <c r="P223" s="34"/>
      <c r="Q223" s="34">
        <v>100</v>
      </c>
      <c r="R223" s="34">
        <v>100</v>
      </c>
      <c r="S223" s="34">
        <v>100</v>
      </c>
      <c r="T223" s="34">
        <v>100</v>
      </c>
      <c r="U223" s="34">
        <v>100</v>
      </c>
      <c r="V223" s="34">
        <v>100</v>
      </c>
      <c r="W223" s="34">
        <v>100</v>
      </c>
      <c r="X223" s="34"/>
      <c r="Y223" s="34">
        <v>100</v>
      </c>
      <c r="Z223" s="34">
        <v>125</v>
      </c>
      <c r="AA223" s="34">
        <v>100</v>
      </c>
      <c r="AB223" s="36"/>
      <c r="AC223" s="36">
        <v>39</v>
      </c>
      <c r="AD223" s="36">
        <v>38</v>
      </c>
      <c r="AE223" s="36">
        <v>35</v>
      </c>
      <c r="AF223" s="36">
        <v>32</v>
      </c>
      <c r="AG223" s="36">
        <v>35</v>
      </c>
      <c r="AH223" s="36">
        <v>25</v>
      </c>
      <c r="AI223" s="36">
        <v>23</v>
      </c>
      <c r="AJ223" s="36">
        <v>35</v>
      </c>
      <c r="AK223" s="36">
        <v>36</v>
      </c>
      <c r="AL223" s="36">
        <v>37</v>
      </c>
      <c r="AM223" s="36"/>
      <c r="AN223" s="36"/>
      <c r="AO223" s="36">
        <v>41</v>
      </c>
      <c r="AP223" s="36">
        <v>37</v>
      </c>
      <c r="AQ223" s="36">
        <v>33</v>
      </c>
      <c r="AR223" s="36">
        <v>33</v>
      </c>
      <c r="AS223" s="36">
        <v>33</v>
      </c>
      <c r="AT223" s="36">
        <v>26</v>
      </c>
      <c r="AU223" s="36">
        <v>22</v>
      </c>
      <c r="AV223" s="36">
        <v>34</v>
      </c>
      <c r="AW223" s="36">
        <v>37</v>
      </c>
      <c r="AX223" s="36">
        <v>39</v>
      </c>
      <c r="AY223" s="36"/>
      <c r="AZ223" s="36"/>
      <c r="BA223" s="36">
        <v>8</v>
      </c>
      <c r="BB223" s="36">
        <v>5</v>
      </c>
      <c r="BC223" s="36">
        <v>11</v>
      </c>
      <c r="BD223" s="36">
        <v>11</v>
      </c>
      <c r="BE223" s="36">
        <v>20</v>
      </c>
      <c r="BF223" s="36">
        <v>6</v>
      </c>
      <c r="BG223" s="36">
        <v>14</v>
      </c>
      <c r="BH223" s="36">
        <v>21</v>
      </c>
      <c r="BI223" s="36">
        <v>24</v>
      </c>
      <c r="BJ223" s="36">
        <v>16</v>
      </c>
      <c r="BK223" s="36"/>
      <c r="BL223" s="36"/>
      <c r="BM223" s="36">
        <v>8</v>
      </c>
      <c r="BN223" s="36">
        <v>4</v>
      </c>
      <c r="BO223" s="36"/>
      <c r="BP223" s="36"/>
      <c r="BQ223" s="36"/>
      <c r="BR223" s="36"/>
      <c r="BS223" s="36"/>
      <c r="BT223" s="36"/>
      <c r="BU223" s="36"/>
      <c r="BV223" s="36"/>
      <c r="BW223" s="36"/>
      <c r="BX223" s="36"/>
      <c r="BY223" s="36">
        <v>8</v>
      </c>
      <c r="BZ223" s="36"/>
      <c r="CA223" s="36">
        <v>19</v>
      </c>
      <c r="CB223" s="36"/>
      <c r="CC223" s="36"/>
      <c r="CD223" s="36"/>
      <c r="CE223" s="36"/>
      <c r="CF223" s="36"/>
      <c r="CG223" s="36"/>
      <c r="CH223" s="36"/>
      <c r="CI223" s="36"/>
      <c r="CK223" s="4" t="b">
        <f t="shared" si="3"/>
        <v>0</v>
      </c>
    </row>
    <row r="224" spans="1:89" ht="60" customHeight="1">
      <c r="A224" s="32" t="s">
        <v>101</v>
      </c>
      <c r="B224" s="32" t="s">
        <v>201</v>
      </c>
      <c r="C224" s="32" t="s">
        <v>374</v>
      </c>
      <c r="D224" s="34"/>
      <c r="E224" s="34">
        <v>100</v>
      </c>
      <c r="F224" s="34">
        <v>100</v>
      </c>
      <c r="G224" s="34">
        <v>50</v>
      </c>
      <c r="H224" s="34">
        <v>100</v>
      </c>
      <c r="I224" s="34">
        <v>100</v>
      </c>
      <c r="J224" s="34">
        <v>100</v>
      </c>
      <c r="K224" s="34">
        <v>100</v>
      </c>
      <c r="L224" s="34">
        <v>100</v>
      </c>
      <c r="M224" s="34">
        <v>100</v>
      </c>
      <c r="N224" s="34">
        <v>100</v>
      </c>
      <c r="O224" s="34">
        <v>100</v>
      </c>
      <c r="P224" s="34"/>
      <c r="Q224" s="34">
        <v>100</v>
      </c>
      <c r="R224" s="34">
        <v>100</v>
      </c>
      <c r="S224" s="34">
        <v>100</v>
      </c>
      <c r="T224" s="34">
        <v>100</v>
      </c>
      <c r="U224" s="34">
        <v>100</v>
      </c>
      <c r="V224" s="34">
        <v>100</v>
      </c>
      <c r="W224" s="34">
        <v>100</v>
      </c>
      <c r="X224" s="34">
        <v>100</v>
      </c>
      <c r="Y224" s="34">
        <v>100</v>
      </c>
      <c r="Z224" s="34">
        <v>100</v>
      </c>
      <c r="AA224" s="34">
        <v>100</v>
      </c>
      <c r="AB224" s="36"/>
      <c r="AC224" s="36">
        <v>26</v>
      </c>
      <c r="AD224" s="36">
        <v>22</v>
      </c>
      <c r="AE224" s="36">
        <v>39</v>
      </c>
      <c r="AF224" s="36">
        <v>39</v>
      </c>
      <c r="AG224" s="36">
        <v>21</v>
      </c>
      <c r="AH224" s="36">
        <v>22</v>
      </c>
      <c r="AI224" s="36">
        <v>26</v>
      </c>
      <c r="AJ224" s="36">
        <v>28</v>
      </c>
      <c r="AK224" s="36">
        <v>26</v>
      </c>
      <c r="AL224" s="36">
        <v>24</v>
      </c>
      <c r="AM224" s="36">
        <v>22</v>
      </c>
      <c r="AN224" s="36"/>
      <c r="AO224" s="36">
        <v>24</v>
      </c>
      <c r="AP224" s="36">
        <v>19</v>
      </c>
      <c r="AQ224" s="36">
        <v>36</v>
      </c>
      <c r="AR224" s="36">
        <v>24</v>
      </c>
      <c r="AS224" s="36">
        <v>21</v>
      </c>
      <c r="AT224" s="36">
        <v>16</v>
      </c>
      <c r="AU224" s="36">
        <v>24</v>
      </c>
      <c r="AV224" s="36">
        <v>28</v>
      </c>
      <c r="AW224" s="36">
        <v>24</v>
      </c>
      <c r="AX224" s="36">
        <v>22</v>
      </c>
      <c r="AY224" s="36">
        <v>18</v>
      </c>
      <c r="AZ224" s="36"/>
      <c r="BA224" s="36">
        <v>10</v>
      </c>
      <c r="BB224" s="36">
        <v>11</v>
      </c>
      <c r="BC224" s="36">
        <v>23</v>
      </c>
      <c r="BD224" s="36">
        <v>25</v>
      </c>
      <c r="BE224" s="36">
        <v>10</v>
      </c>
      <c r="BF224" s="36">
        <v>23</v>
      </c>
      <c r="BG224" s="36">
        <v>23</v>
      </c>
      <c r="BH224" s="36">
        <v>13</v>
      </c>
      <c r="BI224" s="36">
        <v>30</v>
      </c>
      <c r="BJ224" s="36">
        <v>7</v>
      </c>
      <c r="BK224" s="36">
        <v>16</v>
      </c>
      <c r="BL224" s="36"/>
      <c r="BM224" s="36"/>
      <c r="BN224" s="36"/>
      <c r="BO224" s="36">
        <v>4</v>
      </c>
      <c r="BP224" s="36">
        <v>4</v>
      </c>
      <c r="BQ224" s="36">
        <v>4</v>
      </c>
      <c r="BR224" s="36">
        <v>4</v>
      </c>
      <c r="BS224" s="36">
        <v>4</v>
      </c>
      <c r="BT224" s="36">
        <v>8</v>
      </c>
      <c r="BU224" s="36"/>
      <c r="BV224" s="36">
        <v>3</v>
      </c>
      <c r="BW224" s="36">
        <v>2</v>
      </c>
      <c r="BX224" s="36"/>
      <c r="BY224" s="36"/>
      <c r="BZ224" s="36"/>
      <c r="CA224" s="36"/>
      <c r="CB224" s="36"/>
      <c r="CC224" s="36"/>
      <c r="CD224" s="36"/>
      <c r="CE224" s="36"/>
      <c r="CF224" s="36"/>
      <c r="CG224" s="36"/>
      <c r="CH224" s="36"/>
      <c r="CI224" s="36"/>
      <c r="CK224" s="4" t="b">
        <f t="shared" si="3"/>
        <v>0</v>
      </c>
    </row>
    <row r="225" spans="1:89" ht="90" customHeight="1">
      <c r="A225" s="32" t="s">
        <v>144</v>
      </c>
      <c r="B225" s="32" t="s">
        <v>343</v>
      </c>
      <c r="C225" s="32" t="s">
        <v>375</v>
      </c>
      <c r="D225" s="34"/>
      <c r="E225" s="34">
        <v>100</v>
      </c>
      <c r="F225" s="34">
        <v>100</v>
      </c>
      <c r="G225" s="34">
        <v>100</v>
      </c>
      <c r="H225" s="34">
        <v>100</v>
      </c>
      <c r="I225" s="34">
        <v>100</v>
      </c>
      <c r="J225" s="34">
        <v>75</v>
      </c>
      <c r="K225" s="34"/>
      <c r="L225" s="34">
        <v>100</v>
      </c>
      <c r="M225" s="34">
        <v>100</v>
      </c>
      <c r="N225" s="34"/>
      <c r="O225" s="34">
        <v>100</v>
      </c>
      <c r="P225" s="34"/>
      <c r="Q225" s="34">
        <v>100</v>
      </c>
      <c r="R225" s="34">
        <v>66.67</v>
      </c>
      <c r="S225" s="34">
        <v>50</v>
      </c>
      <c r="T225" s="34">
        <v>50</v>
      </c>
      <c r="U225" s="34">
        <v>75</v>
      </c>
      <c r="V225" s="34">
        <v>75</v>
      </c>
      <c r="W225" s="34"/>
      <c r="X225" s="34">
        <v>100</v>
      </c>
      <c r="Y225" s="34">
        <v>100</v>
      </c>
      <c r="Z225" s="34"/>
      <c r="AA225" s="34"/>
      <c r="AB225" s="36"/>
      <c r="AC225" s="36">
        <v>65</v>
      </c>
      <c r="AD225" s="36">
        <v>30</v>
      </c>
      <c r="AE225" s="36">
        <v>27</v>
      </c>
      <c r="AF225" s="36">
        <v>24</v>
      </c>
      <c r="AG225" s="36">
        <v>28</v>
      </c>
      <c r="AH225" s="36">
        <v>29</v>
      </c>
      <c r="AI225" s="36">
        <v>25</v>
      </c>
      <c r="AJ225" s="36">
        <v>31</v>
      </c>
      <c r="AK225" s="36">
        <v>36</v>
      </c>
      <c r="AL225" s="36"/>
      <c r="AM225" s="36">
        <v>10</v>
      </c>
      <c r="AN225" s="36"/>
      <c r="AO225" s="36">
        <v>62</v>
      </c>
      <c r="AP225" s="36">
        <v>28</v>
      </c>
      <c r="AQ225" s="36">
        <v>24</v>
      </c>
      <c r="AR225" s="36">
        <v>23</v>
      </c>
      <c r="AS225" s="36">
        <v>28</v>
      </c>
      <c r="AT225" s="36">
        <v>26</v>
      </c>
      <c r="AU225" s="36">
        <v>25</v>
      </c>
      <c r="AV225" s="36">
        <v>31</v>
      </c>
      <c r="AW225" s="36">
        <v>34</v>
      </c>
      <c r="AX225" s="36"/>
      <c r="AY225" s="36">
        <v>7</v>
      </c>
      <c r="AZ225" s="36"/>
      <c r="BA225" s="36">
        <v>11</v>
      </c>
      <c r="BB225" s="36">
        <v>3</v>
      </c>
      <c r="BC225" s="36">
        <v>5</v>
      </c>
      <c r="BD225" s="36">
        <v>6</v>
      </c>
      <c r="BE225" s="36">
        <v>6</v>
      </c>
      <c r="BF225" s="36">
        <v>2</v>
      </c>
      <c r="BG225" s="36">
        <v>3</v>
      </c>
      <c r="BH225" s="36">
        <v>5</v>
      </c>
      <c r="BI225" s="36">
        <v>4</v>
      </c>
      <c r="BJ225" s="36"/>
      <c r="BK225" s="36">
        <v>2</v>
      </c>
      <c r="BL225" s="36"/>
      <c r="BM225" s="36">
        <v>5</v>
      </c>
      <c r="BN225" s="36"/>
      <c r="BO225" s="36"/>
      <c r="BP225" s="36"/>
      <c r="BQ225" s="36">
        <v>7</v>
      </c>
      <c r="BR225" s="36">
        <v>3</v>
      </c>
      <c r="BS225" s="36">
        <v>3</v>
      </c>
      <c r="BT225" s="36">
        <v>2</v>
      </c>
      <c r="BU225" s="36">
        <v>6</v>
      </c>
      <c r="BV225" s="36"/>
      <c r="BW225" s="36"/>
      <c r="BX225" s="36"/>
      <c r="BY225" s="36"/>
      <c r="BZ225" s="36"/>
      <c r="CA225" s="36"/>
      <c r="CB225" s="36"/>
      <c r="CC225" s="36"/>
      <c r="CD225" s="36"/>
      <c r="CE225" s="36"/>
      <c r="CF225" s="36">
        <v>1</v>
      </c>
      <c r="CG225" s="36"/>
      <c r="CH225" s="36"/>
      <c r="CI225" s="36"/>
      <c r="CK225" s="4" t="b">
        <f t="shared" si="3"/>
        <v>0</v>
      </c>
    </row>
    <row r="226" spans="1:89" ht="60" customHeight="1">
      <c r="A226" s="32" t="s">
        <v>87</v>
      </c>
      <c r="B226" s="32" t="s">
        <v>181</v>
      </c>
      <c r="C226" s="32" t="s">
        <v>376</v>
      </c>
      <c r="D226" s="34"/>
      <c r="E226" s="34">
        <v>100</v>
      </c>
      <c r="F226" s="34">
        <v>100</v>
      </c>
      <c r="G226" s="34"/>
      <c r="H226" s="34">
        <v>100</v>
      </c>
      <c r="I226" s="34">
        <v>100</v>
      </c>
      <c r="J226" s="34">
        <v>88.89</v>
      </c>
      <c r="K226" s="34">
        <v>87.5</v>
      </c>
      <c r="L226" s="34">
        <v>100</v>
      </c>
      <c r="M226" s="34">
        <v>100</v>
      </c>
      <c r="N226" s="34">
        <v>100</v>
      </c>
      <c r="O226" s="34">
        <v>100</v>
      </c>
      <c r="P226" s="34"/>
      <c r="Q226" s="34"/>
      <c r="R226" s="34">
        <v>100</v>
      </c>
      <c r="S226" s="34"/>
      <c r="T226" s="34"/>
      <c r="U226" s="34"/>
      <c r="V226" s="34"/>
      <c r="W226" s="34"/>
      <c r="X226" s="34"/>
      <c r="Y226" s="34"/>
      <c r="Z226" s="34"/>
      <c r="AA226" s="34"/>
      <c r="AB226" s="36"/>
      <c r="AC226" s="36">
        <v>43</v>
      </c>
      <c r="AD226" s="36">
        <v>70</v>
      </c>
      <c r="AE226" s="36">
        <v>65</v>
      </c>
      <c r="AF226" s="36">
        <v>62</v>
      </c>
      <c r="AG226" s="36">
        <v>53</v>
      </c>
      <c r="AH226" s="36">
        <v>60</v>
      </c>
      <c r="AI226" s="36">
        <v>54</v>
      </c>
      <c r="AJ226" s="36">
        <v>42</v>
      </c>
      <c r="AK226" s="36">
        <v>51</v>
      </c>
      <c r="AL226" s="36">
        <v>53</v>
      </c>
      <c r="AM226" s="36">
        <v>38</v>
      </c>
      <c r="AN226" s="36"/>
      <c r="AO226" s="36">
        <v>43</v>
      </c>
      <c r="AP226" s="36">
        <v>53</v>
      </c>
      <c r="AQ226" s="36">
        <v>69</v>
      </c>
      <c r="AR226" s="36">
        <v>60</v>
      </c>
      <c r="AS226" s="36">
        <v>48</v>
      </c>
      <c r="AT226" s="36">
        <v>64</v>
      </c>
      <c r="AU226" s="36">
        <v>51</v>
      </c>
      <c r="AV226" s="36">
        <v>56</v>
      </c>
      <c r="AW226" s="36">
        <v>52</v>
      </c>
      <c r="AX226" s="36">
        <v>57</v>
      </c>
      <c r="AY226" s="36">
        <v>48</v>
      </c>
      <c r="AZ226" s="36"/>
      <c r="BA226" s="36">
        <v>6</v>
      </c>
      <c r="BB226" s="36">
        <v>44</v>
      </c>
      <c r="BC226" s="36">
        <v>23</v>
      </c>
      <c r="BD226" s="36">
        <v>33</v>
      </c>
      <c r="BE226" s="36">
        <v>20</v>
      </c>
      <c r="BF226" s="36">
        <v>20</v>
      </c>
      <c r="BG226" s="36">
        <v>36</v>
      </c>
      <c r="BH226" s="36">
        <v>27</v>
      </c>
      <c r="BI226" s="36">
        <v>22</v>
      </c>
      <c r="BJ226" s="36">
        <v>17</v>
      </c>
      <c r="BK226" s="36"/>
      <c r="BL226" s="36"/>
      <c r="BM226" s="36"/>
      <c r="BN226" s="36">
        <v>6</v>
      </c>
      <c r="BO226" s="36">
        <v>8</v>
      </c>
      <c r="BP226" s="36">
        <v>13</v>
      </c>
      <c r="BQ226" s="36">
        <v>11</v>
      </c>
      <c r="BR226" s="36">
        <v>14</v>
      </c>
      <c r="BS226" s="36">
        <v>16</v>
      </c>
      <c r="BT226" s="36">
        <v>14</v>
      </c>
      <c r="BU226" s="36">
        <v>6</v>
      </c>
      <c r="BV226" s="36">
        <v>13</v>
      </c>
      <c r="BW226" s="36">
        <v>3</v>
      </c>
      <c r="BX226" s="36"/>
      <c r="BY226" s="36"/>
      <c r="BZ226" s="36"/>
      <c r="CA226" s="36"/>
      <c r="CB226" s="36"/>
      <c r="CC226" s="36">
        <v>2</v>
      </c>
      <c r="CD226" s="36"/>
      <c r="CE226" s="36"/>
      <c r="CF226" s="36"/>
      <c r="CG226" s="36">
        <v>1</v>
      </c>
      <c r="CH226" s="36">
        <v>1</v>
      </c>
      <c r="CI226" s="36"/>
      <c r="CK226" s="4" t="b">
        <f t="shared" si="3"/>
        <v>0</v>
      </c>
    </row>
    <row r="227" spans="1:89" ht="60" customHeight="1">
      <c r="A227" s="32" t="s">
        <v>109</v>
      </c>
      <c r="B227" s="32" t="s">
        <v>194</v>
      </c>
      <c r="C227" s="32" t="s">
        <v>377</v>
      </c>
      <c r="D227" s="34"/>
      <c r="E227" s="34">
        <v>50</v>
      </c>
      <c r="F227" s="34">
        <v>100</v>
      </c>
      <c r="G227" s="34">
        <v>50</v>
      </c>
      <c r="H227" s="34">
        <v>100</v>
      </c>
      <c r="I227" s="34">
        <v>100</v>
      </c>
      <c r="J227" s="34">
        <v>100</v>
      </c>
      <c r="K227" s="34">
        <v>100</v>
      </c>
      <c r="L227" s="34">
        <v>100</v>
      </c>
      <c r="M227" s="34">
        <v>100</v>
      </c>
      <c r="N227" s="34">
        <v>200</v>
      </c>
      <c r="O227" s="34"/>
      <c r="P227" s="34"/>
      <c r="Q227" s="34">
        <v>100</v>
      </c>
      <c r="R227" s="34">
        <v>100</v>
      </c>
      <c r="S227" s="34">
        <v>100</v>
      </c>
      <c r="T227" s="34">
        <v>100</v>
      </c>
      <c r="U227" s="34">
        <v>100</v>
      </c>
      <c r="V227" s="34">
        <v>100</v>
      </c>
      <c r="W227" s="34">
        <v>100</v>
      </c>
      <c r="X227" s="34">
        <v>100</v>
      </c>
      <c r="Y227" s="34">
        <v>100</v>
      </c>
      <c r="Z227" s="34">
        <v>200</v>
      </c>
      <c r="AA227" s="34"/>
      <c r="AB227" s="36"/>
      <c r="AC227" s="36">
        <v>41</v>
      </c>
      <c r="AD227" s="36">
        <v>11</v>
      </c>
      <c r="AE227" s="36">
        <v>11</v>
      </c>
      <c r="AF227" s="36">
        <v>11</v>
      </c>
      <c r="AG227" s="36">
        <v>11</v>
      </c>
      <c r="AH227" s="36">
        <v>11</v>
      </c>
      <c r="AI227" s="36">
        <v>10</v>
      </c>
      <c r="AJ227" s="36">
        <v>10</v>
      </c>
      <c r="AK227" s="36">
        <v>9</v>
      </c>
      <c r="AL227" s="36">
        <v>8</v>
      </c>
      <c r="AM227" s="36"/>
      <c r="AN227" s="36"/>
      <c r="AO227" s="36">
        <v>41</v>
      </c>
      <c r="AP227" s="36">
        <v>11</v>
      </c>
      <c r="AQ227" s="36">
        <v>10</v>
      </c>
      <c r="AR227" s="36">
        <v>14</v>
      </c>
      <c r="AS227" s="36">
        <v>12</v>
      </c>
      <c r="AT227" s="36">
        <v>11</v>
      </c>
      <c r="AU227" s="36">
        <v>14</v>
      </c>
      <c r="AV227" s="36">
        <v>13</v>
      </c>
      <c r="AW227" s="36">
        <v>14</v>
      </c>
      <c r="AX227" s="36">
        <v>10</v>
      </c>
      <c r="AY227" s="36"/>
      <c r="AZ227" s="36"/>
      <c r="BA227" s="36">
        <v>12</v>
      </c>
      <c r="BB227" s="36">
        <v>3</v>
      </c>
      <c r="BC227" s="36">
        <v>4</v>
      </c>
      <c r="BD227" s="36">
        <v>3</v>
      </c>
      <c r="BE227" s="36">
        <v>3</v>
      </c>
      <c r="BF227" s="36">
        <v>1</v>
      </c>
      <c r="BG227" s="36">
        <v>4</v>
      </c>
      <c r="BH227" s="36">
        <v>2</v>
      </c>
      <c r="BI227" s="36">
        <v>2</v>
      </c>
      <c r="BJ227" s="36">
        <v>6</v>
      </c>
      <c r="BK227" s="36"/>
      <c r="BL227" s="36"/>
      <c r="BM227" s="36"/>
      <c r="BN227" s="36"/>
      <c r="BO227" s="36">
        <v>2</v>
      </c>
      <c r="BP227" s="36">
        <v>1</v>
      </c>
      <c r="BQ227" s="36"/>
      <c r="BR227" s="36">
        <v>1</v>
      </c>
      <c r="BS227" s="36"/>
      <c r="BT227" s="36"/>
      <c r="BU227" s="36">
        <v>1</v>
      </c>
      <c r="BV227" s="36"/>
      <c r="BW227" s="36"/>
      <c r="BX227" s="36"/>
      <c r="BY227" s="36"/>
      <c r="BZ227" s="36"/>
      <c r="CA227" s="36"/>
      <c r="CB227" s="36"/>
      <c r="CC227" s="36"/>
      <c r="CD227" s="36"/>
      <c r="CE227" s="36"/>
      <c r="CF227" s="36"/>
      <c r="CG227" s="36"/>
      <c r="CH227" s="36"/>
      <c r="CI227" s="36"/>
      <c r="CK227" s="4" t="b">
        <f t="shared" si="3"/>
        <v>0</v>
      </c>
    </row>
    <row r="228" spans="1:89" ht="60" customHeight="1">
      <c r="A228" s="32" t="s">
        <v>87</v>
      </c>
      <c r="B228" s="32" t="s">
        <v>335</v>
      </c>
      <c r="C228" s="32" t="s">
        <v>378</v>
      </c>
      <c r="D228" s="34"/>
      <c r="E228" s="34"/>
      <c r="F228" s="34"/>
      <c r="G228" s="34">
        <v>11.76</v>
      </c>
      <c r="H228" s="34">
        <v>100</v>
      </c>
      <c r="I228" s="34"/>
      <c r="J228" s="34"/>
      <c r="K228" s="34"/>
      <c r="L228" s="34">
        <v>100</v>
      </c>
      <c r="M228" s="34">
        <v>100</v>
      </c>
      <c r="N228" s="34"/>
      <c r="O228" s="34">
        <v>100</v>
      </c>
      <c r="P228" s="34"/>
      <c r="Q228" s="34"/>
      <c r="R228" s="34"/>
      <c r="S228" s="34">
        <v>100</v>
      </c>
      <c r="T228" s="34">
        <v>100</v>
      </c>
      <c r="U228" s="34"/>
      <c r="V228" s="34"/>
      <c r="W228" s="34"/>
      <c r="X228" s="34">
        <v>100</v>
      </c>
      <c r="Y228" s="34">
        <v>100</v>
      </c>
      <c r="Z228" s="34"/>
      <c r="AA228" s="34">
        <v>100</v>
      </c>
      <c r="AB228" s="36"/>
      <c r="AC228" s="36"/>
      <c r="AD228" s="36"/>
      <c r="AE228" s="36">
        <v>34</v>
      </c>
      <c r="AF228" s="36">
        <v>41</v>
      </c>
      <c r="AG228" s="36"/>
      <c r="AH228" s="36"/>
      <c r="AI228" s="36"/>
      <c r="AJ228" s="36">
        <v>32</v>
      </c>
      <c r="AK228" s="36">
        <v>35</v>
      </c>
      <c r="AL228" s="36"/>
      <c r="AM228" s="36">
        <v>46</v>
      </c>
      <c r="AN228" s="36"/>
      <c r="AO228" s="36"/>
      <c r="AP228" s="36"/>
      <c r="AQ228" s="36">
        <v>27</v>
      </c>
      <c r="AR228" s="36">
        <v>32</v>
      </c>
      <c r="AS228" s="36"/>
      <c r="AT228" s="36"/>
      <c r="AU228" s="36"/>
      <c r="AV228" s="36">
        <v>27</v>
      </c>
      <c r="AW228" s="36">
        <v>26</v>
      </c>
      <c r="AX228" s="36"/>
      <c r="AY228" s="36">
        <v>36</v>
      </c>
      <c r="AZ228" s="36"/>
      <c r="BA228" s="36"/>
      <c r="BB228" s="36"/>
      <c r="BC228" s="36">
        <v>13</v>
      </c>
      <c r="BD228" s="36">
        <v>18</v>
      </c>
      <c r="BE228" s="36"/>
      <c r="BF228" s="36"/>
      <c r="BG228" s="36"/>
      <c r="BH228" s="36"/>
      <c r="BI228" s="36">
        <v>4</v>
      </c>
      <c r="BJ228" s="36"/>
      <c r="BK228" s="36"/>
      <c r="BL228" s="36"/>
      <c r="BM228" s="36"/>
      <c r="BN228" s="36"/>
      <c r="BO228" s="36"/>
      <c r="BP228" s="36">
        <v>14</v>
      </c>
      <c r="BQ228" s="36"/>
      <c r="BR228" s="36"/>
      <c r="BS228" s="36"/>
      <c r="BT228" s="36">
        <v>7</v>
      </c>
      <c r="BU228" s="36">
        <v>1</v>
      </c>
      <c r="BV228" s="36"/>
      <c r="BW228" s="36">
        <v>9</v>
      </c>
      <c r="BX228" s="36"/>
      <c r="BY228" s="36"/>
      <c r="BZ228" s="36"/>
      <c r="CA228" s="36"/>
      <c r="CB228" s="36">
        <v>4</v>
      </c>
      <c r="CC228" s="36"/>
      <c r="CD228" s="36"/>
      <c r="CE228" s="36"/>
      <c r="CF228" s="36">
        <v>2</v>
      </c>
      <c r="CG228" s="36">
        <v>4</v>
      </c>
      <c r="CH228" s="36"/>
      <c r="CI228" s="36">
        <v>2</v>
      </c>
      <c r="CK228" s="4" t="b">
        <f t="shared" si="3"/>
        <v>0</v>
      </c>
    </row>
    <row r="229" spans="1:89" ht="60" customHeight="1">
      <c r="A229" s="32" t="s">
        <v>109</v>
      </c>
      <c r="B229" s="32" t="s">
        <v>110</v>
      </c>
      <c r="C229" s="32" t="s">
        <v>379</v>
      </c>
      <c r="D229" s="34"/>
      <c r="E229" s="34"/>
      <c r="F229" s="34">
        <v>100</v>
      </c>
      <c r="G229" s="34">
        <v>100</v>
      </c>
      <c r="H229" s="34">
        <v>100</v>
      </c>
      <c r="I229" s="34">
        <v>100</v>
      </c>
      <c r="J229" s="34">
        <v>100</v>
      </c>
      <c r="K229" s="34"/>
      <c r="L229" s="34"/>
      <c r="M229" s="34">
        <v>100</v>
      </c>
      <c r="N229" s="34"/>
      <c r="O229" s="34"/>
      <c r="P229" s="34"/>
      <c r="Q229" s="34"/>
      <c r="R229" s="34">
        <v>66.67</v>
      </c>
      <c r="S229" s="34">
        <v>100</v>
      </c>
      <c r="T229" s="34">
        <v>100</v>
      </c>
      <c r="U229" s="34">
        <v>100</v>
      </c>
      <c r="V229" s="34">
        <v>100</v>
      </c>
      <c r="W229" s="34"/>
      <c r="X229" s="34"/>
      <c r="Y229" s="34">
        <v>100</v>
      </c>
      <c r="Z229" s="34"/>
      <c r="AA229" s="34"/>
      <c r="AB229" s="36"/>
      <c r="AC229" s="36">
        <v>10</v>
      </c>
      <c r="AD229" s="36">
        <v>12</v>
      </c>
      <c r="AE229" s="36">
        <v>12</v>
      </c>
      <c r="AF229" s="36">
        <v>8</v>
      </c>
      <c r="AG229" s="36">
        <v>11</v>
      </c>
      <c r="AH229" s="36">
        <v>10</v>
      </c>
      <c r="AI229" s="36"/>
      <c r="AJ229" s="36"/>
      <c r="AK229" s="36">
        <v>10</v>
      </c>
      <c r="AL229" s="36"/>
      <c r="AM229" s="36"/>
      <c r="AN229" s="36"/>
      <c r="AO229" s="36">
        <v>22</v>
      </c>
      <c r="AP229" s="36">
        <v>22</v>
      </c>
      <c r="AQ229" s="36">
        <v>22</v>
      </c>
      <c r="AR229" s="36">
        <v>6</v>
      </c>
      <c r="AS229" s="36">
        <v>20</v>
      </c>
      <c r="AT229" s="36">
        <v>22</v>
      </c>
      <c r="AU229" s="36"/>
      <c r="AV229" s="36"/>
      <c r="AW229" s="36">
        <v>20</v>
      </c>
      <c r="AX229" s="36"/>
      <c r="AY229" s="36"/>
      <c r="AZ229" s="36"/>
      <c r="BA229" s="36">
        <v>2</v>
      </c>
      <c r="BB229" s="36">
        <v>3</v>
      </c>
      <c r="BC229" s="36"/>
      <c r="BD229" s="36">
        <v>3</v>
      </c>
      <c r="BE229" s="36">
        <v>1</v>
      </c>
      <c r="BF229" s="36"/>
      <c r="BG229" s="36"/>
      <c r="BH229" s="36"/>
      <c r="BI229" s="36">
        <v>1</v>
      </c>
      <c r="BJ229" s="36"/>
      <c r="BK229" s="36"/>
      <c r="BL229" s="36"/>
      <c r="BM229" s="36">
        <v>1</v>
      </c>
      <c r="BN229" s="36">
        <v>2</v>
      </c>
      <c r="BO229" s="36">
        <v>2</v>
      </c>
      <c r="BP229" s="36">
        <v>2</v>
      </c>
      <c r="BQ229" s="36"/>
      <c r="BR229" s="36">
        <v>1</v>
      </c>
      <c r="BS229" s="36"/>
      <c r="BT229" s="36"/>
      <c r="BU229" s="36">
        <v>1</v>
      </c>
      <c r="BV229" s="36"/>
      <c r="BW229" s="36"/>
      <c r="BX229" s="36"/>
      <c r="BY229" s="36">
        <v>1</v>
      </c>
      <c r="BZ229" s="36">
        <v>1</v>
      </c>
      <c r="CA229" s="36">
        <v>1</v>
      </c>
      <c r="CB229" s="36">
        <v>1</v>
      </c>
      <c r="CC229" s="36"/>
      <c r="CD229" s="36">
        <v>2</v>
      </c>
      <c r="CE229" s="36"/>
      <c r="CF229" s="36"/>
      <c r="CG229" s="36"/>
      <c r="CH229" s="36"/>
      <c r="CI229" s="36"/>
      <c r="CK229" s="4" t="b">
        <f t="shared" si="3"/>
        <v>0</v>
      </c>
    </row>
    <row r="230" spans="1:89" ht="60" customHeight="1">
      <c r="A230" s="32" t="s">
        <v>92</v>
      </c>
      <c r="B230" s="32" t="s">
        <v>153</v>
      </c>
      <c r="C230" s="32" t="s">
        <v>380</v>
      </c>
      <c r="D230" s="34"/>
      <c r="E230" s="34"/>
      <c r="F230" s="34"/>
      <c r="G230" s="34"/>
      <c r="H230" s="34"/>
      <c r="I230" s="34"/>
      <c r="J230" s="34"/>
      <c r="K230" s="34"/>
      <c r="L230" s="34">
        <v>200</v>
      </c>
      <c r="M230" s="34">
        <v>100</v>
      </c>
      <c r="N230" s="34"/>
      <c r="O230" s="34"/>
      <c r="P230" s="34"/>
      <c r="Q230" s="34"/>
      <c r="R230" s="34"/>
      <c r="S230" s="34"/>
      <c r="T230" s="34"/>
      <c r="U230" s="34"/>
      <c r="V230" s="34"/>
      <c r="W230" s="34"/>
      <c r="X230" s="34">
        <v>200</v>
      </c>
      <c r="Y230" s="34">
        <v>100</v>
      </c>
      <c r="Z230" s="34"/>
      <c r="AA230" s="34"/>
      <c r="AB230" s="36"/>
      <c r="AC230" s="36"/>
      <c r="AD230" s="36"/>
      <c r="AE230" s="36">
        <v>6</v>
      </c>
      <c r="AF230" s="36"/>
      <c r="AG230" s="36"/>
      <c r="AH230" s="36"/>
      <c r="AI230" s="36">
        <v>10</v>
      </c>
      <c r="AJ230" s="36">
        <v>12</v>
      </c>
      <c r="AK230" s="36">
        <v>7</v>
      </c>
      <c r="AL230" s="36"/>
      <c r="AM230" s="36"/>
      <c r="AN230" s="36"/>
      <c r="AO230" s="36"/>
      <c r="AP230" s="36"/>
      <c r="AQ230" s="36">
        <v>4</v>
      </c>
      <c r="AR230" s="36"/>
      <c r="AS230" s="36"/>
      <c r="AT230" s="36"/>
      <c r="AU230" s="36">
        <v>3</v>
      </c>
      <c r="AV230" s="36">
        <v>5</v>
      </c>
      <c r="AW230" s="36">
        <v>8</v>
      </c>
      <c r="AX230" s="36"/>
      <c r="AY230" s="36"/>
      <c r="AZ230" s="36"/>
      <c r="BA230" s="36"/>
      <c r="BB230" s="36"/>
      <c r="BC230" s="36">
        <v>4</v>
      </c>
      <c r="BD230" s="36"/>
      <c r="BE230" s="36"/>
      <c r="BF230" s="36"/>
      <c r="BG230" s="36">
        <v>4</v>
      </c>
      <c r="BH230" s="36">
        <v>13</v>
      </c>
      <c r="BI230" s="36"/>
      <c r="BJ230" s="36"/>
      <c r="BK230" s="36"/>
      <c r="BL230" s="36"/>
      <c r="BM230" s="36"/>
      <c r="BN230" s="36"/>
      <c r="BO230" s="36">
        <v>1</v>
      </c>
      <c r="BP230" s="36"/>
      <c r="BQ230" s="36"/>
      <c r="BR230" s="36"/>
      <c r="BS230" s="36"/>
      <c r="BT230" s="36"/>
      <c r="BU230" s="36"/>
      <c r="BV230" s="36"/>
      <c r="BW230" s="36"/>
      <c r="BX230" s="36"/>
      <c r="BY230" s="36"/>
      <c r="BZ230" s="36"/>
      <c r="CA230" s="36"/>
      <c r="CB230" s="36"/>
      <c r="CC230" s="36"/>
      <c r="CD230" s="36"/>
      <c r="CE230" s="36"/>
      <c r="CF230" s="36"/>
      <c r="CG230" s="36">
        <v>10</v>
      </c>
      <c r="CH230" s="36"/>
      <c r="CI230" s="36"/>
      <c r="CK230" s="4" t="b">
        <f t="shared" si="3"/>
        <v>0</v>
      </c>
    </row>
    <row r="231" spans="1:89" ht="60" customHeight="1">
      <c r="A231" s="32" t="s">
        <v>144</v>
      </c>
      <c r="B231" s="32" t="s">
        <v>343</v>
      </c>
      <c r="C231" s="32" t="s">
        <v>381</v>
      </c>
      <c r="D231" s="34"/>
      <c r="E231" s="34">
        <v>100</v>
      </c>
      <c r="F231" s="34">
        <v>150</v>
      </c>
      <c r="G231" s="34">
        <v>100</v>
      </c>
      <c r="H231" s="34">
        <v>100</v>
      </c>
      <c r="I231" s="34">
        <v>100</v>
      </c>
      <c r="J231" s="34">
        <v>100</v>
      </c>
      <c r="K231" s="34">
        <v>100</v>
      </c>
      <c r="L231" s="34">
        <v>100</v>
      </c>
      <c r="M231" s="34">
        <v>100</v>
      </c>
      <c r="N231" s="34">
        <v>100</v>
      </c>
      <c r="O231" s="34">
        <v>100</v>
      </c>
      <c r="P231" s="34"/>
      <c r="Q231" s="34">
        <v>100</v>
      </c>
      <c r="R231" s="34">
        <v>100</v>
      </c>
      <c r="S231" s="34">
        <v>100</v>
      </c>
      <c r="T231" s="34">
        <v>100</v>
      </c>
      <c r="U231" s="34">
        <v>100</v>
      </c>
      <c r="V231" s="34">
        <v>100</v>
      </c>
      <c r="W231" s="34">
        <v>100</v>
      </c>
      <c r="X231" s="34">
        <v>100</v>
      </c>
      <c r="Y231" s="34">
        <v>100</v>
      </c>
      <c r="Z231" s="34">
        <v>100</v>
      </c>
      <c r="AA231" s="34">
        <v>100</v>
      </c>
      <c r="AB231" s="36"/>
      <c r="AC231" s="36">
        <v>91</v>
      </c>
      <c r="AD231" s="36">
        <v>40</v>
      </c>
      <c r="AE231" s="36">
        <v>29</v>
      </c>
      <c r="AF231" s="36">
        <v>29</v>
      </c>
      <c r="AG231" s="36">
        <v>28</v>
      </c>
      <c r="AH231" s="36">
        <v>24</v>
      </c>
      <c r="AI231" s="36">
        <v>28</v>
      </c>
      <c r="AJ231" s="36">
        <v>25</v>
      </c>
      <c r="AK231" s="36">
        <v>30</v>
      </c>
      <c r="AL231" s="36">
        <v>27</v>
      </c>
      <c r="AM231" s="36">
        <v>31</v>
      </c>
      <c r="AN231" s="36"/>
      <c r="AO231" s="36">
        <v>99</v>
      </c>
      <c r="AP231" s="36">
        <v>46</v>
      </c>
      <c r="AQ231" s="36">
        <v>29</v>
      </c>
      <c r="AR231" s="36">
        <v>30</v>
      </c>
      <c r="AS231" s="36">
        <v>30</v>
      </c>
      <c r="AT231" s="36">
        <v>21</v>
      </c>
      <c r="AU231" s="36">
        <v>29</v>
      </c>
      <c r="AV231" s="36">
        <v>30</v>
      </c>
      <c r="AW231" s="36">
        <v>24</v>
      </c>
      <c r="AX231" s="36">
        <v>28</v>
      </c>
      <c r="AY231" s="36">
        <v>34</v>
      </c>
      <c r="AZ231" s="36"/>
      <c r="BA231" s="36">
        <v>11</v>
      </c>
      <c r="BB231" s="36">
        <v>7</v>
      </c>
      <c r="BC231" s="36">
        <v>5</v>
      </c>
      <c r="BD231" s="36">
        <v>11</v>
      </c>
      <c r="BE231" s="36">
        <v>4</v>
      </c>
      <c r="BF231" s="36">
        <v>7</v>
      </c>
      <c r="BG231" s="36">
        <v>7</v>
      </c>
      <c r="BH231" s="36">
        <v>5</v>
      </c>
      <c r="BI231" s="36">
        <v>9</v>
      </c>
      <c r="BJ231" s="36">
        <v>11</v>
      </c>
      <c r="BK231" s="36">
        <v>11</v>
      </c>
      <c r="BL231" s="36"/>
      <c r="BM231" s="36">
        <v>7</v>
      </c>
      <c r="BN231" s="36">
        <v>8</v>
      </c>
      <c r="BO231" s="36">
        <v>4</v>
      </c>
      <c r="BP231" s="36">
        <v>8</v>
      </c>
      <c r="BQ231" s="36">
        <v>6</v>
      </c>
      <c r="BR231" s="36">
        <v>4</v>
      </c>
      <c r="BS231" s="36">
        <v>6</v>
      </c>
      <c r="BT231" s="36">
        <v>3</v>
      </c>
      <c r="BU231" s="36">
        <v>5</v>
      </c>
      <c r="BV231" s="36">
        <v>6</v>
      </c>
      <c r="BW231" s="36">
        <v>5</v>
      </c>
      <c r="BX231" s="36"/>
      <c r="BY231" s="36"/>
      <c r="BZ231" s="36"/>
      <c r="CA231" s="36"/>
      <c r="CB231" s="36"/>
      <c r="CC231" s="36"/>
      <c r="CD231" s="36"/>
      <c r="CE231" s="36"/>
      <c r="CF231" s="36"/>
      <c r="CG231" s="36"/>
      <c r="CH231" s="36"/>
      <c r="CI231" s="36"/>
      <c r="CK231" s="4" t="b">
        <f t="shared" si="3"/>
        <v>0</v>
      </c>
    </row>
    <row r="232" spans="1:89" ht="75" customHeight="1">
      <c r="A232" s="32" t="s">
        <v>124</v>
      </c>
      <c r="B232" s="32" t="s">
        <v>289</v>
      </c>
      <c r="C232" s="32" t="s">
        <v>382</v>
      </c>
      <c r="D232" s="34"/>
      <c r="E232" s="34">
        <v>22.22</v>
      </c>
      <c r="F232" s="34">
        <v>100</v>
      </c>
      <c r="G232" s="34">
        <v>100</v>
      </c>
      <c r="H232" s="34">
        <v>100</v>
      </c>
      <c r="I232" s="34">
        <v>100</v>
      </c>
      <c r="J232" s="34">
        <v>100</v>
      </c>
      <c r="K232" s="34">
        <v>100</v>
      </c>
      <c r="L232" s="34">
        <v>100</v>
      </c>
      <c r="M232" s="34">
        <v>100</v>
      </c>
      <c r="N232" s="34"/>
      <c r="O232" s="34">
        <v>100</v>
      </c>
      <c r="P232" s="34"/>
      <c r="Q232" s="34">
        <v>100</v>
      </c>
      <c r="R232" s="34">
        <v>66.67</v>
      </c>
      <c r="S232" s="34"/>
      <c r="T232" s="34">
        <v>66.67</v>
      </c>
      <c r="U232" s="34">
        <v>100</v>
      </c>
      <c r="V232" s="34">
        <v>75</v>
      </c>
      <c r="W232" s="34"/>
      <c r="X232" s="34"/>
      <c r="Y232" s="34">
        <v>66.67</v>
      </c>
      <c r="Z232" s="34"/>
      <c r="AA232" s="34">
        <v>100</v>
      </c>
      <c r="AB232" s="36"/>
      <c r="AC232" s="36">
        <v>83</v>
      </c>
      <c r="AD232" s="36">
        <v>80</v>
      </c>
      <c r="AE232" s="36">
        <v>71</v>
      </c>
      <c r="AF232" s="36">
        <v>88</v>
      </c>
      <c r="AG232" s="36">
        <v>73</v>
      </c>
      <c r="AH232" s="36">
        <v>82</v>
      </c>
      <c r="AI232" s="36">
        <v>58</v>
      </c>
      <c r="AJ232" s="36">
        <v>50</v>
      </c>
      <c r="AK232" s="36">
        <v>73</v>
      </c>
      <c r="AL232" s="36"/>
      <c r="AM232" s="36">
        <v>101</v>
      </c>
      <c r="AN232" s="36"/>
      <c r="AO232" s="36">
        <v>85</v>
      </c>
      <c r="AP232" s="36">
        <v>78</v>
      </c>
      <c r="AQ232" s="36">
        <v>69</v>
      </c>
      <c r="AR232" s="36">
        <v>78</v>
      </c>
      <c r="AS232" s="36">
        <v>81</v>
      </c>
      <c r="AT232" s="36">
        <v>74</v>
      </c>
      <c r="AU232" s="36">
        <v>57</v>
      </c>
      <c r="AV232" s="36">
        <v>70</v>
      </c>
      <c r="AW232" s="36">
        <v>68</v>
      </c>
      <c r="AX232" s="36"/>
      <c r="AY232" s="36">
        <v>87</v>
      </c>
      <c r="AZ232" s="36"/>
      <c r="BA232" s="36">
        <v>8</v>
      </c>
      <c r="BB232" s="36">
        <v>58</v>
      </c>
      <c r="BC232" s="36">
        <v>49</v>
      </c>
      <c r="BD232" s="36">
        <v>37</v>
      </c>
      <c r="BE232" s="36">
        <v>21</v>
      </c>
      <c r="BF232" s="36">
        <v>44</v>
      </c>
      <c r="BG232" s="36">
        <v>35</v>
      </c>
      <c r="BH232" s="36">
        <v>21</v>
      </c>
      <c r="BI232" s="36">
        <v>30</v>
      </c>
      <c r="BJ232" s="36"/>
      <c r="BK232" s="36">
        <v>25</v>
      </c>
      <c r="BL232" s="36"/>
      <c r="BM232" s="36"/>
      <c r="BN232" s="36">
        <v>1</v>
      </c>
      <c r="BO232" s="36">
        <v>5</v>
      </c>
      <c r="BP232" s="36">
        <v>23</v>
      </c>
      <c r="BQ232" s="36">
        <v>23</v>
      </c>
      <c r="BR232" s="36">
        <v>25</v>
      </c>
      <c r="BS232" s="36">
        <v>15</v>
      </c>
      <c r="BT232" s="36">
        <v>13</v>
      </c>
      <c r="BU232" s="36">
        <v>10</v>
      </c>
      <c r="BV232" s="36"/>
      <c r="BW232" s="36">
        <v>4</v>
      </c>
      <c r="BX232" s="36"/>
      <c r="BY232" s="36"/>
      <c r="BZ232" s="36"/>
      <c r="CA232" s="36"/>
      <c r="CB232" s="36"/>
      <c r="CC232" s="36"/>
      <c r="CD232" s="36">
        <v>1</v>
      </c>
      <c r="CE232" s="36">
        <v>3</v>
      </c>
      <c r="CF232" s="36">
        <v>3</v>
      </c>
      <c r="CG232" s="36">
        <v>9</v>
      </c>
      <c r="CH232" s="36"/>
      <c r="CI232" s="36">
        <v>1</v>
      </c>
      <c r="CK232" s="4" t="b">
        <f t="shared" si="3"/>
        <v>0</v>
      </c>
    </row>
    <row r="233" spans="1:89" ht="75" customHeight="1">
      <c r="A233" s="32" t="s">
        <v>109</v>
      </c>
      <c r="B233" s="32" t="s">
        <v>194</v>
      </c>
      <c r="C233" s="32" t="s">
        <v>383</v>
      </c>
      <c r="D233" s="34"/>
      <c r="E233" s="34"/>
      <c r="F233" s="34">
        <v>175</v>
      </c>
      <c r="G233" s="34">
        <v>100</v>
      </c>
      <c r="H233" s="34"/>
      <c r="I233" s="34">
        <v>100</v>
      </c>
      <c r="J233" s="34">
        <v>100</v>
      </c>
      <c r="K233" s="34">
        <v>100</v>
      </c>
      <c r="L233" s="34"/>
      <c r="M233" s="34">
        <v>100</v>
      </c>
      <c r="N233" s="34">
        <v>200</v>
      </c>
      <c r="O233" s="34"/>
      <c r="P233" s="34"/>
      <c r="Q233" s="34"/>
      <c r="R233" s="34"/>
      <c r="S233" s="34"/>
      <c r="T233" s="34"/>
      <c r="U233" s="34">
        <v>100</v>
      </c>
      <c r="V233" s="34">
        <v>100</v>
      </c>
      <c r="W233" s="34">
        <v>100</v>
      </c>
      <c r="X233" s="34"/>
      <c r="Y233" s="34"/>
      <c r="Z233" s="34"/>
      <c r="AA233" s="34"/>
      <c r="AB233" s="36"/>
      <c r="AC233" s="36">
        <v>29</v>
      </c>
      <c r="AD233" s="36">
        <v>3</v>
      </c>
      <c r="AE233" s="36">
        <v>3</v>
      </c>
      <c r="AF233" s="36">
        <v>3</v>
      </c>
      <c r="AG233" s="36">
        <v>3</v>
      </c>
      <c r="AH233" s="36">
        <v>3</v>
      </c>
      <c r="AI233" s="36">
        <v>5</v>
      </c>
      <c r="AJ233" s="36">
        <v>6</v>
      </c>
      <c r="AK233" s="36">
        <v>4</v>
      </c>
      <c r="AL233" s="36">
        <v>3</v>
      </c>
      <c r="AM233" s="36"/>
      <c r="AN233" s="36"/>
      <c r="AO233" s="36">
        <v>10</v>
      </c>
      <c r="AP233" s="36">
        <v>4</v>
      </c>
      <c r="AQ233" s="36">
        <v>3</v>
      </c>
      <c r="AR233" s="36">
        <v>4</v>
      </c>
      <c r="AS233" s="36">
        <v>3</v>
      </c>
      <c r="AT233" s="36">
        <v>3</v>
      </c>
      <c r="AU233" s="36">
        <v>7</v>
      </c>
      <c r="AV233" s="36">
        <v>3</v>
      </c>
      <c r="AW233" s="36">
        <v>6</v>
      </c>
      <c r="AX233" s="36">
        <v>7</v>
      </c>
      <c r="AY233" s="36"/>
      <c r="AZ233" s="36"/>
      <c r="BA233" s="36">
        <v>2</v>
      </c>
      <c r="BB233" s="36">
        <v>6</v>
      </c>
      <c r="BC233" s="36"/>
      <c r="BD233" s="36">
        <v>2</v>
      </c>
      <c r="BE233" s="36">
        <v>1</v>
      </c>
      <c r="BF233" s="36"/>
      <c r="BG233" s="36">
        <v>3</v>
      </c>
      <c r="BH233" s="36">
        <v>3</v>
      </c>
      <c r="BI233" s="36">
        <v>3</v>
      </c>
      <c r="BJ233" s="36">
        <v>3</v>
      </c>
      <c r="BK233" s="36"/>
      <c r="BL233" s="36"/>
      <c r="BM233" s="36"/>
      <c r="BN233" s="36"/>
      <c r="BO233" s="36"/>
      <c r="BP233" s="36"/>
      <c r="BQ233" s="36"/>
      <c r="BR233" s="36">
        <v>2</v>
      </c>
      <c r="BS233" s="36"/>
      <c r="BT233" s="36"/>
      <c r="BU233" s="36"/>
      <c r="BV233" s="36">
        <v>3</v>
      </c>
      <c r="BW233" s="36"/>
      <c r="BX233" s="36"/>
      <c r="BY233" s="36"/>
      <c r="BZ233" s="36"/>
      <c r="CA233" s="36"/>
      <c r="CB233" s="36"/>
      <c r="CC233" s="36"/>
      <c r="CD233" s="36"/>
      <c r="CE233" s="36"/>
      <c r="CF233" s="36"/>
      <c r="CG233" s="36"/>
      <c r="CH233" s="36"/>
      <c r="CI233" s="36"/>
      <c r="CK233" s="4" t="b">
        <f t="shared" si="3"/>
        <v>0</v>
      </c>
    </row>
    <row r="234" spans="1:89" ht="75" customHeight="1">
      <c r="A234" s="32" t="s">
        <v>101</v>
      </c>
      <c r="B234" s="32" t="s">
        <v>284</v>
      </c>
      <c r="C234" s="32" t="s">
        <v>384</v>
      </c>
      <c r="D234" s="34"/>
      <c r="E234" s="34">
        <v>50</v>
      </c>
      <c r="F234" s="34">
        <v>100</v>
      </c>
      <c r="G234" s="34">
        <v>100</v>
      </c>
      <c r="H234" s="34">
        <v>75</v>
      </c>
      <c r="I234" s="34">
        <v>100</v>
      </c>
      <c r="J234" s="34">
        <v>75</v>
      </c>
      <c r="K234" s="34">
        <v>75</v>
      </c>
      <c r="L234" s="34">
        <v>100</v>
      </c>
      <c r="M234" s="34">
        <v>75</v>
      </c>
      <c r="N234" s="34">
        <v>125</v>
      </c>
      <c r="O234" s="34">
        <v>75</v>
      </c>
      <c r="P234" s="34"/>
      <c r="Q234" s="34"/>
      <c r="R234" s="34"/>
      <c r="S234" s="34">
        <v>250</v>
      </c>
      <c r="T234" s="34">
        <v>125</v>
      </c>
      <c r="U234" s="34">
        <v>75</v>
      </c>
      <c r="V234" s="34">
        <v>75</v>
      </c>
      <c r="W234" s="34">
        <v>75</v>
      </c>
      <c r="X234" s="34">
        <v>75</v>
      </c>
      <c r="Y234" s="34">
        <v>75</v>
      </c>
      <c r="Z234" s="34">
        <v>75</v>
      </c>
      <c r="AA234" s="34">
        <v>75</v>
      </c>
      <c r="AB234" s="36"/>
      <c r="AC234" s="36">
        <v>56</v>
      </c>
      <c r="AD234" s="36">
        <v>32</v>
      </c>
      <c r="AE234" s="36">
        <v>51</v>
      </c>
      <c r="AF234" s="36">
        <v>39</v>
      </c>
      <c r="AG234" s="36">
        <v>34</v>
      </c>
      <c r="AH234" s="36">
        <v>41</v>
      </c>
      <c r="AI234" s="36">
        <v>33</v>
      </c>
      <c r="AJ234" s="36">
        <v>9</v>
      </c>
      <c r="AK234" s="36">
        <v>37</v>
      </c>
      <c r="AL234" s="36">
        <v>54</v>
      </c>
      <c r="AM234" s="36">
        <v>40</v>
      </c>
      <c r="AN234" s="36"/>
      <c r="AO234" s="36">
        <v>454</v>
      </c>
      <c r="AP234" s="36">
        <v>34</v>
      </c>
      <c r="AQ234" s="36">
        <v>29</v>
      </c>
      <c r="AR234" s="36">
        <v>52</v>
      </c>
      <c r="AS234" s="36">
        <v>47</v>
      </c>
      <c r="AT234" s="36">
        <v>38</v>
      </c>
      <c r="AU234" s="36">
        <v>43</v>
      </c>
      <c r="AV234" s="36">
        <v>12</v>
      </c>
      <c r="AW234" s="36">
        <v>46</v>
      </c>
      <c r="AX234" s="36">
        <v>51</v>
      </c>
      <c r="AY234" s="36">
        <v>48</v>
      </c>
      <c r="AZ234" s="36"/>
      <c r="BA234" s="36">
        <v>38</v>
      </c>
      <c r="BB234" s="36">
        <v>37</v>
      </c>
      <c r="BC234" s="36">
        <v>30</v>
      </c>
      <c r="BD234" s="36">
        <v>32</v>
      </c>
      <c r="BE234" s="36">
        <v>46</v>
      </c>
      <c r="BF234" s="36">
        <v>37</v>
      </c>
      <c r="BG234" s="36">
        <v>26</v>
      </c>
      <c r="BH234" s="36">
        <v>34</v>
      </c>
      <c r="BI234" s="36">
        <v>45</v>
      </c>
      <c r="BJ234" s="36">
        <v>37</v>
      </c>
      <c r="BK234" s="36">
        <v>21</v>
      </c>
      <c r="BL234" s="36"/>
      <c r="BM234" s="36">
        <v>2</v>
      </c>
      <c r="BN234" s="36">
        <v>14</v>
      </c>
      <c r="BO234" s="36">
        <v>19</v>
      </c>
      <c r="BP234" s="36">
        <v>12</v>
      </c>
      <c r="BQ234" s="36">
        <v>27</v>
      </c>
      <c r="BR234" s="36">
        <v>8</v>
      </c>
      <c r="BS234" s="36">
        <v>12</v>
      </c>
      <c r="BT234" s="36">
        <v>29</v>
      </c>
      <c r="BU234" s="36">
        <v>16</v>
      </c>
      <c r="BV234" s="36">
        <v>20</v>
      </c>
      <c r="BW234" s="36">
        <v>22</v>
      </c>
      <c r="BX234" s="36"/>
      <c r="BY234" s="36">
        <v>2</v>
      </c>
      <c r="BZ234" s="36">
        <v>2</v>
      </c>
      <c r="CA234" s="36">
        <v>6</v>
      </c>
      <c r="CB234" s="36"/>
      <c r="CC234" s="36">
        <v>1</v>
      </c>
      <c r="CD234" s="36">
        <v>1</v>
      </c>
      <c r="CE234" s="36"/>
      <c r="CF234" s="36">
        <v>6</v>
      </c>
      <c r="CG234" s="36">
        <v>4</v>
      </c>
      <c r="CH234" s="36">
        <v>8</v>
      </c>
      <c r="CI234" s="36">
        <v>13</v>
      </c>
      <c r="CK234" s="4" t="b">
        <f t="shared" si="3"/>
        <v>0</v>
      </c>
    </row>
    <row r="235" spans="1:89" ht="75" customHeight="1">
      <c r="A235" s="32" t="s">
        <v>101</v>
      </c>
      <c r="B235" s="32" t="s">
        <v>242</v>
      </c>
      <c r="C235" s="32" t="s">
        <v>385</v>
      </c>
      <c r="D235" s="34"/>
      <c r="E235" s="34">
        <v>100</v>
      </c>
      <c r="F235" s="34">
        <v>100</v>
      </c>
      <c r="G235" s="34">
        <v>100</v>
      </c>
      <c r="H235" s="34">
        <v>100</v>
      </c>
      <c r="I235" s="34">
        <v>100</v>
      </c>
      <c r="J235" s="34">
        <v>100</v>
      </c>
      <c r="K235" s="34">
        <v>100</v>
      </c>
      <c r="L235" s="34"/>
      <c r="M235" s="34">
        <v>100</v>
      </c>
      <c r="N235" s="34">
        <v>100</v>
      </c>
      <c r="O235" s="34">
        <v>100</v>
      </c>
      <c r="P235" s="34"/>
      <c r="Q235" s="34">
        <v>100</v>
      </c>
      <c r="R235" s="34">
        <v>33.33</v>
      </c>
      <c r="S235" s="34">
        <v>66.67</v>
      </c>
      <c r="T235" s="34">
        <v>100</v>
      </c>
      <c r="U235" s="34">
        <v>66.67</v>
      </c>
      <c r="V235" s="34">
        <v>100</v>
      </c>
      <c r="W235" s="34">
        <v>100</v>
      </c>
      <c r="X235" s="34"/>
      <c r="Y235" s="34">
        <v>100</v>
      </c>
      <c r="Z235" s="34">
        <v>66.67</v>
      </c>
      <c r="AA235" s="34">
        <v>100</v>
      </c>
      <c r="AB235" s="36"/>
      <c r="AC235" s="36">
        <v>13</v>
      </c>
      <c r="AD235" s="36">
        <v>13</v>
      </c>
      <c r="AE235" s="36">
        <v>13</v>
      </c>
      <c r="AF235" s="36">
        <v>13</v>
      </c>
      <c r="AG235" s="36">
        <v>13</v>
      </c>
      <c r="AH235" s="36">
        <v>13</v>
      </c>
      <c r="AI235" s="36">
        <v>13</v>
      </c>
      <c r="AJ235" s="36">
        <v>14</v>
      </c>
      <c r="AK235" s="36">
        <v>14</v>
      </c>
      <c r="AL235" s="36">
        <v>14</v>
      </c>
      <c r="AM235" s="36">
        <v>14</v>
      </c>
      <c r="AN235" s="36"/>
      <c r="AO235" s="36">
        <v>13</v>
      </c>
      <c r="AP235" s="36">
        <v>13</v>
      </c>
      <c r="AQ235" s="36">
        <v>13</v>
      </c>
      <c r="AR235" s="36">
        <v>13</v>
      </c>
      <c r="AS235" s="36">
        <v>13</v>
      </c>
      <c r="AT235" s="36">
        <v>13</v>
      </c>
      <c r="AU235" s="36">
        <v>13</v>
      </c>
      <c r="AV235" s="36">
        <v>14</v>
      </c>
      <c r="AW235" s="36">
        <v>13</v>
      </c>
      <c r="AX235" s="36">
        <v>14</v>
      </c>
      <c r="AY235" s="36">
        <v>14</v>
      </c>
      <c r="AZ235" s="36"/>
      <c r="BA235" s="36">
        <v>5</v>
      </c>
      <c r="BB235" s="36">
        <v>6</v>
      </c>
      <c r="BC235" s="36">
        <v>4</v>
      </c>
      <c r="BD235" s="36">
        <v>3</v>
      </c>
      <c r="BE235" s="36">
        <v>3</v>
      </c>
      <c r="BF235" s="36">
        <v>4</v>
      </c>
      <c r="BG235" s="36">
        <v>4</v>
      </c>
      <c r="BH235" s="36">
        <v>6</v>
      </c>
      <c r="BI235" s="36">
        <v>5</v>
      </c>
      <c r="BJ235" s="36">
        <v>5</v>
      </c>
      <c r="BK235" s="36">
        <v>4</v>
      </c>
      <c r="BL235" s="36"/>
      <c r="BM235" s="36">
        <v>4</v>
      </c>
      <c r="BN235" s="36">
        <v>4</v>
      </c>
      <c r="BO235" s="36">
        <v>2</v>
      </c>
      <c r="BP235" s="36">
        <v>6</v>
      </c>
      <c r="BQ235" s="36">
        <v>3</v>
      </c>
      <c r="BR235" s="36">
        <v>4</v>
      </c>
      <c r="BS235" s="36">
        <v>5</v>
      </c>
      <c r="BT235" s="36">
        <v>3</v>
      </c>
      <c r="BU235" s="36">
        <v>4</v>
      </c>
      <c r="BV235" s="36">
        <v>4</v>
      </c>
      <c r="BW235" s="36">
        <v>4</v>
      </c>
      <c r="BX235" s="36"/>
      <c r="BY235" s="36">
        <v>1</v>
      </c>
      <c r="BZ235" s="36"/>
      <c r="CA235" s="36"/>
      <c r="CB235" s="36">
        <v>1</v>
      </c>
      <c r="CC235" s="36">
        <v>1</v>
      </c>
      <c r="CD235" s="36">
        <v>1</v>
      </c>
      <c r="CE235" s="36">
        <v>1</v>
      </c>
      <c r="CF235" s="36">
        <v>1</v>
      </c>
      <c r="CG235" s="36"/>
      <c r="CH235" s="36"/>
      <c r="CI235" s="36"/>
      <c r="CK235" s="4" t="b">
        <f t="shared" si="3"/>
        <v>0</v>
      </c>
    </row>
    <row r="236" spans="1:89" ht="60" customHeight="1">
      <c r="A236" s="32" t="s">
        <v>109</v>
      </c>
      <c r="B236" s="32" t="s">
        <v>251</v>
      </c>
      <c r="C236" s="32" t="s">
        <v>386</v>
      </c>
      <c r="D236" s="34"/>
      <c r="E236" s="34"/>
      <c r="F236" s="34">
        <v>100</v>
      </c>
      <c r="G236" s="34">
        <v>100</v>
      </c>
      <c r="H236" s="34">
        <v>100</v>
      </c>
      <c r="I236" s="34">
        <v>100</v>
      </c>
      <c r="J236" s="34">
        <v>100</v>
      </c>
      <c r="K236" s="34">
        <v>100</v>
      </c>
      <c r="L236" s="34">
        <v>100</v>
      </c>
      <c r="M236" s="34">
        <v>100</v>
      </c>
      <c r="N236" s="34">
        <v>100</v>
      </c>
      <c r="O236" s="34">
        <v>100</v>
      </c>
      <c r="P236" s="34"/>
      <c r="Q236" s="34"/>
      <c r="R236" s="34">
        <v>100</v>
      </c>
      <c r="S236" s="34">
        <v>100</v>
      </c>
      <c r="T236" s="34">
        <v>100</v>
      </c>
      <c r="U236" s="34">
        <v>100</v>
      </c>
      <c r="V236" s="34">
        <v>100</v>
      </c>
      <c r="W236" s="34">
        <v>100</v>
      </c>
      <c r="X236" s="34">
        <v>100</v>
      </c>
      <c r="Y236" s="34">
        <v>100</v>
      </c>
      <c r="Z236" s="34">
        <v>100</v>
      </c>
      <c r="AA236" s="34">
        <v>100</v>
      </c>
      <c r="AB236" s="36"/>
      <c r="AC236" s="36"/>
      <c r="AD236" s="36">
        <v>28</v>
      </c>
      <c r="AE236" s="36">
        <v>26</v>
      </c>
      <c r="AF236" s="36">
        <v>27</v>
      </c>
      <c r="AG236" s="36">
        <v>28</v>
      </c>
      <c r="AH236" s="36">
        <v>27</v>
      </c>
      <c r="AI236" s="36">
        <v>25</v>
      </c>
      <c r="AJ236" s="36">
        <v>26</v>
      </c>
      <c r="AK236" s="36">
        <v>30</v>
      </c>
      <c r="AL236" s="36">
        <v>29</v>
      </c>
      <c r="AM236" s="36">
        <v>26</v>
      </c>
      <c r="AN236" s="36"/>
      <c r="AO236" s="36"/>
      <c r="AP236" s="36">
        <v>28</v>
      </c>
      <c r="AQ236" s="36">
        <v>25</v>
      </c>
      <c r="AR236" s="36">
        <v>26</v>
      </c>
      <c r="AS236" s="36">
        <v>27</v>
      </c>
      <c r="AT236" s="36">
        <v>25</v>
      </c>
      <c r="AU236" s="36">
        <v>24</v>
      </c>
      <c r="AV236" s="36">
        <v>26</v>
      </c>
      <c r="AW236" s="36">
        <v>31</v>
      </c>
      <c r="AX236" s="36">
        <v>28</v>
      </c>
      <c r="AY236" s="36">
        <v>25</v>
      </c>
      <c r="AZ236" s="36"/>
      <c r="BA236" s="36"/>
      <c r="BB236" s="36">
        <v>8</v>
      </c>
      <c r="BC236" s="36">
        <v>14</v>
      </c>
      <c r="BD236" s="36">
        <v>14</v>
      </c>
      <c r="BE236" s="36">
        <v>7</v>
      </c>
      <c r="BF236" s="36">
        <v>11</v>
      </c>
      <c r="BG236" s="36">
        <v>8</v>
      </c>
      <c r="BH236" s="36">
        <v>12</v>
      </c>
      <c r="BI236" s="36">
        <v>11</v>
      </c>
      <c r="BJ236" s="36">
        <v>11</v>
      </c>
      <c r="BK236" s="36">
        <v>15</v>
      </c>
      <c r="BL236" s="36"/>
      <c r="BM236" s="36"/>
      <c r="BN236" s="36">
        <v>1</v>
      </c>
      <c r="BO236" s="36">
        <v>2</v>
      </c>
      <c r="BP236" s="36">
        <v>2</v>
      </c>
      <c r="BQ236" s="36">
        <v>2</v>
      </c>
      <c r="BR236" s="36">
        <v>2</v>
      </c>
      <c r="BS236" s="36">
        <v>3</v>
      </c>
      <c r="BT236" s="36">
        <v>4</v>
      </c>
      <c r="BU236" s="36">
        <v>2</v>
      </c>
      <c r="BV236" s="36">
        <v>3</v>
      </c>
      <c r="BW236" s="36">
        <v>3</v>
      </c>
      <c r="BX236" s="36"/>
      <c r="BY236" s="36"/>
      <c r="BZ236" s="36"/>
      <c r="CA236" s="36"/>
      <c r="CB236" s="36"/>
      <c r="CC236" s="36"/>
      <c r="CD236" s="36">
        <v>11</v>
      </c>
      <c r="CE236" s="36"/>
      <c r="CF236" s="36"/>
      <c r="CG236" s="36"/>
      <c r="CH236" s="36"/>
      <c r="CI236" s="36"/>
      <c r="CK236" s="4" t="b">
        <f t="shared" si="3"/>
        <v>0</v>
      </c>
    </row>
    <row r="237" spans="1:89" ht="60" customHeight="1">
      <c r="A237" s="32" t="s">
        <v>92</v>
      </c>
      <c r="B237" s="32" t="s">
        <v>153</v>
      </c>
      <c r="C237" s="32" t="s">
        <v>387</v>
      </c>
      <c r="D237" s="34"/>
      <c r="E237" s="34">
        <v>100</v>
      </c>
      <c r="F237" s="34">
        <v>100</v>
      </c>
      <c r="G237" s="34">
        <v>100</v>
      </c>
      <c r="H237" s="34">
        <v>100</v>
      </c>
      <c r="I237" s="34">
        <v>100</v>
      </c>
      <c r="J237" s="34">
        <v>100</v>
      </c>
      <c r="K237" s="34">
        <v>100</v>
      </c>
      <c r="L237" s="34">
        <v>100</v>
      </c>
      <c r="M237" s="34">
        <v>100</v>
      </c>
      <c r="N237" s="34">
        <v>100</v>
      </c>
      <c r="O237" s="34">
        <v>100</v>
      </c>
      <c r="P237" s="34"/>
      <c r="Q237" s="34">
        <v>100</v>
      </c>
      <c r="R237" s="34">
        <v>100</v>
      </c>
      <c r="S237" s="34">
        <v>100</v>
      </c>
      <c r="T237" s="34">
        <v>100</v>
      </c>
      <c r="U237" s="34">
        <v>100</v>
      </c>
      <c r="V237" s="34">
        <v>100</v>
      </c>
      <c r="W237" s="34">
        <v>100</v>
      </c>
      <c r="X237" s="34">
        <v>100</v>
      </c>
      <c r="Y237" s="34">
        <v>100</v>
      </c>
      <c r="Z237" s="34">
        <v>100</v>
      </c>
      <c r="AA237" s="34">
        <v>100</v>
      </c>
      <c r="AB237" s="36"/>
      <c r="AC237" s="36">
        <v>25</v>
      </c>
      <c r="AD237" s="36">
        <v>25</v>
      </c>
      <c r="AE237" s="36">
        <v>22</v>
      </c>
      <c r="AF237" s="36">
        <v>24</v>
      </c>
      <c r="AG237" s="36">
        <v>24</v>
      </c>
      <c r="AH237" s="36">
        <v>23</v>
      </c>
      <c r="AI237" s="36">
        <v>23</v>
      </c>
      <c r="AJ237" s="36">
        <v>23</v>
      </c>
      <c r="AK237" s="36">
        <v>23</v>
      </c>
      <c r="AL237" s="36">
        <v>27</v>
      </c>
      <c r="AM237" s="36">
        <v>27</v>
      </c>
      <c r="AN237" s="36"/>
      <c r="AO237" s="36">
        <v>25</v>
      </c>
      <c r="AP237" s="36">
        <v>24</v>
      </c>
      <c r="AQ237" s="36">
        <v>22</v>
      </c>
      <c r="AR237" s="36">
        <v>24</v>
      </c>
      <c r="AS237" s="36">
        <v>23</v>
      </c>
      <c r="AT237" s="36">
        <v>23</v>
      </c>
      <c r="AU237" s="36">
        <v>21</v>
      </c>
      <c r="AV237" s="36">
        <v>21</v>
      </c>
      <c r="AW237" s="36">
        <v>21</v>
      </c>
      <c r="AX237" s="36">
        <v>26</v>
      </c>
      <c r="AY237" s="36">
        <v>26</v>
      </c>
      <c r="AZ237" s="36"/>
      <c r="BA237" s="36">
        <v>14</v>
      </c>
      <c r="BB237" s="36">
        <v>8</v>
      </c>
      <c r="BC237" s="36">
        <v>6</v>
      </c>
      <c r="BD237" s="36">
        <v>14</v>
      </c>
      <c r="BE237" s="36">
        <v>12</v>
      </c>
      <c r="BF237" s="36">
        <v>7</v>
      </c>
      <c r="BG237" s="36">
        <v>9</v>
      </c>
      <c r="BH237" s="36">
        <v>6</v>
      </c>
      <c r="BI237" s="36">
        <v>3</v>
      </c>
      <c r="BJ237" s="36">
        <v>6</v>
      </c>
      <c r="BK237" s="36">
        <v>5</v>
      </c>
      <c r="BL237" s="36"/>
      <c r="BM237" s="36"/>
      <c r="BN237" s="36"/>
      <c r="BO237" s="36"/>
      <c r="BP237" s="36"/>
      <c r="BQ237" s="36"/>
      <c r="BR237" s="36"/>
      <c r="BS237" s="36"/>
      <c r="BT237" s="36"/>
      <c r="BU237" s="36"/>
      <c r="BV237" s="36"/>
      <c r="BW237" s="36"/>
      <c r="BX237" s="36"/>
      <c r="BY237" s="36"/>
      <c r="BZ237" s="36"/>
      <c r="CA237" s="36"/>
      <c r="CB237" s="36"/>
      <c r="CC237" s="36"/>
      <c r="CD237" s="36"/>
      <c r="CE237" s="36"/>
      <c r="CF237" s="36"/>
      <c r="CG237" s="36"/>
      <c r="CH237" s="36"/>
      <c r="CI237" s="36"/>
      <c r="CK237" s="4" t="b">
        <f t="shared" si="3"/>
        <v>0</v>
      </c>
    </row>
    <row r="238" spans="1:89" ht="60" customHeight="1">
      <c r="A238" s="32" t="s">
        <v>101</v>
      </c>
      <c r="B238" s="32" t="s">
        <v>102</v>
      </c>
      <c r="C238" s="32" t="s">
        <v>388</v>
      </c>
      <c r="D238" s="34"/>
      <c r="E238" s="34">
        <v>100</v>
      </c>
      <c r="F238" s="34">
        <v>100</v>
      </c>
      <c r="G238" s="34">
        <v>83.33</v>
      </c>
      <c r="H238" s="34">
        <v>8.33</v>
      </c>
      <c r="I238" s="34">
        <v>100</v>
      </c>
      <c r="J238" s="34">
        <v>100</v>
      </c>
      <c r="K238" s="34">
        <v>79.17</v>
      </c>
      <c r="L238" s="34">
        <v>83.33</v>
      </c>
      <c r="M238" s="34">
        <v>87.5</v>
      </c>
      <c r="N238" s="34">
        <v>90.91</v>
      </c>
      <c r="O238" s="34">
        <v>91.67</v>
      </c>
      <c r="P238" s="34"/>
      <c r="Q238" s="34"/>
      <c r="R238" s="34"/>
      <c r="S238" s="34"/>
      <c r="T238" s="34">
        <v>50</v>
      </c>
      <c r="U238" s="34"/>
      <c r="V238" s="34">
        <v>25</v>
      </c>
      <c r="W238" s="34"/>
      <c r="X238" s="34"/>
      <c r="Y238" s="34"/>
      <c r="Z238" s="34"/>
      <c r="AA238" s="34"/>
      <c r="AB238" s="36"/>
      <c r="AC238" s="36">
        <v>66</v>
      </c>
      <c r="AD238" s="36">
        <v>28</v>
      </c>
      <c r="AE238" s="36">
        <v>40</v>
      </c>
      <c r="AF238" s="36">
        <v>67</v>
      </c>
      <c r="AG238" s="36">
        <v>70</v>
      </c>
      <c r="AH238" s="36">
        <v>84</v>
      </c>
      <c r="AI238" s="36">
        <v>67</v>
      </c>
      <c r="AJ238" s="36">
        <v>53</v>
      </c>
      <c r="AK238" s="36">
        <v>58</v>
      </c>
      <c r="AL238" s="36">
        <v>69</v>
      </c>
      <c r="AM238" s="36">
        <v>67</v>
      </c>
      <c r="AN238" s="36"/>
      <c r="AO238" s="36">
        <v>39</v>
      </c>
      <c r="AP238" s="36">
        <v>33</v>
      </c>
      <c r="AQ238" s="36">
        <v>45</v>
      </c>
      <c r="AR238" s="36">
        <v>44</v>
      </c>
      <c r="AS238" s="36">
        <v>61</v>
      </c>
      <c r="AT238" s="36">
        <v>88</v>
      </c>
      <c r="AU238" s="36">
        <v>67</v>
      </c>
      <c r="AV238" s="36">
        <v>72</v>
      </c>
      <c r="AW238" s="36">
        <v>59</v>
      </c>
      <c r="AX238" s="36">
        <v>61</v>
      </c>
      <c r="AY238" s="36">
        <v>51</v>
      </c>
      <c r="AZ238" s="36"/>
      <c r="BA238" s="36">
        <v>33</v>
      </c>
      <c r="BB238" s="36">
        <v>73</v>
      </c>
      <c r="BC238" s="36">
        <v>34</v>
      </c>
      <c r="BD238" s="36">
        <v>31</v>
      </c>
      <c r="BE238" s="36">
        <v>30</v>
      </c>
      <c r="BF238" s="36">
        <v>76</v>
      </c>
      <c r="BG238" s="36">
        <v>40</v>
      </c>
      <c r="BH238" s="36">
        <v>24</v>
      </c>
      <c r="BI238" s="36">
        <v>44</v>
      </c>
      <c r="BJ238" s="36">
        <v>42</v>
      </c>
      <c r="BK238" s="36">
        <v>34</v>
      </c>
      <c r="BL238" s="36"/>
      <c r="BM238" s="36"/>
      <c r="BN238" s="36">
        <v>4</v>
      </c>
      <c r="BO238" s="36">
        <v>22</v>
      </c>
      <c r="BP238" s="36">
        <v>13</v>
      </c>
      <c r="BQ238" s="36">
        <v>22</v>
      </c>
      <c r="BR238" s="36">
        <v>29</v>
      </c>
      <c r="BS238" s="36">
        <v>16</v>
      </c>
      <c r="BT238" s="36">
        <v>23</v>
      </c>
      <c r="BU238" s="36">
        <v>47</v>
      </c>
      <c r="BV238" s="36">
        <v>25</v>
      </c>
      <c r="BW238" s="36">
        <v>20</v>
      </c>
      <c r="BX238" s="36"/>
      <c r="BY238" s="36"/>
      <c r="BZ238" s="36"/>
      <c r="CA238" s="36">
        <v>1</v>
      </c>
      <c r="CB238" s="36">
        <v>1</v>
      </c>
      <c r="CC238" s="36">
        <v>8</v>
      </c>
      <c r="CD238" s="36">
        <v>5</v>
      </c>
      <c r="CE238" s="36">
        <v>3</v>
      </c>
      <c r="CF238" s="36">
        <v>3</v>
      </c>
      <c r="CG238" s="36">
        <v>8</v>
      </c>
      <c r="CH238" s="36">
        <v>6</v>
      </c>
      <c r="CI238" s="36">
        <v>14</v>
      </c>
      <c r="CK238" s="4" t="b">
        <f t="shared" si="3"/>
        <v>0</v>
      </c>
    </row>
    <row r="239" spans="1:89" ht="60" customHeight="1">
      <c r="A239" s="32" t="s">
        <v>101</v>
      </c>
      <c r="B239" s="32" t="s">
        <v>102</v>
      </c>
      <c r="C239" s="32" t="s">
        <v>389</v>
      </c>
      <c r="D239" s="34"/>
      <c r="E239" s="34"/>
      <c r="F239" s="34"/>
      <c r="G239" s="34"/>
      <c r="H239" s="34"/>
      <c r="I239" s="34"/>
      <c r="J239" s="34"/>
      <c r="K239" s="34"/>
      <c r="L239" s="34"/>
      <c r="M239" s="34"/>
      <c r="N239" s="34"/>
      <c r="O239" s="34"/>
      <c r="P239" s="34"/>
      <c r="Q239" s="34"/>
      <c r="R239" s="34"/>
      <c r="S239" s="34"/>
      <c r="T239" s="34"/>
      <c r="U239" s="34"/>
      <c r="V239" s="34"/>
      <c r="W239" s="34"/>
      <c r="X239" s="34"/>
      <c r="Y239" s="34"/>
      <c r="Z239" s="34"/>
      <c r="AA239" s="34"/>
      <c r="AB239" s="36">
        <v>135</v>
      </c>
      <c r="AC239" s="36">
        <v>149</v>
      </c>
      <c r="AD239" s="36">
        <v>59</v>
      </c>
      <c r="AE239" s="36">
        <v>36</v>
      </c>
      <c r="AF239" s="36">
        <v>42</v>
      </c>
      <c r="AG239" s="36"/>
      <c r="AH239" s="36"/>
      <c r="AI239" s="36"/>
      <c r="AJ239" s="36">
        <v>7</v>
      </c>
      <c r="AK239" s="36">
        <v>13</v>
      </c>
      <c r="AL239" s="36">
        <v>9</v>
      </c>
      <c r="AM239" s="36">
        <v>45</v>
      </c>
      <c r="AN239" s="36">
        <v>135</v>
      </c>
      <c r="AO239" s="36">
        <v>129</v>
      </c>
      <c r="AP239" s="36">
        <v>75</v>
      </c>
      <c r="AQ239" s="36">
        <v>34</v>
      </c>
      <c r="AR239" s="36">
        <v>19</v>
      </c>
      <c r="AS239" s="36"/>
      <c r="AT239" s="36"/>
      <c r="AU239" s="36"/>
      <c r="AV239" s="36">
        <v>13</v>
      </c>
      <c r="AW239" s="36">
        <v>14</v>
      </c>
      <c r="AX239" s="36">
        <v>6</v>
      </c>
      <c r="AY239" s="36">
        <v>29</v>
      </c>
      <c r="AZ239" s="36">
        <v>110</v>
      </c>
      <c r="BA239" s="36">
        <v>89</v>
      </c>
      <c r="BB239" s="36">
        <v>60</v>
      </c>
      <c r="BC239" s="36"/>
      <c r="BD239" s="36">
        <v>61</v>
      </c>
      <c r="BE239" s="36">
        <v>43</v>
      </c>
      <c r="BF239" s="36">
        <v>23</v>
      </c>
      <c r="BG239" s="36">
        <v>23</v>
      </c>
      <c r="BH239" s="36">
        <v>69</v>
      </c>
      <c r="BI239" s="36">
        <v>87</v>
      </c>
      <c r="BJ239" s="36">
        <v>56</v>
      </c>
      <c r="BK239" s="36">
        <v>52</v>
      </c>
      <c r="BL239" s="36">
        <v>128</v>
      </c>
      <c r="BM239" s="36">
        <v>95</v>
      </c>
      <c r="BN239" s="36">
        <v>76</v>
      </c>
      <c r="BO239" s="36"/>
      <c r="BP239" s="36">
        <v>25</v>
      </c>
      <c r="BQ239" s="36">
        <v>31</v>
      </c>
      <c r="BR239" s="36">
        <v>3</v>
      </c>
      <c r="BS239" s="36">
        <v>19</v>
      </c>
      <c r="BT239" s="36">
        <v>36</v>
      </c>
      <c r="BU239" s="36">
        <v>38</v>
      </c>
      <c r="BV239" s="36">
        <v>53</v>
      </c>
      <c r="BW239" s="36">
        <v>28</v>
      </c>
      <c r="BX239" s="36">
        <v>43</v>
      </c>
      <c r="BY239" s="36">
        <v>34</v>
      </c>
      <c r="BZ239" s="36">
        <v>9</v>
      </c>
      <c r="CA239" s="36"/>
      <c r="CB239" s="36">
        <v>8</v>
      </c>
      <c r="CC239" s="36">
        <v>8</v>
      </c>
      <c r="CD239" s="36"/>
      <c r="CE239" s="36"/>
      <c r="CF239" s="36">
        <v>2</v>
      </c>
      <c r="CG239" s="36">
        <v>9</v>
      </c>
      <c r="CH239" s="36">
        <v>2</v>
      </c>
      <c r="CI239" s="36">
        <v>12</v>
      </c>
      <c r="CK239" s="4" t="b">
        <f t="shared" si="3"/>
        <v>0</v>
      </c>
    </row>
    <row r="240" spans="1:89" ht="60" customHeight="1">
      <c r="A240" s="32" t="s">
        <v>109</v>
      </c>
      <c r="B240" s="32" t="s">
        <v>127</v>
      </c>
      <c r="C240" s="32" t="s">
        <v>390</v>
      </c>
      <c r="D240" s="34"/>
      <c r="E240" s="34"/>
      <c r="F240" s="34">
        <v>100</v>
      </c>
      <c r="G240" s="34">
        <v>100</v>
      </c>
      <c r="H240" s="34"/>
      <c r="I240" s="34">
        <v>100</v>
      </c>
      <c r="J240" s="34"/>
      <c r="K240" s="34">
        <v>100</v>
      </c>
      <c r="L240" s="34">
        <v>100</v>
      </c>
      <c r="M240" s="34">
        <v>100</v>
      </c>
      <c r="N240" s="34">
        <v>100</v>
      </c>
      <c r="O240" s="34">
        <v>100</v>
      </c>
      <c r="P240" s="34"/>
      <c r="Q240" s="34"/>
      <c r="R240" s="34">
        <v>100</v>
      </c>
      <c r="S240" s="34">
        <v>100</v>
      </c>
      <c r="T240" s="34">
        <v>100</v>
      </c>
      <c r="U240" s="34">
        <v>100</v>
      </c>
      <c r="V240" s="34">
        <v>100</v>
      </c>
      <c r="W240" s="34">
        <v>100</v>
      </c>
      <c r="X240" s="34">
        <v>100</v>
      </c>
      <c r="Y240" s="34">
        <v>100</v>
      </c>
      <c r="Z240" s="34">
        <v>100</v>
      </c>
      <c r="AA240" s="34">
        <v>33.33</v>
      </c>
      <c r="AB240" s="36"/>
      <c r="AC240" s="36">
        <v>4</v>
      </c>
      <c r="AD240" s="36">
        <v>12</v>
      </c>
      <c r="AE240" s="36">
        <v>13</v>
      </c>
      <c r="AF240" s="36">
        <v>59</v>
      </c>
      <c r="AG240" s="36">
        <v>9</v>
      </c>
      <c r="AH240" s="36">
        <v>5</v>
      </c>
      <c r="AI240" s="36">
        <v>4</v>
      </c>
      <c r="AJ240" s="36">
        <v>5</v>
      </c>
      <c r="AK240" s="36">
        <v>7</v>
      </c>
      <c r="AL240" s="36">
        <v>12</v>
      </c>
      <c r="AM240" s="36">
        <v>9</v>
      </c>
      <c r="AN240" s="36"/>
      <c r="AO240" s="36">
        <v>5</v>
      </c>
      <c r="AP240" s="36">
        <v>18</v>
      </c>
      <c r="AQ240" s="36">
        <v>16</v>
      </c>
      <c r="AR240" s="36">
        <v>71</v>
      </c>
      <c r="AS240" s="36">
        <v>10</v>
      </c>
      <c r="AT240" s="36">
        <v>7</v>
      </c>
      <c r="AU240" s="36">
        <v>7</v>
      </c>
      <c r="AV240" s="36">
        <v>8</v>
      </c>
      <c r="AW240" s="36">
        <v>8</v>
      </c>
      <c r="AX240" s="36">
        <v>9</v>
      </c>
      <c r="AY240" s="36">
        <v>10</v>
      </c>
      <c r="AZ240" s="36"/>
      <c r="BA240" s="36">
        <v>3</v>
      </c>
      <c r="BB240" s="36">
        <v>5</v>
      </c>
      <c r="BC240" s="36">
        <v>11</v>
      </c>
      <c r="BD240" s="36">
        <v>7</v>
      </c>
      <c r="BE240" s="36">
        <v>23</v>
      </c>
      <c r="BF240" s="36">
        <v>3</v>
      </c>
      <c r="BG240" s="36">
        <v>5</v>
      </c>
      <c r="BH240" s="36">
        <v>5</v>
      </c>
      <c r="BI240" s="36">
        <v>8</v>
      </c>
      <c r="BJ240" s="36">
        <v>7</v>
      </c>
      <c r="BK240" s="36">
        <v>6</v>
      </c>
      <c r="BL240" s="36"/>
      <c r="BM240" s="36"/>
      <c r="BN240" s="36"/>
      <c r="BO240" s="36">
        <v>5</v>
      </c>
      <c r="BP240" s="36">
        <v>1</v>
      </c>
      <c r="BQ240" s="36"/>
      <c r="BR240" s="36"/>
      <c r="BS240" s="36"/>
      <c r="BT240" s="36"/>
      <c r="BU240" s="36">
        <v>1</v>
      </c>
      <c r="BV240" s="36">
        <v>1</v>
      </c>
      <c r="BW240" s="36">
        <v>2</v>
      </c>
      <c r="BX240" s="36"/>
      <c r="BY240" s="36"/>
      <c r="BZ240" s="36"/>
      <c r="CA240" s="36">
        <v>11</v>
      </c>
      <c r="CB240" s="36">
        <v>6</v>
      </c>
      <c r="CC240" s="36"/>
      <c r="CD240" s="36"/>
      <c r="CE240" s="36"/>
      <c r="CF240" s="36"/>
      <c r="CG240" s="36"/>
      <c r="CH240" s="36"/>
      <c r="CI240" s="36"/>
      <c r="CK240" s="4" t="b">
        <f t="shared" si="3"/>
        <v>0</v>
      </c>
    </row>
    <row r="241" spans="1:89" ht="75" customHeight="1">
      <c r="A241" s="32" t="s">
        <v>144</v>
      </c>
      <c r="B241" s="32" t="s">
        <v>151</v>
      </c>
      <c r="C241" s="32" t="s">
        <v>391</v>
      </c>
      <c r="D241" s="34"/>
      <c r="E241" s="34"/>
      <c r="F241" s="34"/>
      <c r="G241" s="34"/>
      <c r="H241" s="34"/>
      <c r="I241" s="34"/>
      <c r="J241" s="34"/>
      <c r="K241" s="34"/>
      <c r="L241" s="34"/>
      <c r="M241" s="34"/>
      <c r="N241" s="34"/>
      <c r="O241" s="34"/>
      <c r="P241" s="34"/>
      <c r="Q241" s="34"/>
      <c r="R241" s="34"/>
      <c r="S241" s="34"/>
      <c r="T241" s="34"/>
      <c r="U241" s="34"/>
      <c r="V241" s="34"/>
      <c r="W241" s="34"/>
      <c r="X241" s="34"/>
      <c r="Y241" s="34"/>
      <c r="Z241" s="34"/>
      <c r="AA241" s="34"/>
      <c r="AB241" s="36"/>
      <c r="AC241" s="36"/>
      <c r="AD241" s="36"/>
      <c r="AE241" s="36"/>
      <c r="AF241" s="36"/>
      <c r="AG241" s="36"/>
      <c r="AH241" s="36"/>
      <c r="AI241" s="36"/>
      <c r="AJ241" s="36"/>
      <c r="AK241" s="36"/>
      <c r="AL241" s="36"/>
      <c r="AM241" s="36"/>
      <c r="AN241" s="36"/>
      <c r="AO241" s="36"/>
      <c r="AP241" s="36"/>
      <c r="AQ241" s="36"/>
      <c r="AR241" s="36"/>
      <c r="AS241" s="36"/>
      <c r="AT241" s="36"/>
      <c r="AU241" s="36"/>
      <c r="AV241" s="36"/>
      <c r="AW241" s="36"/>
      <c r="AX241" s="36"/>
      <c r="AY241" s="36"/>
      <c r="AZ241" s="36"/>
      <c r="BA241" s="36"/>
      <c r="BB241" s="36">
        <v>2</v>
      </c>
      <c r="BC241" s="36"/>
      <c r="BD241" s="36"/>
      <c r="BE241" s="36"/>
      <c r="BF241" s="36"/>
      <c r="BG241" s="36"/>
      <c r="BH241" s="36"/>
      <c r="BI241" s="36"/>
      <c r="BJ241" s="36"/>
      <c r="BK241" s="36"/>
      <c r="BL241" s="36"/>
      <c r="BM241" s="36"/>
      <c r="BN241" s="36">
        <v>1</v>
      </c>
      <c r="BO241" s="36"/>
      <c r="BP241" s="36"/>
      <c r="BQ241" s="36"/>
      <c r="BR241" s="36"/>
      <c r="BS241" s="36"/>
      <c r="BT241" s="36"/>
      <c r="BU241" s="36"/>
      <c r="BV241" s="36"/>
      <c r="BW241" s="36"/>
      <c r="BX241" s="36"/>
      <c r="BY241" s="36"/>
      <c r="BZ241" s="36">
        <v>1</v>
      </c>
      <c r="CA241" s="36"/>
      <c r="CB241" s="36"/>
      <c r="CC241" s="36"/>
      <c r="CD241" s="36"/>
      <c r="CE241" s="36"/>
      <c r="CF241" s="36"/>
      <c r="CG241" s="36"/>
      <c r="CH241" s="36"/>
      <c r="CI241" s="36"/>
      <c r="CK241" s="4" t="b">
        <f t="shared" si="3"/>
        <v>0</v>
      </c>
    </row>
    <row r="242" spans="1:89" ht="60" customHeight="1">
      <c r="A242" s="32" t="s">
        <v>101</v>
      </c>
      <c r="B242" s="32" t="s">
        <v>242</v>
      </c>
      <c r="C242" s="32" t="s">
        <v>392</v>
      </c>
      <c r="D242" s="34"/>
      <c r="E242" s="34"/>
      <c r="F242" s="34">
        <v>100</v>
      </c>
      <c r="G242" s="34">
        <v>100</v>
      </c>
      <c r="H242" s="34">
        <v>100</v>
      </c>
      <c r="I242" s="34"/>
      <c r="J242" s="34"/>
      <c r="K242" s="34">
        <v>100</v>
      </c>
      <c r="L242" s="34">
        <v>100</v>
      </c>
      <c r="M242" s="34">
        <v>100</v>
      </c>
      <c r="N242" s="34">
        <v>100</v>
      </c>
      <c r="O242" s="34"/>
      <c r="P242" s="34"/>
      <c r="Q242" s="34"/>
      <c r="R242" s="34">
        <v>100</v>
      </c>
      <c r="S242" s="34">
        <v>100</v>
      </c>
      <c r="T242" s="34">
        <v>100</v>
      </c>
      <c r="U242" s="34"/>
      <c r="V242" s="34"/>
      <c r="W242" s="34"/>
      <c r="X242" s="34">
        <v>100</v>
      </c>
      <c r="Y242" s="34">
        <v>100</v>
      </c>
      <c r="Z242" s="34">
        <v>100</v>
      </c>
      <c r="AA242" s="34"/>
      <c r="AB242" s="36"/>
      <c r="AC242" s="36">
        <v>10</v>
      </c>
      <c r="AD242" s="36">
        <v>14</v>
      </c>
      <c r="AE242" s="36">
        <v>14</v>
      </c>
      <c r="AF242" s="36">
        <v>14</v>
      </c>
      <c r="AG242" s="36">
        <v>14</v>
      </c>
      <c r="AH242" s="36">
        <v>14</v>
      </c>
      <c r="AI242" s="36">
        <v>5</v>
      </c>
      <c r="AJ242" s="36">
        <v>14</v>
      </c>
      <c r="AK242" s="36">
        <v>15</v>
      </c>
      <c r="AL242" s="36">
        <v>15</v>
      </c>
      <c r="AM242" s="36"/>
      <c r="AN242" s="36"/>
      <c r="AO242" s="36">
        <v>8</v>
      </c>
      <c r="AP242" s="36">
        <v>14</v>
      </c>
      <c r="AQ242" s="36">
        <v>14</v>
      </c>
      <c r="AR242" s="36">
        <v>14</v>
      </c>
      <c r="AS242" s="36">
        <v>14</v>
      </c>
      <c r="AT242" s="36">
        <v>14</v>
      </c>
      <c r="AU242" s="36">
        <v>11</v>
      </c>
      <c r="AV242" s="36">
        <v>14</v>
      </c>
      <c r="AW242" s="36">
        <v>15</v>
      </c>
      <c r="AX242" s="36">
        <v>15</v>
      </c>
      <c r="AY242" s="36"/>
      <c r="AZ242" s="36"/>
      <c r="BA242" s="36">
        <v>5</v>
      </c>
      <c r="BB242" s="36">
        <v>6</v>
      </c>
      <c r="BC242" s="36">
        <v>23</v>
      </c>
      <c r="BD242" s="36">
        <v>7</v>
      </c>
      <c r="BE242" s="36">
        <v>8</v>
      </c>
      <c r="BF242" s="36">
        <v>15</v>
      </c>
      <c r="BG242" s="36">
        <v>5</v>
      </c>
      <c r="BH242" s="36">
        <v>12</v>
      </c>
      <c r="BI242" s="36">
        <v>11</v>
      </c>
      <c r="BJ242" s="36">
        <v>7</v>
      </c>
      <c r="BK242" s="36"/>
      <c r="BL242" s="36"/>
      <c r="BM242" s="36"/>
      <c r="BN242" s="36">
        <v>17</v>
      </c>
      <c r="BO242" s="36">
        <v>11</v>
      </c>
      <c r="BP242" s="36">
        <v>9</v>
      </c>
      <c r="BQ242" s="36">
        <v>11</v>
      </c>
      <c r="BR242" s="36">
        <v>14</v>
      </c>
      <c r="BS242" s="36">
        <v>3</v>
      </c>
      <c r="BT242" s="36">
        <v>20</v>
      </c>
      <c r="BU242" s="36"/>
      <c r="BV242" s="36"/>
      <c r="BW242" s="36"/>
      <c r="BX242" s="36"/>
      <c r="BY242" s="36"/>
      <c r="BZ242" s="36"/>
      <c r="CA242" s="36"/>
      <c r="CB242" s="36"/>
      <c r="CC242" s="36"/>
      <c r="CD242" s="36"/>
      <c r="CE242" s="36"/>
      <c r="CF242" s="36"/>
      <c r="CG242" s="36"/>
      <c r="CH242" s="36"/>
      <c r="CI242" s="36"/>
      <c r="CK242" s="4" t="b">
        <f t="shared" si="3"/>
        <v>0</v>
      </c>
    </row>
    <row r="243" spans="1:89" ht="75" customHeight="1">
      <c r="A243" s="32" t="s">
        <v>124</v>
      </c>
      <c r="B243" s="32" t="s">
        <v>218</v>
      </c>
      <c r="C243" s="32" t="s">
        <v>393</v>
      </c>
      <c r="D243" s="34"/>
      <c r="E243" s="34">
        <v>50</v>
      </c>
      <c r="F243" s="34">
        <v>75</v>
      </c>
      <c r="G243" s="34">
        <v>100</v>
      </c>
      <c r="H243" s="34">
        <v>100</v>
      </c>
      <c r="I243" s="34">
        <v>100</v>
      </c>
      <c r="J243" s="34">
        <v>125</v>
      </c>
      <c r="K243" s="34"/>
      <c r="L243" s="34">
        <v>100</v>
      </c>
      <c r="M243" s="34">
        <v>100</v>
      </c>
      <c r="N243" s="34">
        <v>100</v>
      </c>
      <c r="O243" s="34">
        <v>50</v>
      </c>
      <c r="P243" s="34"/>
      <c r="Q243" s="34">
        <v>50</v>
      </c>
      <c r="R243" s="34">
        <v>75</v>
      </c>
      <c r="S243" s="34">
        <v>100</v>
      </c>
      <c r="T243" s="34">
        <v>80</v>
      </c>
      <c r="U243" s="34">
        <v>100</v>
      </c>
      <c r="V243" s="34">
        <v>125</v>
      </c>
      <c r="W243" s="34"/>
      <c r="X243" s="34">
        <v>100</v>
      </c>
      <c r="Y243" s="34">
        <v>100</v>
      </c>
      <c r="Z243" s="34">
        <v>100</v>
      </c>
      <c r="AA243" s="34">
        <v>100</v>
      </c>
      <c r="AB243" s="36"/>
      <c r="AC243" s="36">
        <v>17</v>
      </c>
      <c r="AD243" s="36">
        <v>19</v>
      </c>
      <c r="AE243" s="36">
        <v>21</v>
      </c>
      <c r="AF243" s="36">
        <v>20</v>
      </c>
      <c r="AG243" s="36">
        <v>20</v>
      </c>
      <c r="AH243" s="36">
        <v>21</v>
      </c>
      <c r="AI243" s="36"/>
      <c r="AJ243" s="36">
        <v>20</v>
      </c>
      <c r="AK243" s="36">
        <v>20</v>
      </c>
      <c r="AL243" s="36">
        <v>19</v>
      </c>
      <c r="AM243" s="36">
        <v>26</v>
      </c>
      <c r="AN243" s="36"/>
      <c r="AO243" s="36">
        <v>306</v>
      </c>
      <c r="AP243" s="36">
        <v>18</v>
      </c>
      <c r="AQ243" s="36">
        <v>20</v>
      </c>
      <c r="AR243" s="36">
        <v>19</v>
      </c>
      <c r="AS243" s="36">
        <v>19</v>
      </c>
      <c r="AT243" s="36">
        <v>20</v>
      </c>
      <c r="AU243" s="36"/>
      <c r="AV243" s="36">
        <v>19</v>
      </c>
      <c r="AW243" s="36">
        <v>19</v>
      </c>
      <c r="AX243" s="36">
        <v>18</v>
      </c>
      <c r="AY243" s="36">
        <v>25</v>
      </c>
      <c r="AZ243" s="36"/>
      <c r="BA243" s="36"/>
      <c r="BB243" s="36"/>
      <c r="BC243" s="36"/>
      <c r="BD243" s="36"/>
      <c r="BE243" s="36"/>
      <c r="BF243" s="36"/>
      <c r="BG243" s="36"/>
      <c r="BH243" s="36"/>
      <c r="BI243" s="36">
        <v>16</v>
      </c>
      <c r="BJ243" s="36">
        <v>10</v>
      </c>
      <c r="BK243" s="36">
        <v>9</v>
      </c>
      <c r="BL243" s="36"/>
      <c r="BM243" s="36"/>
      <c r="BN243" s="36"/>
      <c r="BO243" s="36"/>
      <c r="BP243" s="36"/>
      <c r="BQ243" s="36"/>
      <c r="BR243" s="36"/>
      <c r="BS243" s="36"/>
      <c r="BT243" s="36"/>
      <c r="BU243" s="36"/>
      <c r="BV243" s="36">
        <v>3</v>
      </c>
      <c r="BW243" s="36">
        <v>1</v>
      </c>
      <c r="BX243" s="36"/>
      <c r="BY243" s="36">
        <v>13</v>
      </c>
      <c r="BZ243" s="36"/>
      <c r="CA243" s="36"/>
      <c r="CB243" s="36"/>
      <c r="CC243" s="36"/>
      <c r="CD243" s="36"/>
      <c r="CE243" s="36">
        <v>16</v>
      </c>
      <c r="CF243" s="36">
        <v>25</v>
      </c>
      <c r="CG243" s="36">
        <v>5</v>
      </c>
      <c r="CH243" s="36"/>
      <c r="CI243" s="36"/>
      <c r="CK243" s="4" t="b">
        <f t="shared" si="3"/>
        <v>0</v>
      </c>
    </row>
    <row r="244" spans="1:89" ht="75" customHeight="1">
      <c r="A244" s="32" t="s">
        <v>101</v>
      </c>
      <c r="B244" s="32" t="s">
        <v>148</v>
      </c>
      <c r="C244" s="32" t="s">
        <v>394</v>
      </c>
      <c r="D244" s="34"/>
      <c r="E244" s="34">
        <v>100</v>
      </c>
      <c r="F244" s="34">
        <v>100</v>
      </c>
      <c r="G244" s="34">
        <v>100</v>
      </c>
      <c r="H244" s="34">
        <v>100</v>
      </c>
      <c r="I244" s="34">
        <v>100</v>
      </c>
      <c r="J244" s="34">
        <v>100</v>
      </c>
      <c r="K244" s="34">
        <v>100</v>
      </c>
      <c r="L244" s="34">
        <v>100</v>
      </c>
      <c r="M244" s="34">
        <v>100</v>
      </c>
      <c r="N244" s="34">
        <v>100</v>
      </c>
      <c r="O244" s="34">
        <v>100</v>
      </c>
      <c r="P244" s="34"/>
      <c r="Q244" s="34">
        <v>100</v>
      </c>
      <c r="R244" s="34">
        <v>100</v>
      </c>
      <c r="S244" s="34">
        <v>100</v>
      </c>
      <c r="T244" s="34">
        <v>100</v>
      </c>
      <c r="U244" s="34">
        <v>100</v>
      </c>
      <c r="V244" s="34">
        <v>100</v>
      </c>
      <c r="W244" s="34">
        <v>75</v>
      </c>
      <c r="X244" s="34">
        <v>100</v>
      </c>
      <c r="Y244" s="34">
        <v>100</v>
      </c>
      <c r="Z244" s="34">
        <v>100</v>
      </c>
      <c r="AA244" s="34">
        <v>100</v>
      </c>
      <c r="AB244" s="36"/>
      <c r="AC244" s="36">
        <v>28</v>
      </c>
      <c r="AD244" s="36">
        <v>37</v>
      </c>
      <c r="AE244" s="36">
        <v>41</v>
      </c>
      <c r="AF244" s="36">
        <v>41</v>
      </c>
      <c r="AG244" s="36">
        <v>36</v>
      </c>
      <c r="AH244" s="36">
        <v>34</v>
      </c>
      <c r="AI244" s="36">
        <v>35</v>
      </c>
      <c r="AJ244" s="36">
        <v>49</v>
      </c>
      <c r="AK244" s="36">
        <v>48</v>
      </c>
      <c r="AL244" s="36">
        <v>55</v>
      </c>
      <c r="AM244" s="36">
        <v>53</v>
      </c>
      <c r="AN244" s="36"/>
      <c r="AO244" s="36">
        <v>74</v>
      </c>
      <c r="AP244" s="36">
        <v>36</v>
      </c>
      <c r="AQ244" s="36">
        <v>48</v>
      </c>
      <c r="AR244" s="36">
        <v>48</v>
      </c>
      <c r="AS244" s="36">
        <v>44</v>
      </c>
      <c r="AT244" s="36">
        <v>40</v>
      </c>
      <c r="AU244" s="36">
        <v>30</v>
      </c>
      <c r="AV244" s="36">
        <v>34</v>
      </c>
      <c r="AW244" s="36">
        <v>37</v>
      </c>
      <c r="AX244" s="36">
        <v>50</v>
      </c>
      <c r="AY244" s="36">
        <v>54</v>
      </c>
      <c r="AZ244" s="36"/>
      <c r="BA244" s="36">
        <v>24</v>
      </c>
      <c r="BB244" s="36">
        <v>23</v>
      </c>
      <c r="BC244" s="36">
        <v>15</v>
      </c>
      <c r="BD244" s="36">
        <v>17</v>
      </c>
      <c r="BE244" s="36">
        <v>18</v>
      </c>
      <c r="BF244" s="36">
        <v>7</v>
      </c>
      <c r="BG244" s="36">
        <v>9</v>
      </c>
      <c r="BH244" s="36">
        <v>5</v>
      </c>
      <c r="BI244" s="36">
        <v>18</v>
      </c>
      <c r="BJ244" s="36">
        <v>17</v>
      </c>
      <c r="BK244" s="36">
        <v>8</v>
      </c>
      <c r="BL244" s="36"/>
      <c r="BM244" s="36">
        <v>2</v>
      </c>
      <c r="BN244" s="36"/>
      <c r="BO244" s="36">
        <v>1</v>
      </c>
      <c r="BP244" s="36"/>
      <c r="BQ244" s="36">
        <v>1</v>
      </c>
      <c r="BR244" s="36"/>
      <c r="BS244" s="36"/>
      <c r="BT244" s="36">
        <v>2</v>
      </c>
      <c r="BU244" s="36"/>
      <c r="BV244" s="36"/>
      <c r="BW244" s="36"/>
      <c r="BX244" s="36"/>
      <c r="BY244" s="36"/>
      <c r="BZ244" s="36"/>
      <c r="CA244" s="36"/>
      <c r="CB244" s="36"/>
      <c r="CC244" s="36"/>
      <c r="CD244" s="36"/>
      <c r="CE244" s="36"/>
      <c r="CF244" s="36"/>
      <c r="CG244" s="36"/>
      <c r="CH244" s="36"/>
      <c r="CI244" s="36"/>
      <c r="CK244" s="4" t="b">
        <f t="shared" si="3"/>
        <v>0</v>
      </c>
    </row>
    <row r="245" spans="1:89" ht="60" customHeight="1">
      <c r="A245" s="32" t="s">
        <v>87</v>
      </c>
      <c r="B245" s="32" t="s">
        <v>232</v>
      </c>
      <c r="C245" s="32" t="s">
        <v>395</v>
      </c>
      <c r="D245" s="34"/>
      <c r="E245" s="34"/>
      <c r="F245" s="34"/>
      <c r="G245" s="34"/>
      <c r="H245" s="34"/>
      <c r="I245" s="34"/>
      <c r="J245" s="34"/>
      <c r="K245" s="34"/>
      <c r="L245" s="34"/>
      <c r="M245" s="34"/>
      <c r="N245" s="34">
        <v>100</v>
      </c>
      <c r="O245" s="34"/>
      <c r="P245" s="34"/>
      <c r="Q245" s="34"/>
      <c r="R245" s="34"/>
      <c r="S245" s="34"/>
      <c r="T245" s="34"/>
      <c r="U245" s="34"/>
      <c r="V245" s="34"/>
      <c r="W245" s="34"/>
      <c r="X245" s="34"/>
      <c r="Y245" s="34"/>
      <c r="Z245" s="34"/>
      <c r="AA245" s="34"/>
      <c r="AB245" s="36"/>
      <c r="AC245" s="36"/>
      <c r="AD245" s="36"/>
      <c r="AE245" s="36">
        <v>40</v>
      </c>
      <c r="AF245" s="36">
        <v>19</v>
      </c>
      <c r="AG245" s="36">
        <v>40</v>
      </c>
      <c r="AH245" s="36"/>
      <c r="AI245" s="36"/>
      <c r="AJ245" s="36">
        <v>40</v>
      </c>
      <c r="AK245" s="36">
        <v>42</v>
      </c>
      <c r="AL245" s="36">
        <v>48</v>
      </c>
      <c r="AM245" s="36"/>
      <c r="AN245" s="36"/>
      <c r="AO245" s="36"/>
      <c r="AP245" s="36"/>
      <c r="AQ245" s="36">
        <v>46</v>
      </c>
      <c r="AR245" s="36">
        <v>14</v>
      </c>
      <c r="AS245" s="36">
        <v>38</v>
      </c>
      <c r="AT245" s="36"/>
      <c r="AU245" s="36"/>
      <c r="AV245" s="36">
        <v>38</v>
      </c>
      <c r="AW245" s="36">
        <v>38</v>
      </c>
      <c r="AX245" s="36">
        <v>32</v>
      </c>
      <c r="AY245" s="36"/>
      <c r="AZ245" s="36"/>
      <c r="BA245" s="36"/>
      <c r="BB245" s="36"/>
      <c r="BC245" s="36">
        <v>6</v>
      </c>
      <c r="BD245" s="36">
        <v>14</v>
      </c>
      <c r="BE245" s="36">
        <v>6</v>
      </c>
      <c r="BF245" s="36"/>
      <c r="BG245" s="36"/>
      <c r="BH245" s="36">
        <v>6</v>
      </c>
      <c r="BI245" s="36">
        <v>6</v>
      </c>
      <c r="BJ245" s="36">
        <v>17</v>
      </c>
      <c r="BK245" s="36"/>
      <c r="BL245" s="36"/>
      <c r="BM245" s="36"/>
      <c r="BN245" s="36"/>
      <c r="BO245" s="36">
        <v>6</v>
      </c>
      <c r="BP245" s="36">
        <v>3</v>
      </c>
      <c r="BQ245" s="36">
        <v>4</v>
      </c>
      <c r="BR245" s="36"/>
      <c r="BS245" s="36"/>
      <c r="BT245" s="36">
        <v>4</v>
      </c>
      <c r="BU245" s="36">
        <v>20</v>
      </c>
      <c r="BV245" s="36">
        <v>8</v>
      </c>
      <c r="BW245" s="36"/>
      <c r="BX245" s="36"/>
      <c r="BY245" s="36"/>
      <c r="BZ245" s="36"/>
      <c r="CA245" s="36">
        <v>3</v>
      </c>
      <c r="CB245" s="36">
        <v>4</v>
      </c>
      <c r="CC245" s="36">
        <v>8</v>
      </c>
      <c r="CD245" s="36"/>
      <c r="CE245" s="36"/>
      <c r="CF245" s="36">
        <v>8</v>
      </c>
      <c r="CG245" s="36">
        <v>8</v>
      </c>
      <c r="CH245" s="36">
        <v>7</v>
      </c>
      <c r="CI245" s="36"/>
      <c r="CK245" s="4" t="b">
        <f t="shared" si="3"/>
        <v>0</v>
      </c>
    </row>
    <row r="246" spans="1:89" ht="60" customHeight="1">
      <c r="A246" s="32" t="s">
        <v>87</v>
      </c>
      <c r="B246" s="32" t="s">
        <v>90</v>
      </c>
      <c r="C246" s="32" t="s">
        <v>396</v>
      </c>
      <c r="D246" s="34"/>
      <c r="E246" s="34"/>
      <c r="F246" s="34"/>
      <c r="G246" s="34">
        <v>100</v>
      </c>
      <c r="H246" s="34">
        <v>100</v>
      </c>
      <c r="I246" s="34">
        <v>100</v>
      </c>
      <c r="J246" s="34">
        <v>100</v>
      </c>
      <c r="K246" s="34"/>
      <c r="L246" s="34"/>
      <c r="M246" s="34"/>
      <c r="N246" s="34"/>
      <c r="O246" s="34">
        <v>100</v>
      </c>
      <c r="P246" s="34"/>
      <c r="Q246" s="34"/>
      <c r="R246" s="34"/>
      <c r="S246" s="34"/>
      <c r="T246" s="34"/>
      <c r="U246" s="34"/>
      <c r="V246" s="34"/>
      <c r="W246" s="34"/>
      <c r="X246" s="34"/>
      <c r="Y246" s="34"/>
      <c r="Z246" s="34"/>
      <c r="AA246" s="34"/>
      <c r="AB246" s="36"/>
      <c r="AC246" s="36"/>
      <c r="AD246" s="36"/>
      <c r="AE246" s="36">
        <v>47</v>
      </c>
      <c r="AF246" s="36">
        <v>39</v>
      </c>
      <c r="AG246" s="36">
        <v>43</v>
      </c>
      <c r="AH246" s="36">
        <v>47</v>
      </c>
      <c r="AI246" s="36">
        <v>68</v>
      </c>
      <c r="AJ246" s="36">
        <v>41</v>
      </c>
      <c r="AK246" s="36">
        <v>51</v>
      </c>
      <c r="AL246" s="36">
        <v>78</v>
      </c>
      <c r="AM246" s="36">
        <v>61</v>
      </c>
      <c r="AN246" s="36"/>
      <c r="AO246" s="36"/>
      <c r="AP246" s="36"/>
      <c r="AQ246" s="36">
        <v>31</v>
      </c>
      <c r="AR246" s="36">
        <v>43</v>
      </c>
      <c r="AS246" s="36">
        <v>21</v>
      </c>
      <c r="AT246" s="36">
        <v>31</v>
      </c>
      <c r="AU246" s="36">
        <v>69</v>
      </c>
      <c r="AV246" s="36">
        <v>42</v>
      </c>
      <c r="AW246" s="36">
        <v>48</v>
      </c>
      <c r="AX246" s="36">
        <v>66</v>
      </c>
      <c r="AY246" s="36">
        <v>54</v>
      </c>
      <c r="AZ246" s="36"/>
      <c r="BA246" s="36"/>
      <c r="BB246" s="36"/>
      <c r="BC246" s="36">
        <v>45</v>
      </c>
      <c r="BD246" s="36">
        <v>45</v>
      </c>
      <c r="BE246" s="36">
        <v>45</v>
      </c>
      <c r="BF246" s="36">
        <v>45</v>
      </c>
      <c r="BG246" s="36">
        <v>45</v>
      </c>
      <c r="BH246" s="36">
        <v>44</v>
      </c>
      <c r="BI246" s="36"/>
      <c r="BJ246" s="36">
        <v>44</v>
      </c>
      <c r="BK246" s="36">
        <v>45</v>
      </c>
      <c r="BL246" s="36"/>
      <c r="BM246" s="36"/>
      <c r="BN246" s="36"/>
      <c r="BO246" s="36">
        <v>30</v>
      </c>
      <c r="BP246" s="36">
        <v>30</v>
      </c>
      <c r="BQ246" s="36">
        <v>30</v>
      </c>
      <c r="BR246" s="36">
        <v>30</v>
      </c>
      <c r="BS246" s="36">
        <v>30</v>
      </c>
      <c r="BT246" s="36">
        <v>34</v>
      </c>
      <c r="BU246" s="36">
        <v>84</v>
      </c>
      <c r="BV246" s="36"/>
      <c r="BW246" s="36">
        <v>30</v>
      </c>
      <c r="BX246" s="36"/>
      <c r="BY246" s="36"/>
      <c r="BZ246" s="36"/>
      <c r="CA246" s="36">
        <v>48</v>
      </c>
      <c r="CB246" s="36">
        <v>48</v>
      </c>
      <c r="CC246" s="36">
        <v>48</v>
      </c>
      <c r="CD246" s="36">
        <v>48</v>
      </c>
      <c r="CE246" s="36">
        <v>38</v>
      </c>
      <c r="CF246" s="36">
        <v>38</v>
      </c>
      <c r="CG246" s="36">
        <v>22</v>
      </c>
      <c r="CH246" s="36"/>
      <c r="CI246" s="36">
        <v>38</v>
      </c>
      <c r="CK246" s="4" t="b">
        <f t="shared" si="3"/>
        <v>0</v>
      </c>
    </row>
    <row r="247" spans="1:89" ht="90" customHeight="1">
      <c r="A247" s="32" t="s">
        <v>124</v>
      </c>
      <c r="B247" s="32" t="s">
        <v>174</v>
      </c>
      <c r="C247" s="32" t="s">
        <v>397</v>
      </c>
      <c r="D247" s="34"/>
      <c r="E247" s="34"/>
      <c r="F247" s="34"/>
      <c r="G247" s="34"/>
      <c r="H247" s="34"/>
      <c r="I247" s="34"/>
      <c r="J247" s="34"/>
      <c r="K247" s="34"/>
      <c r="L247" s="34"/>
      <c r="M247" s="34"/>
      <c r="N247" s="34"/>
      <c r="O247" s="34"/>
      <c r="P247" s="34"/>
      <c r="Q247" s="34"/>
      <c r="R247" s="34"/>
      <c r="S247" s="34"/>
      <c r="T247" s="34"/>
      <c r="U247" s="34"/>
      <c r="V247" s="34"/>
      <c r="W247" s="34"/>
      <c r="X247" s="34"/>
      <c r="Y247" s="34"/>
      <c r="Z247" s="34"/>
      <c r="AA247" s="34"/>
      <c r="AB247" s="36"/>
      <c r="AC247" s="36"/>
      <c r="AD247" s="36"/>
      <c r="AE247" s="36"/>
      <c r="AF247" s="36"/>
      <c r="AG247" s="36"/>
      <c r="AH247" s="36"/>
      <c r="AI247" s="36"/>
      <c r="AJ247" s="36"/>
      <c r="AK247" s="36"/>
      <c r="AL247" s="36"/>
      <c r="AM247" s="36"/>
      <c r="AN247" s="36"/>
      <c r="AO247" s="36"/>
      <c r="AP247" s="36"/>
      <c r="AQ247" s="36"/>
      <c r="AR247" s="36"/>
      <c r="AS247" s="36"/>
      <c r="AT247" s="36"/>
      <c r="AU247" s="36"/>
      <c r="AV247" s="36"/>
      <c r="AW247" s="36"/>
      <c r="AX247" s="36"/>
      <c r="AY247" s="36"/>
      <c r="AZ247" s="36"/>
      <c r="BA247" s="36"/>
      <c r="BB247" s="36">
        <v>13</v>
      </c>
      <c r="BC247" s="36">
        <v>14</v>
      </c>
      <c r="BD247" s="36">
        <v>13</v>
      </c>
      <c r="BE247" s="36">
        <v>17</v>
      </c>
      <c r="BF247" s="36"/>
      <c r="BG247" s="36"/>
      <c r="BH247" s="36"/>
      <c r="BI247" s="36"/>
      <c r="BJ247" s="36"/>
      <c r="BK247" s="36"/>
      <c r="BL247" s="36"/>
      <c r="BM247" s="36"/>
      <c r="BN247" s="36">
        <v>2</v>
      </c>
      <c r="BO247" s="36">
        <v>1</v>
      </c>
      <c r="BP247" s="36">
        <v>2</v>
      </c>
      <c r="BQ247" s="36">
        <v>2</v>
      </c>
      <c r="BR247" s="36"/>
      <c r="BS247" s="36"/>
      <c r="BT247" s="36"/>
      <c r="BU247" s="36"/>
      <c r="BV247" s="36"/>
      <c r="BW247" s="36"/>
      <c r="BX247" s="36"/>
      <c r="BY247" s="36"/>
      <c r="BZ247" s="36"/>
      <c r="CA247" s="36">
        <v>1</v>
      </c>
      <c r="CB247" s="36">
        <v>1</v>
      </c>
      <c r="CC247" s="36"/>
      <c r="CD247" s="36"/>
      <c r="CE247" s="36"/>
      <c r="CF247" s="36"/>
      <c r="CG247" s="36"/>
      <c r="CH247" s="36"/>
      <c r="CI247" s="36"/>
      <c r="CK247" s="4" t="b">
        <f t="shared" si="3"/>
        <v>0</v>
      </c>
    </row>
    <row r="248" spans="1:89" ht="120" customHeight="1">
      <c r="A248" s="32" t="s">
        <v>124</v>
      </c>
      <c r="B248" s="32" t="s">
        <v>125</v>
      </c>
      <c r="C248" s="32" t="s">
        <v>398</v>
      </c>
      <c r="D248" s="34"/>
      <c r="E248" s="34"/>
      <c r="F248" s="34"/>
      <c r="G248" s="34"/>
      <c r="H248" s="34"/>
      <c r="I248" s="34">
        <v>100</v>
      </c>
      <c r="J248" s="34">
        <v>100</v>
      </c>
      <c r="K248" s="34">
        <v>100</v>
      </c>
      <c r="L248" s="34">
        <v>100</v>
      </c>
      <c r="M248" s="34">
        <v>100</v>
      </c>
      <c r="N248" s="34">
        <v>100</v>
      </c>
      <c r="O248" s="34">
        <v>100</v>
      </c>
      <c r="P248" s="34"/>
      <c r="Q248" s="34"/>
      <c r="R248" s="34"/>
      <c r="S248" s="34"/>
      <c r="T248" s="34"/>
      <c r="U248" s="34"/>
      <c r="V248" s="34"/>
      <c r="W248" s="34"/>
      <c r="X248" s="34"/>
      <c r="Y248" s="34"/>
      <c r="Z248" s="34"/>
      <c r="AA248" s="34"/>
      <c r="AB248" s="36"/>
      <c r="AC248" s="36"/>
      <c r="AD248" s="36"/>
      <c r="AE248" s="36"/>
      <c r="AF248" s="36"/>
      <c r="AG248" s="36">
        <v>6</v>
      </c>
      <c r="AH248" s="36">
        <v>9</v>
      </c>
      <c r="AI248" s="36">
        <v>7</v>
      </c>
      <c r="AJ248" s="36">
        <v>6</v>
      </c>
      <c r="AK248" s="36">
        <v>6</v>
      </c>
      <c r="AL248" s="36">
        <v>7</v>
      </c>
      <c r="AM248" s="36">
        <v>5</v>
      </c>
      <c r="AN248" s="36"/>
      <c r="AO248" s="36"/>
      <c r="AP248" s="36"/>
      <c r="AQ248" s="36"/>
      <c r="AR248" s="36"/>
      <c r="AS248" s="36">
        <v>2</v>
      </c>
      <c r="AT248" s="36">
        <v>5</v>
      </c>
      <c r="AU248" s="36">
        <v>4</v>
      </c>
      <c r="AV248" s="36">
        <v>9</v>
      </c>
      <c r="AW248" s="36">
        <v>6</v>
      </c>
      <c r="AX248" s="36">
        <v>4</v>
      </c>
      <c r="AY248" s="36">
        <v>6</v>
      </c>
      <c r="AZ248" s="36"/>
      <c r="BA248" s="36"/>
      <c r="BB248" s="36"/>
      <c r="BC248" s="36"/>
      <c r="BD248" s="36"/>
      <c r="BE248" s="36">
        <v>7</v>
      </c>
      <c r="BF248" s="36">
        <v>14</v>
      </c>
      <c r="BG248" s="36">
        <v>27</v>
      </c>
      <c r="BH248" s="36">
        <v>6</v>
      </c>
      <c r="BI248" s="36">
        <v>4</v>
      </c>
      <c r="BJ248" s="36">
        <v>2</v>
      </c>
      <c r="BK248" s="36">
        <v>2</v>
      </c>
      <c r="BL248" s="36"/>
      <c r="BM248" s="36"/>
      <c r="BN248" s="36"/>
      <c r="BO248" s="36"/>
      <c r="BP248" s="36"/>
      <c r="BQ248" s="36">
        <v>5</v>
      </c>
      <c r="BR248" s="36">
        <v>5</v>
      </c>
      <c r="BS248" s="36">
        <v>4</v>
      </c>
      <c r="BT248" s="36">
        <v>6</v>
      </c>
      <c r="BU248" s="36">
        <v>6</v>
      </c>
      <c r="BV248" s="36">
        <v>4</v>
      </c>
      <c r="BW248" s="36">
        <v>3</v>
      </c>
      <c r="BX248" s="36"/>
      <c r="BY248" s="36"/>
      <c r="BZ248" s="36"/>
      <c r="CA248" s="36"/>
      <c r="CB248" s="36"/>
      <c r="CC248" s="36">
        <v>5</v>
      </c>
      <c r="CD248" s="36">
        <v>12</v>
      </c>
      <c r="CE248" s="36"/>
      <c r="CF248" s="36">
        <v>4</v>
      </c>
      <c r="CG248" s="36">
        <v>1</v>
      </c>
      <c r="CH248" s="36"/>
      <c r="CI248" s="36">
        <v>1</v>
      </c>
      <c r="CK248" s="4" t="b">
        <f t="shared" si="3"/>
        <v>0</v>
      </c>
    </row>
    <row r="249" spans="1:89" ht="75" customHeight="1">
      <c r="A249" s="32" t="s">
        <v>92</v>
      </c>
      <c r="B249" s="32" t="s">
        <v>99</v>
      </c>
      <c r="C249" s="32" t="s">
        <v>399</v>
      </c>
      <c r="D249" s="34"/>
      <c r="E249" s="34"/>
      <c r="F249" s="34">
        <v>100</v>
      </c>
      <c r="G249" s="34">
        <v>100</v>
      </c>
      <c r="H249" s="34">
        <v>100</v>
      </c>
      <c r="I249" s="34">
        <v>100</v>
      </c>
      <c r="J249" s="34">
        <v>100</v>
      </c>
      <c r="K249" s="34">
        <v>100</v>
      </c>
      <c r="L249" s="34">
        <v>100</v>
      </c>
      <c r="M249" s="34">
        <v>100</v>
      </c>
      <c r="N249" s="34">
        <v>100</v>
      </c>
      <c r="O249" s="34">
        <v>75</v>
      </c>
      <c r="P249" s="34"/>
      <c r="Q249" s="34"/>
      <c r="R249" s="34"/>
      <c r="S249" s="34"/>
      <c r="T249" s="34"/>
      <c r="U249" s="34"/>
      <c r="V249" s="34"/>
      <c r="W249" s="34"/>
      <c r="X249" s="34"/>
      <c r="Y249" s="34"/>
      <c r="Z249" s="34"/>
      <c r="AA249" s="34"/>
      <c r="AB249" s="36"/>
      <c r="AC249" s="36">
        <v>4</v>
      </c>
      <c r="AD249" s="36">
        <v>8</v>
      </c>
      <c r="AE249" s="36">
        <v>9</v>
      </c>
      <c r="AF249" s="36">
        <v>10</v>
      </c>
      <c r="AG249" s="36">
        <v>8</v>
      </c>
      <c r="AH249" s="36">
        <v>9</v>
      </c>
      <c r="AI249" s="36">
        <v>7</v>
      </c>
      <c r="AJ249" s="36">
        <v>10</v>
      </c>
      <c r="AK249" s="36">
        <v>9</v>
      </c>
      <c r="AL249" s="36">
        <v>13</v>
      </c>
      <c r="AM249" s="36">
        <v>8</v>
      </c>
      <c r="AN249" s="36"/>
      <c r="AO249" s="36">
        <v>4</v>
      </c>
      <c r="AP249" s="36">
        <v>7</v>
      </c>
      <c r="AQ249" s="36">
        <v>9</v>
      </c>
      <c r="AR249" s="36">
        <v>8</v>
      </c>
      <c r="AS249" s="36">
        <v>7</v>
      </c>
      <c r="AT249" s="36">
        <v>8</v>
      </c>
      <c r="AU249" s="36">
        <v>8</v>
      </c>
      <c r="AV249" s="36">
        <v>9</v>
      </c>
      <c r="AW249" s="36">
        <v>9</v>
      </c>
      <c r="AX249" s="36">
        <v>10</v>
      </c>
      <c r="AY249" s="36">
        <v>9</v>
      </c>
      <c r="AZ249" s="36"/>
      <c r="BA249" s="36">
        <v>5</v>
      </c>
      <c r="BB249" s="36">
        <v>3</v>
      </c>
      <c r="BC249" s="36">
        <v>5</v>
      </c>
      <c r="BD249" s="36">
        <v>3</v>
      </c>
      <c r="BE249" s="36">
        <v>1</v>
      </c>
      <c r="BF249" s="36">
        <v>4</v>
      </c>
      <c r="BG249" s="36">
        <v>8</v>
      </c>
      <c r="BH249" s="36">
        <v>4</v>
      </c>
      <c r="BI249" s="36">
        <v>8</v>
      </c>
      <c r="BJ249" s="36">
        <v>1</v>
      </c>
      <c r="BK249" s="36">
        <v>2</v>
      </c>
      <c r="BL249" s="36"/>
      <c r="BM249" s="36"/>
      <c r="BN249" s="36">
        <v>1</v>
      </c>
      <c r="BO249" s="36"/>
      <c r="BP249" s="36"/>
      <c r="BQ249" s="36">
        <v>1</v>
      </c>
      <c r="BR249" s="36"/>
      <c r="BS249" s="36"/>
      <c r="BT249" s="36">
        <v>1</v>
      </c>
      <c r="BU249" s="36">
        <v>1</v>
      </c>
      <c r="BV249" s="36">
        <v>1</v>
      </c>
      <c r="BW249" s="36">
        <v>2</v>
      </c>
      <c r="BX249" s="36"/>
      <c r="BY249" s="36"/>
      <c r="BZ249" s="36"/>
      <c r="CA249" s="36"/>
      <c r="CB249" s="36"/>
      <c r="CC249" s="36"/>
      <c r="CD249" s="36"/>
      <c r="CE249" s="36"/>
      <c r="CF249" s="36"/>
      <c r="CG249" s="36"/>
      <c r="CH249" s="36"/>
      <c r="CI249" s="36"/>
      <c r="CK249" s="4" t="b">
        <f t="shared" si="3"/>
        <v>0</v>
      </c>
    </row>
    <row r="250" spans="1:89" ht="90" customHeight="1">
      <c r="A250" s="32" t="s">
        <v>144</v>
      </c>
      <c r="B250" s="32" t="s">
        <v>316</v>
      </c>
      <c r="C250" s="32" t="s">
        <v>400</v>
      </c>
      <c r="D250" s="34"/>
      <c r="E250" s="34"/>
      <c r="F250" s="34">
        <v>100</v>
      </c>
      <c r="G250" s="34">
        <v>100</v>
      </c>
      <c r="H250" s="34">
        <v>75</v>
      </c>
      <c r="I250" s="34">
        <v>100</v>
      </c>
      <c r="J250" s="34">
        <v>75</v>
      </c>
      <c r="K250" s="34">
        <v>100</v>
      </c>
      <c r="L250" s="34">
        <v>100</v>
      </c>
      <c r="M250" s="34">
        <v>100</v>
      </c>
      <c r="N250" s="34">
        <v>100</v>
      </c>
      <c r="O250" s="34">
        <v>100</v>
      </c>
      <c r="P250" s="34"/>
      <c r="Q250" s="34"/>
      <c r="R250" s="34"/>
      <c r="S250" s="34"/>
      <c r="T250" s="34">
        <v>50</v>
      </c>
      <c r="U250" s="34"/>
      <c r="V250" s="34"/>
      <c r="W250" s="34"/>
      <c r="X250" s="34"/>
      <c r="Y250" s="34">
        <v>50</v>
      </c>
      <c r="Z250" s="34"/>
      <c r="AA250" s="34">
        <v>200</v>
      </c>
      <c r="AB250" s="36"/>
      <c r="AC250" s="36">
        <v>20</v>
      </c>
      <c r="AD250" s="36"/>
      <c r="AE250" s="36">
        <v>3</v>
      </c>
      <c r="AF250" s="36">
        <v>2</v>
      </c>
      <c r="AG250" s="36">
        <v>7</v>
      </c>
      <c r="AH250" s="36">
        <v>4</v>
      </c>
      <c r="AI250" s="36">
        <v>3</v>
      </c>
      <c r="AJ250" s="36">
        <v>4</v>
      </c>
      <c r="AK250" s="36">
        <v>7</v>
      </c>
      <c r="AL250" s="36"/>
      <c r="AM250" s="36">
        <v>3</v>
      </c>
      <c r="AN250" s="36"/>
      <c r="AO250" s="36">
        <v>10</v>
      </c>
      <c r="AP250" s="36">
        <v>1</v>
      </c>
      <c r="AQ250" s="36">
        <v>10</v>
      </c>
      <c r="AR250" s="36">
        <v>7</v>
      </c>
      <c r="AS250" s="36">
        <v>5</v>
      </c>
      <c r="AT250" s="36">
        <v>2</v>
      </c>
      <c r="AU250" s="36">
        <v>2</v>
      </c>
      <c r="AV250" s="36">
        <v>2</v>
      </c>
      <c r="AW250" s="36">
        <v>9</v>
      </c>
      <c r="AX250" s="36">
        <v>2</v>
      </c>
      <c r="AY250" s="36">
        <v>6</v>
      </c>
      <c r="AZ250" s="36"/>
      <c r="BA250" s="36">
        <v>3</v>
      </c>
      <c r="BB250" s="36">
        <v>7</v>
      </c>
      <c r="BC250" s="36">
        <v>4</v>
      </c>
      <c r="BD250" s="36">
        <v>1</v>
      </c>
      <c r="BE250" s="36">
        <v>2</v>
      </c>
      <c r="BF250" s="36">
        <v>3</v>
      </c>
      <c r="BG250" s="36">
        <v>7</v>
      </c>
      <c r="BH250" s="36"/>
      <c r="BI250" s="36">
        <v>3</v>
      </c>
      <c r="BJ250" s="36">
        <v>5</v>
      </c>
      <c r="BK250" s="36">
        <v>1</v>
      </c>
      <c r="BL250" s="36"/>
      <c r="BM250" s="36">
        <v>1</v>
      </c>
      <c r="BN250" s="36"/>
      <c r="BO250" s="36">
        <v>1</v>
      </c>
      <c r="BP250" s="36">
        <v>1</v>
      </c>
      <c r="BQ250" s="36">
        <v>2</v>
      </c>
      <c r="BR250" s="36">
        <v>1</v>
      </c>
      <c r="BS250" s="36">
        <v>2</v>
      </c>
      <c r="BT250" s="36"/>
      <c r="BU250" s="36"/>
      <c r="BV250" s="36"/>
      <c r="BW250" s="36"/>
      <c r="BX250" s="36"/>
      <c r="BY250" s="36"/>
      <c r="BZ250" s="36"/>
      <c r="CA250" s="36"/>
      <c r="CB250" s="36"/>
      <c r="CC250" s="36"/>
      <c r="CD250" s="36"/>
      <c r="CE250" s="36"/>
      <c r="CF250" s="36"/>
      <c r="CG250" s="36"/>
      <c r="CH250" s="36"/>
      <c r="CI250" s="36"/>
      <c r="CK250" s="4" t="b">
        <f t="shared" si="3"/>
        <v>0</v>
      </c>
    </row>
    <row r="251" spans="1:89" ht="75" customHeight="1">
      <c r="A251" s="32" t="s">
        <v>87</v>
      </c>
      <c r="B251" s="32" t="s">
        <v>120</v>
      </c>
      <c r="C251" s="32" t="s">
        <v>401</v>
      </c>
      <c r="D251" s="34"/>
      <c r="E251" s="34">
        <v>57.14</v>
      </c>
      <c r="F251" s="34">
        <v>100</v>
      </c>
      <c r="G251" s="34">
        <v>100</v>
      </c>
      <c r="H251" s="34">
        <v>100</v>
      </c>
      <c r="I251" s="34">
        <v>100</v>
      </c>
      <c r="J251" s="34">
        <v>100</v>
      </c>
      <c r="K251" s="34">
        <v>100</v>
      </c>
      <c r="L251" s="34">
        <v>100</v>
      </c>
      <c r="M251" s="34">
        <v>100</v>
      </c>
      <c r="N251" s="34">
        <v>100</v>
      </c>
      <c r="O251" s="34">
        <v>100</v>
      </c>
      <c r="P251" s="34"/>
      <c r="Q251" s="34">
        <v>50</v>
      </c>
      <c r="R251" s="34">
        <v>100</v>
      </c>
      <c r="S251" s="34">
        <v>100</v>
      </c>
      <c r="T251" s="34">
        <v>75</v>
      </c>
      <c r="U251" s="34">
        <v>100</v>
      </c>
      <c r="V251" s="34">
        <v>125</v>
      </c>
      <c r="W251" s="34">
        <v>125</v>
      </c>
      <c r="X251" s="34">
        <v>125</v>
      </c>
      <c r="Y251" s="34">
        <v>100</v>
      </c>
      <c r="Z251" s="34"/>
      <c r="AA251" s="34">
        <v>75</v>
      </c>
      <c r="AB251" s="36"/>
      <c r="AC251" s="36">
        <v>112</v>
      </c>
      <c r="AD251" s="36">
        <v>92</v>
      </c>
      <c r="AE251" s="36">
        <v>112</v>
      </c>
      <c r="AF251" s="36">
        <v>151</v>
      </c>
      <c r="AG251" s="36">
        <v>149</v>
      </c>
      <c r="AH251" s="36">
        <v>182</v>
      </c>
      <c r="AI251" s="36">
        <v>159</v>
      </c>
      <c r="AJ251" s="36">
        <v>113</v>
      </c>
      <c r="AK251" s="36">
        <v>140</v>
      </c>
      <c r="AL251" s="36">
        <v>182</v>
      </c>
      <c r="AM251" s="36">
        <v>184</v>
      </c>
      <c r="AN251" s="36"/>
      <c r="AO251" s="36">
        <v>84</v>
      </c>
      <c r="AP251" s="36">
        <v>123</v>
      </c>
      <c r="AQ251" s="36">
        <v>116</v>
      </c>
      <c r="AR251" s="36">
        <v>131</v>
      </c>
      <c r="AS251" s="36">
        <v>140</v>
      </c>
      <c r="AT251" s="36">
        <v>146</v>
      </c>
      <c r="AU251" s="36">
        <v>214</v>
      </c>
      <c r="AV251" s="36">
        <v>181</v>
      </c>
      <c r="AW251" s="36">
        <v>171</v>
      </c>
      <c r="AX251" s="36">
        <v>163</v>
      </c>
      <c r="AY251" s="36">
        <v>155</v>
      </c>
      <c r="AZ251" s="36"/>
      <c r="BA251" s="36">
        <v>85</v>
      </c>
      <c r="BB251" s="36">
        <v>132</v>
      </c>
      <c r="BC251" s="36">
        <v>117</v>
      </c>
      <c r="BD251" s="36">
        <v>108</v>
      </c>
      <c r="BE251" s="36">
        <v>86</v>
      </c>
      <c r="BF251" s="36">
        <v>98</v>
      </c>
      <c r="BG251" s="36">
        <v>125</v>
      </c>
      <c r="BH251" s="36">
        <v>144</v>
      </c>
      <c r="BI251" s="36">
        <v>120</v>
      </c>
      <c r="BJ251" s="36">
        <v>86</v>
      </c>
      <c r="BK251" s="36">
        <v>107</v>
      </c>
      <c r="BL251" s="36"/>
      <c r="BM251" s="36">
        <v>7</v>
      </c>
      <c r="BN251" s="36">
        <v>11</v>
      </c>
      <c r="BO251" s="36">
        <v>9</v>
      </c>
      <c r="BP251" s="36">
        <v>50</v>
      </c>
      <c r="BQ251" s="36">
        <v>50</v>
      </c>
      <c r="BR251" s="36">
        <v>48</v>
      </c>
      <c r="BS251" s="36">
        <v>54</v>
      </c>
      <c r="BT251" s="36">
        <v>35</v>
      </c>
      <c r="BU251" s="36">
        <v>44</v>
      </c>
      <c r="BV251" s="36">
        <v>31</v>
      </c>
      <c r="BW251" s="36">
        <v>59</v>
      </c>
      <c r="BX251" s="36"/>
      <c r="BY251" s="36"/>
      <c r="BZ251" s="36"/>
      <c r="CA251" s="36"/>
      <c r="CB251" s="36">
        <v>1</v>
      </c>
      <c r="CC251" s="36"/>
      <c r="CD251" s="36"/>
      <c r="CE251" s="36">
        <v>2</v>
      </c>
      <c r="CF251" s="36">
        <v>3</v>
      </c>
      <c r="CG251" s="36">
        <v>5</v>
      </c>
      <c r="CH251" s="36">
        <v>2</v>
      </c>
      <c r="CI251" s="36">
        <v>3</v>
      </c>
      <c r="CK251" s="4" t="b">
        <f t="shared" si="3"/>
        <v>0</v>
      </c>
    </row>
    <row r="252" spans="1:89" ht="60" customHeight="1">
      <c r="A252" s="32" t="s">
        <v>87</v>
      </c>
      <c r="B252" s="32" t="s">
        <v>232</v>
      </c>
      <c r="C252" s="32" t="s">
        <v>402</v>
      </c>
      <c r="D252" s="34"/>
      <c r="E252" s="34">
        <v>75</v>
      </c>
      <c r="F252" s="34">
        <v>100</v>
      </c>
      <c r="G252" s="34">
        <v>100</v>
      </c>
      <c r="H252" s="34"/>
      <c r="I252" s="34">
        <v>112.5</v>
      </c>
      <c r="J252" s="34">
        <v>100</v>
      </c>
      <c r="K252" s="34">
        <v>66.67</v>
      </c>
      <c r="L252" s="34">
        <v>87.5</v>
      </c>
      <c r="M252" s="34">
        <v>100</v>
      </c>
      <c r="N252" s="34">
        <v>100</v>
      </c>
      <c r="O252" s="34">
        <v>100</v>
      </c>
      <c r="P252" s="34"/>
      <c r="Q252" s="34">
        <v>150</v>
      </c>
      <c r="R252" s="34">
        <v>25</v>
      </c>
      <c r="S252" s="34"/>
      <c r="T252" s="34"/>
      <c r="U252" s="34"/>
      <c r="V252" s="34"/>
      <c r="W252" s="34"/>
      <c r="X252" s="34"/>
      <c r="Y252" s="34"/>
      <c r="Z252" s="34"/>
      <c r="AA252" s="34"/>
      <c r="AB252" s="36"/>
      <c r="AC252" s="36">
        <v>80</v>
      </c>
      <c r="AD252" s="36">
        <v>26</v>
      </c>
      <c r="AE252" s="36">
        <v>23</v>
      </c>
      <c r="AF252" s="36">
        <v>42</v>
      </c>
      <c r="AG252" s="36">
        <v>20</v>
      </c>
      <c r="AH252" s="36">
        <v>17</v>
      </c>
      <c r="AI252" s="36">
        <v>18</v>
      </c>
      <c r="AJ252" s="36">
        <v>19</v>
      </c>
      <c r="AK252" s="36">
        <v>20</v>
      </c>
      <c r="AL252" s="36">
        <v>22</v>
      </c>
      <c r="AM252" s="36">
        <v>23</v>
      </c>
      <c r="AN252" s="36"/>
      <c r="AO252" s="36">
        <v>82</v>
      </c>
      <c r="AP252" s="36">
        <v>23</v>
      </c>
      <c r="AQ252" s="36">
        <v>19</v>
      </c>
      <c r="AR252" s="36">
        <v>38</v>
      </c>
      <c r="AS252" s="36">
        <v>16</v>
      </c>
      <c r="AT252" s="36">
        <v>9</v>
      </c>
      <c r="AU252" s="36">
        <v>15</v>
      </c>
      <c r="AV252" s="36">
        <v>18</v>
      </c>
      <c r="AW252" s="36">
        <v>21</v>
      </c>
      <c r="AX252" s="36">
        <v>24</v>
      </c>
      <c r="AY252" s="36">
        <v>20</v>
      </c>
      <c r="AZ252" s="36"/>
      <c r="BA252" s="36">
        <v>14</v>
      </c>
      <c r="BB252" s="36">
        <v>27</v>
      </c>
      <c r="BC252" s="36">
        <v>13</v>
      </c>
      <c r="BD252" s="36">
        <v>16</v>
      </c>
      <c r="BE252" s="36">
        <v>19</v>
      </c>
      <c r="BF252" s="36">
        <v>13</v>
      </c>
      <c r="BG252" s="36">
        <v>10</v>
      </c>
      <c r="BH252" s="36">
        <v>24</v>
      </c>
      <c r="BI252" s="36">
        <v>15</v>
      </c>
      <c r="BJ252" s="36">
        <v>15</v>
      </c>
      <c r="BK252" s="36">
        <v>22</v>
      </c>
      <c r="BL252" s="36"/>
      <c r="BM252" s="36"/>
      <c r="BN252" s="36">
        <v>2</v>
      </c>
      <c r="BO252" s="36">
        <v>9</v>
      </c>
      <c r="BP252" s="36">
        <v>15</v>
      </c>
      <c r="BQ252" s="36">
        <v>6</v>
      </c>
      <c r="BR252" s="36">
        <v>3</v>
      </c>
      <c r="BS252" s="36">
        <v>6</v>
      </c>
      <c r="BT252" s="36">
        <v>14</v>
      </c>
      <c r="BU252" s="36">
        <v>8</v>
      </c>
      <c r="BV252" s="36"/>
      <c r="BW252" s="36">
        <v>7</v>
      </c>
      <c r="BX252" s="36"/>
      <c r="BY252" s="36"/>
      <c r="BZ252" s="36"/>
      <c r="CA252" s="36"/>
      <c r="CB252" s="36"/>
      <c r="CC252" s="36"/>
      <c r="CD252" s="36"/>
      <c r="CE252" s="36"/>
      <c r="CF252" s="36">
        <v>1</v>
      </c>
      <c r="CG252" s="36">
        <v>1</v>
      </c>
      <c r="CH252" s="36"/>
      <c r="CI252" s="36">
        <v>4</v>
      </c>
      <c r="CK252" s="4" t="b">
        <f t="shared" si="3"/>
        <v>0</v>
      </c>
    </row>
    <row r="253" spans="1:89" ht="75" customHeight="1">
      <c r="A253" s="32" t="s">
        <v>101</v>
      </c>
      <c r="B253" s="32" t="s">
        <v>141</v>
      </c>
      <c r="C253" s="32" t="s">
        <v>403</v>
      </c>
      <c r="D253" s="34"/>
      <c r="E253" s="34"/>
      <c r="F253" s="34">
        <v>100</v>
      </c>
      <c r="G253" s="34">
        <v>100</v>
      </c>
      <c r="H253" s="34">
        <v>100</v>
      </c>
      <c r="I253" s="34">
        <v>100</v>
      </c>
      <c r="J253" s="34">
        <v>100</v>
      </c>
      <c r="K253" s="34"/>
      <c r="L253" s="34">
        <v>100</v>
      </c>
      <c r="M253" s="34">
        <v>100</v>
      </c>
      <c r="N253" s="34">
        <v>50</v>
      </c>
      <c r="O253" s="34">
        <v>50</v>
      </c>
      <c r="P253" s="34"/>
      <c r="Q253" s="34"/>
      <c r="R253" s="34">
        <v>100</v>
      </c>
      <c r="S253" s="34">
        <v>125</v>
      </c>
      <c r="T253" s="34">
        <v>100</v>
      </c>
      <c r="U253" s="34">
        <v>100</v>
      </c>
      <c r="V253" s="34">
        <v>100</v>
      </c>
      <c r="W253" s="34">
        <v>50</v>
      </c>
      <c r="X253" s="34">
        <v>100</v>
      </c>
      <c r="Y253" s="34">
        <v>100</v>
      </c>
      <c r="Z253" s="34">
        <v>100</v>
      </c>
      <c r="AA253" s="34">
        <v>100</v>
      </c>
      <c r="AB253" s="36"/>
      <c r="AC253" s="36">
        <v>12</v>
      </c>
      <c r="AD253" s="36">
        <v>32</v>
      </c>
      <c r="AE253" s="36">
        <v>34</v>
      </c>
      <c r="AF253" s="36">
        <v>37</v>
      </c>
      <c r="AG253" s="36">
        <v>39</v>
      </c>
      <c r="AH253" s="36">
        <v>33</v>
      </c>
      <c r="AI253" s="36">
        <v>13</v>
      </c>
      <c r="AJ253" s="36">
        <v>39</v>
      </c>
      <c r="AK253" s="36">
        <v>25</v>
      </c>
      <c r="AL253" s="36">
        <v>34</v>
      </c>
      <c r="AM253" s="36">
        <v>17</v>
      </c>
      <c r="AN253" s="36"/>
      <c r="AO253" s="36"/>
      <c r="AP253" s="36">
        <v>34</v>
      </c>
      <c r="AQ253" s="36">
        <v>35</v>
      </c>
      <c r="AR253" s="36">
        <v>34</v>
      </c>
      <c r="AS253" s="36">
        <v>41</v>
      </c>
      <c r="AT253" s="36">
        <v>21</v>
      </c>
      <c r="AU253" s="36">
        <v>23</v>
      </c>
      <c r="AV253" s="36">
        <v>30</v>
      </c>
      <c r="AW253" s="36">
        <v>23</v>
      </c>
      <c r="AX253" s="36">
        <v>27</v>
      </c>
      <c r="AY253" s="36">
        <v>28</v>
      </c>
      <c r="AZ253" s="36"/>
      <c r="BA253" s="36">
        <v>13</v>
      </c>
      <c r="BB253" s="36">
        <v>20</v>
      </c>
      <c r="BC253" s="36">
        <v>7</v>
      </c>
      <c r="BD253" s="36">
        <v>10</v>
      </c>
      <c r="BE253" s="36">
        <v>16</v>
      </c>
      <c r="BF253" s="36">
        <v>17</v>
      </c>
      <c r="BG253" s="36">
        <v>9</v>
      </c>
      <c r="BH253" s="36">
        <v>18</v>
      </c>
      <c r="BI253" s="36">
        <v>18</v>
      </c>
      <c r="BJ253" s="36">
        <v>17</v>
      </c>
      <c r="BK253" s="36">
        <v>19</v>
      </c>
      <c r="BL253" s="36"/>
      <c r="BM253" s="36"/>
      <c r="BN253" s="36"/>
      <c r="BO253" s="36"/>
      <c r="BP253" s="36">
        <v>2</v>
      </c>
      <c r="BQ253" s="36"/>
      <c r="BR253" s="36"/>
      <c r="BS253" s="36"/>
      <c r="BT253" s="36"/>
      <c r="BU253" s="36"/>
      <c r="BV253" s="36"/>
      <c r="BW253" s="36"/>
      <c r="BX253" s="36"/>
      <c r="BY253" s="36"/>
      <c r="BZ253" s="36"/>
      <c r="CA253" s="36"/>
      <c r="CB253" s="36"/>
      <c r="CC253" s="36"/>
      <c r="CD253" s="36"/>
      <c r="CE253" s="36"/>
      <c r="CF253" s="36"/>
      <c r="CG253" s="36"/>
      <c r="CH253" s="36"/>
      <c r="CI253" s="36"/>
      <c r="CK253" s="4" t="b">
        <f t="shared" si="3"/>
        <v>0</v>
      </c>
    </row>
    <row r="254" spans="1:89" ht="60" customHeight="1">
      <c r="A254" s="32" t="s">
        <v>87</v>
      </c>
      <c r="B254" s="32" t="s">
        <v>106</v>
      </c>
      <c r="C254" s="32" t="s">
        <v>404</v>
      </c>
      <c r="D254" s="34">
        <v>60</v>
      </c>
      <c r="E254" s="34">
        <v>74.19</v>
      </c>
      <c r="F254" s="34">
        <v>67.739999999999995</v>
      </c>
      <c r="G254" s="34">
        <v>73.33</v>
      </c>
      <c r="H254" s="34">
        <v>70.97</v>
      </c>
      <c r="I254" s="34">
        <v>66.67</v>
      </c>
      <c r="J254" s="34">
        <v>67.739999999999995</v>
      </c>
      <c r="K254" s="34">
        <v>67.739999999999995</v>
      </c>
      <c r="L254" s="34">
        <v>71.430000000000007</v>
      </c>
      <c r="M254" s="34">
        <v>64.52</v>
      </c>
      <c r="N254" s="34">
        <v>66.67</v>
      </c>
      <c r="O254" s="34"/>
      <c r="P254" s="34"/>
      <c r="Q254" s="34"/>
      <c r="R254" s="34"/>
      <c r="S254" s="34"/>
      <c r="T254" s="34"/>
      <c r="U254" s="34"/>
      <c r="V254" s="34"/>
      <c r="W254" s="34"/>
      <c r="X254" s="34"/>
      <c r="Y254" s="34"/>
      <c r="Z254" s="34"/>
      <c r="AA254" s="34"/>
      <c r="AB254" s="36">
        <v>130</v>
      </c>
      <c r="AC254" s="36">
        <v>102</v>
      </c>
      <c r="AD254" s="36">
        <v>73</v>
      </c>
      <c r="AE254" s="36">
        <v>70</v>
      </c>
      <c r="AF254" s="36">
        <v>104</v>
      </c>
      <c r="AG254" s="36">
        <v>71</v>
      </c>
      <c r="AH254" s="36">
        <v>43</v>
      </c>
      <c r="AI254" s="36">
        <v>26</v>
      </c>
      <c r="AJ254" s="36">
        <v>34</v>
      </c>
      <c r="AK254" s="36">
        <v>43</v>
      </c>
      <c r="AL254" s="36">
        <v>51</v>
      </c>
      <c r="AM254" s="36"/>
      <c r="AN254" s="36">
        <v>115</v>
      </c>
      <c r="AO254" s="36">
        <v>106</v>
      </c>
      <c r="AP254" s="36">
        <v>97</v>
      </c>
      <c r="AQ254" s="36">
        <v>60</v>
      </c>
      <c r="AR254" s="36">
        <v>64</v>
      </c>
      <c r="AS254" s="36">
        <v>105</v>
      </c>
      <c r="AT254" s="36">
        <v>61</v>
      </c>
      <c r="AU254" s="36">
        <v>34</v>
      </c>
      <c r="AV254" s="36">
        <v>30</v>
      </c>
      <c r="AW254" s="36">
        <v>30</v>
      </c>
      <c r="AX254" s="36">
        <v>36</v>
      </c>
      <c r="AY254" s="36"/>
      <c r="AZ254" s="36">
        <v>40</v>
      </c>
      <c r="BA254" s="36">
        <v>59</v>
      </c>
      <c r="BB254" s="36">
        <v>137</v>
      </c>
      <c r="BC254" s="36">
        <v>91</v>
      </c>
      <c r="BD254" s="36">
        <v>127</v>
      </c>
      <c r="BE254" s="36">
        <v>91</v>
      </c>
      <c r="BF254" s="36">
        <v>27</v>
      </c>
      <c r="BG254" s="36">
        <v>88</v>
      </c>
      <c r="BH254" s="36">
        <v>123</v>
      </c>
      <c r="BI254" s="36">
        <v>87</v>
      </c>
      <c r="BJ254" s="36">
        <v>76</v>
      </c>
      <c r="BK254" s="36">
        <v>76</v>
      </c>
      <c r="BL254" s="36">
        <v>130</v>
      </c>
      <c r="BM254" s="36">
        <v>209</v>
      </c>
      <c r="BN254" s="36">
        <v>145</v>
      </c>
      <c r="BO254" s="36">
        <v>157</v>
      </c>
      <c r="BP254" s="36">
        <v>76</v>
      </c>
      <c r="BQ254" s="36">
        <v>67</v>
      </c>
      <c r="BR254" s="36">
        <v>18</v>
      </c>
      <c r="BS254" s="36">
        <v>8</v>
      </c>
      <c r="BT254" s="36">
        <v>56</v>
      </c>
      <c r="BU254" s="36">
        <v>118</v>
      </c>
      <c r="BV254" s="36">
        <v>84</v>
      </c>
      <c r="BW254" s="36">
        <v>84</v>
      </c>
      <c r="BX254" s="36"/>
      <c r="BY254" s="36"/>
      <c r="BZ254" s="36"/>
      <c r="CA254" s="36">
        <v>26</v>
      </c>
      <c r="CB254" s="36">
        <v>42</v>
      </c>
      <c r="CC254" s="36">
        <v>18</v>
      </c>
      <c r="CD254" s="36">
        <v>4</v>
      </c>
      <c r="CE254" s="36">
        <v>1</v>
      </c>
      <c r="CF254" s="36">
        <v>8</v>
      </c>
      <c r="CG254" s="36">
        <v>18</v>
      </c>
      <c r="CH254" s="36">
        <v>21</v>
      </c>
      <c r="CI254" s="36">
        <v>21</v>
      </c>
      <c r="CK254" s="4" t="b">
        <f t="shared" si="3"/>
        <v>1</v>
      </c>
    </row>
    <row r="255" spans="1:89" ht="60" customHeight="1">
      <c r="A255" s="32" t="s">
        <v>92</v>
      </c>
      <c r="B255" s="32" t="s">
        <v>405</v>
      </c>
      <c r="C255" s="32" t="s">
        <v>406</v>
      </c>
      <c r="D255" s="34"/>
      <c r="E255" s="34"/>
      <c r="F255" s="34">
        <v>100</v>
      </c>
      <c r="G255" s="34">
        <v>100</v>
      </c>
      <c r="H255" s="34">
        <v>100</v>
      </c>
      <c r="I255" s="34">
        <v>100</v>
      </c>
      <c r="J255" s="34">
        <v>100</v>
      </c>
      <c r="K255" s="34">
        <v>100</v>
      </c>
      <c r="L255" s="34">
        <v>100</v>
      </c>
      <c r="M255" s="34">
        <v>100</v>
      </c>
      <c r="N255" s="34">
        <v>100</v>
      </c>
      <c r="O255" s="34">
        <v>75</v>
      </c>
      <c r="P255" s="34"/>
      <c r="Q255" s="34"/>
      <c r="R255" s="34">
        <v>25</v>
      </c>
      <c r="S255" s="34">
        <v>25</v>
      </c>
      <c r="T255" s="34">
        <v>100</v>
      </c>
      <c r="U255" s="34"/>
      <c r="V255" s="34"/>
      <c r="W255" s="34"/>
      <c r="X255" s="34"/>
      <c r="Y255" s="34"/>
      <c r="Z255" s="34">
        <v>100</v>
      </c>
      <c r="AA255" s="34">
        <v>50</v>
      </c>
      <c r="AB255" s="36"/>
      <c r="AC255" s="36"/>
      <c r="AD255" s="36">
        <v>5</v>
      </c>
      <c r="AE255" s="36">
        <v>5</v>
      </c>
      <c r="AF255" s="36">
        <v>7</v>
      </c>
      <c r="AG255" s="36">
        <v>1</v>
      </c>
      <c r="AH255" s="36">
        <v>4</v>
      </c>
      <c r="AI255" s="36">
        <v>2</v>
      </c>
      <c r="AJ255" s="36">
        <v>7</v>
      </c>
      <c r="AK255" s="36">
        <v>6</v>
      </c>
      <c r="AL255" s="36">
        <v>7</v>
      </c>
      <c r="AM255" s="36">
        <v>9</v>
      </c>
      <c r="AN255" s="36"/>
      <c r="AO255" s="36"/>
      <c r="AP255" s="36">
        <v>4</v>
      </c>
      <c r="AQ255" s="36">
        <v>4</v>
      </c>
      <c r="AR255" s="36">
        <v>5</v>
      </c>
      <c r="AS255" s="36">
        <v>3</v>
      </c>
      <c r="AT255" s="36">
        <v>2</v>
      </c>
      <c r="AU255" s="36">
        <v>2</v>
      </c>
      <c r="AV255" s="36">
        <v>5</v>
      </c>
      <c r="AW255" s="36">
        <v>5</v>
      </c>
      <c r="AX255" s="36">
        <v>6</v>
      </c>
      <c r="AY255" s="36">
        <v>8</v>
      </c>
      <c r="AZ255" s="36"/>
      <c r="BA255" s="36"/>
      <c r="BB255" s="36"/>
      <c r="BC255" s="36">
        <v>2</v>
      </c>
      <c r="BD255" s="36">
        <v>8</v>
      </c>
      <c r="BE255" s="36">
        <v>4</v>
      </c>
      <c r="BF255" s="36">
        <v>5</v>
      </c>
      <c r="BG255" s="36">
        <v>9</v>
      </c>
      <c r="BH255" s="36">
        <v>9</v>
      </c>
      <c r="BI255" s="36">
        <v>5</v>
      </c>
      <c r="BJ255" s="36">
        <v>8</v>
      </c>
      <c r="BK255" s="36">
        <v>11</v>
      </c>
      <c r="BL255" s="36"/>
      <c r="BM255" s="36"/>
      <c r="BN255" s="36"/>
      <c r="BO255" s="36"/>
      <c r="BP255" s="36"/>
      <c r="BQ255" s="36"/>
      <c r="BR255" s="36">
        <v>1</v>
      </c>
      <c r="BS255" s="36"/>
      <c r="BT255" s="36"/>
      <c r="BU255" s="36">
        <v>2</v>
      </c>
      <c r="BV255" s="36">
        <v>7</v>
      </c>
      <c r="BW255" s="36">
        <v>2</v>
      </c>
      <c r="BX255" s="36"/>
      <c r="BY255" s="36"/>
      <c r="BZ255" s="36"/>
      <c r="CA255" s="36"/>
      <c r="CB255" s="36"/>
      <c r="CC255" s="36"/>
      <c r="CD255" s="36"/>
      <c r="CE255" s="36"/>
      <c r="CF255" s="36"/>
      <c r="CG255" s="36"/>
      <c r="CH255" s="36"/>
      <c r="CI255" s="36"/>
      <c r="CK255" s="4" t="b">
        <f t="shared" si="3"/>
        <v>0</v>
      </c>
    </row>
    <row r="256" spans="1:89" ht="60" customHeight="1">
      <c r="A256" s="32" t="s">
        <v>92</v>
      </c>
      <c r="B256" s="32" t="s">
        <v>407</v>
      </c>
      <c r="C256" s="32" t="s">
        <v>408</v>
      </c>
      <c r="D256" s="34"/>
      <c r="E256" s="34">
        <v>100</v>
      </c>
      <c r="F256" s="34">
        <v>100</v>
      </c>
      <c r="G256" s="34">
        <v>100</v>
      </c>
      <c r="H256" s="34">
        <v>100</v>
      </c>
      <c r="I256" s="34">
        <v>100</v>
      </c>
      <c r="J256" s="34">
        <v>100</v>
      </c>
      <c r="K256" s="34">
        <v>100</v>
      </c>
      <c r="L256" s="34">
        <v>100</v>
      </c>
      <c r="M256" s="34">
        <v>100</v>
      </c>
      <c r="N256" s="34">
        <v>100</v>
      </c>
      <c r="O256" s="34">
        <v>100</v>
      </c>
      <c r="P256" s="34"/>
      <c r="Q256" s="34">
        <v>100</v>
      </c>
      <c r="R256" s="34">
        <v>100</v>
      </c>
      <c r="S256" s="34">
        <v>100</v>
      </c>
      <c r="T256" s="34">
        <v>100</v>
      </c>
      <c r="U256" s="34">
        <v>100</v>
      </c>
      <c r="V256" s="34">
        <v>100</v>
      </c>
      <c r="W256" s="34">
        <v>100</v>
      </c>
      <c r="X256" s="34">
        <v>100</v>
      </c>
      <c r="Y256" s="34">
        <v>100</v>
      </c>
      <c r="Z256" s="34">
        <v>100</v>
      </c>
      <c r="AA256" s="34">
        <v>100</v>
      </c>
      <c r="AB256" s="36"/>
      <c r="AC256" s="36">
        <v>16</v>
      </c>
      <c r="AD256" s="36">
        <v>14</v>
      </c>
      <c r="AE256" s="36">
        <v>16</v>
      </c>
      <c r="AF256" s="36">
        <v>17</v>
      </c>
      <c r="AG256" s="36">
        <v>15</v>
      </c>
      <c r="AH256" s="36">
        <v>15</v>
      </c>
      <c r="AI256" s="36">
        <v>16</v>
      </c>
      <c r="AJ256" s="36">
        <v>16</v>
      </c>
      <c r="AK256" s="36"/>
      <c r="AL256" s="36">
        <v>12</v>
      </c>
      <c r="AM256" s="36">
        <v>16</v>
      </c>
      <c r="AN256" s="36"/>
      <c r="AO256" s="36">
        <v>16</v>
      </c>
      <c r="AP256" s="36">
        <v>13</v>
      </c>
      <c r="AQ256" s="36">
        <v>16</v>
      </c>
      <c r="AR256" s="36">
        <v>16</v>
      </c>
      <c r="AS256" s="36">
        <v>15</v>
      </c>
      <c r="AT256" s="36">
        <v>15</v>
      </c>
      <c r="AU256" s="36">
        <v>16</v>
      </c>
      <c r="AV256" s="36">
        <v>16</v>
      </c>
      <c r="AW256" s="36"/>
      <c r="AX256" s="36">
        <v>16</v>
      </c>
      <c r="AY256" s="36">
        <v>13</v>
      </c>
      <c r="AZ256" s="36"/>
      <c r="BA256" s="36">
        <v>2</v>
      </c>
      <c r="BB256" s="36">
        <v>3</v>
      </c>
      <c r="BC256" s="36"/>
      <c r="BD256" s="36">
        <v>4</v>
      </c>
      <c r="BE256" s="36">
        <v>8</v>
      </c>
      <c r="BF256" s="36">
        <v>7</v>
      </c>
      <c r="BG256" s="36">
        <v>10</v>
      </c>
      <c r="BH256" s="36">
        <v>8</v>
      </c>
      <c r="BI256" s="36"/>
      <c r="BJ256" s="36">
        <v>9</v>
      </c>
      <c r="BK256" s="36">
        <v>9</v>
      </c>
      <c r="BL256" s="36"/>
      <c r="BM256" s="36">
        <v>3</v>
      </c>
      <c r="BN256" s="36">
        <v>3</v>
      </c>
      <c r="BO256" s="36"/>
      <c r="BP256" s="36">
        <v>3</v>
      </c>
      <c r="BQ256" s="36">
        <v>1</v>
      </c>
      <c r="BR256" s="36">
        <v>2</v>
      </c>
      <c r="BS256" s="36">
        <v>4</v>
      </c>
      <c r="BT256" s="36">
        <v>4</v>
      </c>
      <c r="BU256" s="36"/>
      <c r="BV256" s="36">
        <v>3</v>
      </c>
      <c r="BW256" s="36">
        <v>1</v>
      </c>
      <c r="BX256" s="36"/>
      <c r="BY256" s="36"/>
      <c r="BZ256" s="36"/>
      <c r="CA256" s="36"/>
      <c r="CB256" s="36"/>
      <c r="CC256" s="36"/>
      <c r="CD256" s="36"/>
      <c r="CE256" s="36"/>
      <c r="CF256" s="36"/>
      <c r="CG256" s="36"/>
      <c r="CH256" s="36"/>
      <c r="CI256" s="36"/>
      <c r="CK256" s="4" t="b">
        <f t="shared" si="3"/>
        <v>0</v>
      </c>
    </row>
    <row r="257" spans="1:89" ht="75" customHeight="1">
      <c r="A257" s="32" t="s">
        <v>87</v>
      </c>
      <c r="B257" s="32" t="s">
        <v>90</v>
      </c>
      <c r="C257" s="32" t="s">
        <v>409</v>
      </c>
      <c r="D257" s="34"/>
      <c r="E257" s="34"/>
      <c r="F257" s="34"/>
      <c r="G257" s="34"/>
      <c r="H257" s="34"/>
      <c r="I257" s="34"/>
      <c r="J257" s="34"/>
      <c r="K257" s="34"/>
      <c r="L257" s="34"/>
      <c r="M257" s="34">
        <v>88.89</v>
      </c>
      <c r="N257" s="34">
        <v>100</v>
      </c>
      <c r="O257" s="34">
        <v>87.5</v>
      </c>
      <c r="P257" s="34"/>
      <c r="Q257" s="34"/>
      <c r="R257" s="34"/>
      <c r="S257" s="34"/>
      <c r="T257" s="34"/>
      <c r="U257" s="34"/>
      <c r="V257" s="34"/>
      <c r="W257" s="34"/>
      <c r="X257" s="34"/>
      <c r="Y257" s="34"/>
      <c r="Z257" s="34"/>
      <c r="AA257" s="34"/>
      <c r="AB257" s="36"/>
      <c r="AC257" s="36"/>
      <c r="AD257" s="36"/>
      <c r="AE257" s="36"/>
      <c r="AF257" s="36">
        <v>9</v>
      </c>
      <c r="AG257" s="36"/>
      <c r="AH257" s="36">
        <v>8</v>
      </c>
      <c r="AI257" s="36"/>
      <c r="AJ257" s="36">
        <v>8</v>
      </c>
      <c r="AK257" s="36">
        <v>4</v>
      </c>
      <c r="AL257" s="36">
        <v>7</v>
      </c>
      <c r="AM257" s="36">
        <v>7</v>
      </c>
      <c r="AN257" s="36"/>
      <c r="AO257" s="36"/>
      <c r="AP257" s="36"/>
      <c r="AQ257" s="36"/>
      <c r="AR257" s="36">
        <v>4</v>
      </c>
      <c r="AS257" s="36"/>
      <c r="AT257" s="36">
        <v>12</v>
      </c>
      <c r="AU257" s="36"/>
      <c r="AV257" s="36">
        <v>4</v>
      </c>
      <c r="AW257" s="36">
        <v>14</v>
      </c>
      <c r="AX257" s="36">
        <v>5</v>
      </c>
      <c r="AY257" s="36">
        <v>3</v>
      </c>
      <c r="AZ257" s="36"/>
      <c r="BA257" s="36"/>
      <c r="BB257" s="36"/>
      <c r="BC257" s="36"/>
      <c r="BD257" s="36">
        <v>18</v>
      </c>
      <c r="BE257" s="36"/>
      <c r="BF257" s="36"/>
      <c r="BG257" s="36"/>
      <c r="BH257" s="36">
        <v>7</v>
      </c>
      <c r="BI257" s="36">
        <v>10</v>
      </c>
      <c r="BJ257" s="36">
        <v>19</v>
      </c>
      <c r="BK257" s="36"/>
      <c r="BL257" s="36"/>
      <c r="BM257" s="36"/>
      <c r="BN257" s="36"/>
      <c r="BO257" s="36"/>
      <c r="BP257" s="36">
        <v>5</v>
      </c>
      <c r="BQ257" s="36"/>
      <c r="BR257" s="36">
        <v>6</v>
      </c>
      <c r="BS257" s="36"/>
      <c r="BT257" s="36"/>
      <c r="BU257" s="36">
        <v>39</v>
      </c>
      <c r="BV257" s="36">
        <v>5</v>
      </c>
      <c r="BW257" s="36">
        <v>10</v>
      </c>
      <c r="BX257" s="36"/>
      <c r="BY257" s="36"/>
      <c r="BZ257" s="36"/>
      <c r="CA257" s="36"/>
      <c r="CB257" s="36">
        <v>5</v>
      </c>
      <c r="CC257" s="36"/>
      <c r="CD257" s="36">
        <v>7</v>
      </c>
      <c r="CE257" s="36"/>
      <c r="CF257" s="36"/>
      <c r="CG257" s="36">
        <v>51</v>
      </c>
      <c r="CH257" s="36">
        <v>4</v>
      </c>
      <c r="CI257" s="36">
        <v>1</v>
      </c>
      <c r="CK257" s="4" t="b">
        <f t="shared" si="3"/>
        <v>0</v>
      </c>
    </row>
    <row r="258" spans="1:89" ht="90" customHeight="1">
      <c r="A258" s="32" t="s">
        <v>92</v>
      </c>
      <c r="B258" s="32" t="s">
        <v>99</v>
      </c>
      <c r="C258" s="32" t="s">
        <v>410</v>
      </c>
      <c r="D258" s="34"/>
      <c r="E258" s="34">
        <v>75</v>
      </c>
      <c r="F258" s="34">
        <v>75</v>
      </c>
      <c r="G258" s="34">
        <v>100</v>
      </c>
      <c r="H258" s="34">
        <v>100</v>
      </c>
      <c r="I258" s="34">
        <v>100</v>
      </c>
      <c r="J258" s="34">
        <v>100</v>
      </c>
      <c r="K258" s="34">
        <v>100</v>
      </c>
      <c r="L258" s="34">
        <v>100</v>
      </c>
      <c r="M258" s="34">
        <v>100</v>
      </c>
      <c r="N258" s="34">
        <v>75</v>
      </c>
      <c r="O258" s="34">
        <v>100</v>
      </c>
      <c r="P258" s="34"/>
      <c r="Q258" s="34">
        <v>100</v>
      </c>
      <c r="R258" s="34">
        <v>50</v>
      </c>
      <c r="S258" s="34">
        <v>100</v>
      </c>
      <c r="T258" s="34">
        <v>75</v>
      </c>
      <c r="U258" s="34">
        <v>100</v>
      </c>
      <c r="V258" s="34">
        <v>100</v>
      </c>
      <c r="W258" s="34">
        <v>100</v>
      </c>
      <c r="X258" s="34">
        <v>100</v>
      </c>
      <c r="Y258" s="34">
        <v>100</v>
      </c>
      <c r="Z258" s="34">
        <v>75</v>
      </c>
      <c r="AA258" s="34">
        <v>100</v>
      </c>
      <c r="AB258" s="36"/>
      <c r="AC258" s="36">
        <v>18</v>
      </c>
      <c r="AD258" s="36">
        <v>6</v>
      </c>
      <c r="AE258" s="36">
        <v>7</v>
      </c>
      <c r="AF258" s="36">
        <v>8</v>
      </c>
      <c r="AG258" s="36">
        <v>10</v>
      </c>
      <c r="AH258" s="36">
        <v>8</v>
      </c>
      <c r="AI258" s="36">
        <v>11</v>
      </c>
      <c r="AJ258" s="36">
        <v>8</v>
      </c>
      <c r="AK258" s="36">
        <v>7</v>
      </c>
      <c r="AL258" s="36">
        <v>8</v>
      </c>
      <c r="AM258" s="36">
        <v>8</v>
      </c>
      <c r="AN258" s="36"/>
      <c r="AO258" s="36">
        <v>13</v>
      </c>
      <c r="AP258" s="36">
        <v>8</v>
      </c>
      <c r="AQ258" s="36">
        <v>7</v>
      </c>
      <c r="AR258" s="36">
        <v>8</v>
      </c>
      <c r="AS258" s="36">
        <v>10</v>
      </c>
      <c r="AT258" s="36">
        <v>8</v>
      </c>
      <c r="AU258" s="36">
        <v>11</v>
      </c>
      <c r="AV258" s="36">
        <v>8</v>
      </c>
      <c r="AW258" s="36">
        <v>7</v>
      </c>
      <c r="AX258" s="36">
        <v>8</v>
      </c>
      <c r="AY258" s="36">
        <v>8</v>
      </c>
      <c r="AZ258" s="36"/>
      <c r="BA258" s="36">
        <v>1</v>
      </c>
      <c r="BB258" s="36">
        <v>3</v>
      </c>
      <c r="BC258" s="36">
        <v>2</v>
      </c>
      <c r="BD258" s="36">
        <v>2</v>
      </c>
      <c r="BE258" s="36">
        <v>5</v>
      </c>
      <c r="BF258" s="36">
        <v>4</v>
      </c>
      <c r="BG258" s="36">
        <v>3</v>
      </c>
      <c r="BH258" s="36">
        <v>5</v>
      </c>
      <c r="BI258" s="36">
        <v>5</v>
      </c>
      <c r="BJ258" s="36">
        <v>1</v>
      </c>
      <c r="BK258" s="36">
        <v>1</v>
      </c>
      <c r="BL258" s="36"/>
      <c r="BM258" s="36"/>
      <c r="BN258" s="36"/>
      <c r="BO258" s="36">
        <v>1</v>
      </c>
      <c r="BP258" s="36">
        <v>1</v>
      </c>
      <c r="BQ258" s="36">
        <v>2</v>
      </c>
      <c r="BR258" s="36">
        <v>1</v>
      </c>
      <c r="BS258" s="36">
        <v>1</v>
      </c>
      <c r="BT258" s="36"/>
      <c r="BU258" s="36">
        <v>1</v>
      </c>
      <c r="BV258" s="36"/>
      <c r="BW258" s="36">
        <v>1</v>
      </c>
      <c r="BX258" s="36"/>
      <c r="BY258" s="36"/>
      <c r="BZ258" s="36"/>
      <c r="CA258" s="36"/>
      <c r="CB258" s="36"/>
      <c r="CC258" s="36"/>
      <c r="CD258" s="36"/>
      <c r="CE258" s="36"/>
      <c r="CF258" s="36"/>
      <c r="CG258" s="36"/>
      <c r="CH258" s="36"/>
      <c r="CI258" s="36"/>
      <c r="CK258" s="4" t="b">
        <f t="shared" si="3"/>
        <v>0</v>
      </c>
    </row>
    <row r="259" spans="1:89" ht="60" customHeight="1">
      <c r="A259" s="32" t="s">
        <v>144</v>
      </c>
      <c r="B259" s="32" t="s">
        <v>145</v>
      </c>
      <c r="C259" s="32" t="s">
        <v>411</v>
      </c>
      <c r="D259" s="34"/>
      <c r="E259" s="34"/>
      <c r="F259" s="34">
        <v>75</v>
      </c>
      <c r="G259" s="34"/>
      <c r="H259" s="34">
        <v>100</v>
      </c>
      <c r="I259" s="34"/>
      <c r="J259" s="34">
        <v>100</v>
      </c>
      <c r="K259" s="34"/>
      <c r="L259" s="34">
        <v>100</v>
      </c>
      <c r="M259" s="34">
        <v>100</v>
      </c>
      <c r="N259" s="34"/>
      <c r="O259" s="34">
        <v>100</v>
      </c>
      <c r="P259" s="34"/>
      <c r="Q259" s="34"/>
      <c r="R259" s="34"/>
      <c r="S259" s="34"/>
      <c r="T259" s="34"/>
      <c r="U259" s="34"/>
      <c r="V259" s="34"/>
      <c r="W259" s="34"/>
      <c r="X259" s="34"/>
      <c r="Y259" s="34"/>
      <c r="Z259" s="34"/>
      <c r="AA259" s="34">
        <v>100</v>
      </c>
      <c r="AB259" s="36"/>
      <c r="AC259" s="36">
        <v>25</v>
      </c>
      <c r="AD259" s="36">
        <v>12</v>
      </c>
      <c r="AE259" s="36">
        <v>12</v>
      </c>
      <c r="AF259" s="36">
        <v>17</v>
      </c>
      <c r="AG259" s="36">
        <v>11</v>
      </c>
      <c r="AH259" s="36">
        <v>16</v>
      </c>
      <c r="AI259" s="36">
        <v>9</v>
      </c>
      <c r="AJ259" s="36">
        <v>15</v>
      </c>
      <c r="AK259" s="36">
        <v>16</v>
      </c>
      <c r="AL259" s="36">
        <v>14</v>
      </c>
      <c r="AM259" s="36">
        <v>9</v>
      </c>
      <c r="AN259" s="36"/>
      <c r="AO259" s="36">
        <v>157</v>
      </c>
      <c r="AP259" s="36">
        <v>7</v>
      </c>
      <c r="AQ259" s="36">
        <v>18</v>
      </c>
      <c r="AR259" s="36">
        <v>16</v>
      </c>
      <c r="AS259" s="36">
        <v>12</v>
      </c>
      <c r="AT259" s="36">
        <v>12</v>
      </c>
      <c r="AU259" s="36">
        <v>12</v>
      </c>
      <c r="AV259" s="36">
        <v>13</v>
      </c>
      <c r="AW259" s="36">
        <v>16</v>
      </c>
      <c r="AX259" s="36">
        <v>14</v>
      </c>
      <c r="AY259" s="36">
        <v>5</v>
      </c>
      <c r="AZ259" s="36"/>
      <c r="BA259" s="36">
        <v>12</v>
      </c>
      <c r="BB259" s="36">
        <v>4</v>
      </c>
      <c r="BC259" s="36"/>
      <c r="BD259" s="36">
        <v>3</v>
      </c>
      <c r="BE259" s="36">
        <v>4</v>
      </c>
      <c r="BF259" s="36">
        <v>3</v>
      </c>
      <c r="BG259" s="36">
        <v>3</v>
      </c>
      <c r="BH259" s="36">
        <v>8</v>
      </c>
      <c r="BI259" s="36">
        <v>3</v>
      </c>
      <c r="BJ259" s="36">
        <v>4</v>
      </c>
      <c r="BK259" s="36">
        <v>5</v>
      </c>
      <c r="BL259" s="36"/>
      <c r="BM259" s="36">
        <v>3</v>
      </c>
      <c r="BN259" s="36">
        <v>3</v>
      </c>
      <c r="BO259" s="36"/>
      <c r="BP259" s="36">
        <v>4</v>
      </c>
      <c r="BQ259" s="36">
        <v>3</v>
      </c>
      <c r="BR259" s="36"/>
      <c r="BS259" s="36">
        <v>7</v>
      </c>
      <c r="BT259" s="36"/>
      <c r="BU259" s="36"/>
      <c r="BV259" s="36"/>
      <c r="BW259" s="36"/>
      <c r="BX259" s="36"/>
      <c r="BY259" s="36">
        <v>36</v>
      </c>
      <c r="BZ259" s="36"/>
      <c r="CA259" s="36"/>
      <c r="CB259" s="36"/>
      <c r="CC259" s="36"/>
      <c r="CD259" s="36"/>
      <c r="CE259" s="36"/>
      <c r="CF259" s="36"/>
      <c r="CG259" s="36"/>
      <c r="CH259" s="36">
        <v>16</v>
      </c>
      <c r="CI259" s="36"/>
      <c r="CK259" s="4" t="b">
        <f t="shared" si="3"/>
        <v>0</v>
      </c>
    </row>
    <row r="260" spans="1:89" ht="120" customHeight="1">
      <c r="A260" s="32" t="s">
        <v>87</v>
      </c>
      <c r="B260" s="32" t="s">
        <v>188</v>
      </c>
      <c r="C260" s="32" t="s">
        <v>412</v>
      </c>
      <c r="D260" s="34"/>
      <c r="E260" s="34"/>
      <c r="F260" s="34"/>
      <c r="G260" s="34"/>
      <c r="H260" s="34"/>
      <c r="I260" s="34"/>
      <c r="J260" s="34">
        <v>100</v>
      </c>
      <c r="K260" s="34"/>
      <c r="L260" s="34">
        <v>50</v>
      </c>
      <c r="M260" s="34">
        <v>100</v>
      </c>
      <c r="N260" s="34">
        <v>100</v>
      </c>
      <c r="O260" s="34"/>
      <c r="P260" s="34"/>
      <c r="Q260" s="34"/>
      <c r="R260" s="34"/>
      <c r="S260" s="34"/>
      <c r="T260" s="34"/>
      <c r="U260" s="34"/>
      <c r="V260" s="34"/>
      <c r="W260" s="34"/>
      <c r="X260" s="34"/>
      <c r="Y260" s="34">
        <v>100</v>
      </c>
      <c r="Z260" s="34"/>
      <c r="AA260" s="34"/>
      <c r="AB260" s="36"/>
      <c r="AC260" s="36"/>
      <c r="AD260" s="36"/>
      <c r="AE260" s="36"/>
      <c r="AF260" s="36"/>
      <c r="AG260" s="36"/>
      <c r="AH260" s="36">
        <v>3</v>
      </c>
      <c r="AI260" s="36">
        <v>14</v>
      </c>
      <c r="AJ260" s="36">
        <v>4</v>
      </c>
      <c r="AK260" s="36"/>
      <c r="AL260" s="36">
        <v>7</v>
      </c>
      <c r="AM260" s="36"/>
      <c r="AN260" s="36"/>
      <c r="AO260" s="36"/>
      <c r="AP260" s="36"/>
      <c r="AQ260" s="36"/>
      <c r="AR260" s="36"/>
      <c r="AS260" s="36"/>
      <c r="AT260" s="36">
        <v>21</v>
      </c>
      <c r="AU260" s="36">
        <v>18</v>
      </c>
      <c r="AV260" s="36">
        <v>4</v>
      </c>
      <c r="AW260" s="36">
        <v>7</v>
      </c>
      <c r="AX260" s="36">
        <v>10</v>
      </c>
      <c r="AY260" s="36"/>
      <c r="AZ260" s="36"/>
      <c r="BA260" s="36"/>
      <c r="BB260" s="36"/>
      <c r="BC260" s="36"/>
      <c r="BD260" s="36"/>
      <c r="BE260" s="36"/>
      <c r="BF260" s="36">
        <v>5</v>
      </c>
      <c r="BG260" s="36">
        <v>8</v>
      </c>
      <c r="BH260" s="36">
        <v>5</v>
      </c>
      <c r="BI260" s="36"/>
      <c r="BJ260" s="36">
        <v>7</v>
      </c>
      <c r="BK260" s="36"/>
      <c r="BL260" s="36"/>
      <c r="BM260" s="36"/>
      <c r="BN260" s="36"/>
      <c r="BO260" s="36"/>
      <c r="BP260" s="36"/>
      <c r="BQ260" s="36"/>
      <c r="BR260" s="36">
        <v>10</v>
      </c>
      <c r="BS260" s="36">
        <v>13</v>
      </c>
      <c r="BT260" s="36">
        <v>6</v>
      </c>
      <c r="BU260" s="36"/>
      <c r="BV260" s="36">
        <v>13</v>
      </c>
      <c r="BW260" s="36"/>
      <c r="BX260" s="36"/>
      <c r="BY260" s="36"/>
      <c r="BZ260" s="36"/>
      <c r="CA260" s="36"/>
      <c r="CB260" s="36"/>
      <c r="CC260" s="36"/>
      <c r="CD260" s="36">
        <v>12</v>
      </c>
      <c r="CE260" s="36">
        <v>7</v>
      </c>
      <c r="CF260" s="36">
        <v>4</v>
      </c>
      <c r="CG260" s="36"/>
      <c r="CH260" s="36"/>
      <c r="CI260" s="36"/>
      <c r="CK260" s="4" t="b">
        <f t="shared" ref="CK260:CK323" si="4">ISNUMBER(D260)</f>
        <v>0</v>
      </c>
    </row>
    <row r="261" spans="1:89" ht="60" customHeight="1">
      <c r="A261" s="32" t="s">
        <v>87</v>
      </c>
      <c r="B261" s="32" t="s">
        <v>120</v>
      </c>
      <c r="C261" s="32" t="s">
        <v>413</v>
      </c>
      <c r="D261" s="34"/>
      <c r="E261" s="34"/>
      <c r="F261" s="34">
        <v>100</v>
      </c>
      <c r="G261" s="34"/>
      <c r="H261" s="34"/>
      <c r="I261" s="34"/>
      <c r="J261" s="34"/>
      <c r="K261" s="34"/>
      <c r="L261" s="34"/>
      <c r="M261" s="34"/>
      <c r="N261" s="34"/>
      <c r="O261" s="34"/>
      <c r="P261" s="34"/>
      <c r="Q261" s="34"/>
      <c r="R261" s="34"/>
      <c r="S261" s="34"/>
      <c r="T261" s="34"/>
      <c r="U261" s="34"/>
      <c r="V261" s="34"/>
      <c r="W261" s="34"/>
      <c r="X261" s="34"/>
      <c r="Y261" s="34"/>
      <c r="Z261" s="34"/>
      <c r="AA261" s="34"/>
      <c r="AB261" s="36">
        <v>180</v>
      </c>
      <c r="AC261" s="36"/>
      <c r="AD261" s="36">
        <v>41</v>
      </c>
      <c r="AE261" s="36"/>
      <c r="AF261" s="36"/>
      <c r="AG261" s="36"/>
      <c r="AH261" s="36"/>
      <c r="AI261" s="36"/>
      <c r="AJ261" s="36"/>
      <c r="AK261" s="36"/>
      <c r="AL261" s="36"/>
      <c r="AM261" s="36"/>
      <c r="AN261" s="36">
        <v>220</v>
      </c>
      <c r="AO261" s="36"/>
      <c r="AP261" s="36">
        <v>45</v>
      </c>
      <c r="AQ261" s="36"/>
      <c r="AR261" s="36"/>
      <c r="AS261" s="36"/>
      <c r="AT261" s="36"/>
      <c r="AU261" s="36"/>
      <c r="AV261" s="36"/>
      <c r="AW261" s="36"/>
      <c r="AX261" s="36"/>
      <c r="AY261" s="36"/>
      <c r="AZ261" s="36">
        <v>5</v>
      </c>
      <c r="BA261" s="36"/>
      <c r="BB261" s="36"/>
      <c r="BC261" s="36"/>
      <c r="BD261" s="36"/>
      <c r="BE261" s="36"/>
      <c r="BF261" s="36"/>
      <c r="BG261" s="36"/>
      <c r="BH261" s="36"/>
      <c r="BI261" s="36"/>
      <c r="BJ261" s="36"/>
      <c r="BK261" s="36"/>
      <c r="BL261" s="36">
        <v>4</v>
      </c>
      <c r="BM261" s="36"/>
      <c r="BN261" s="36"/>
      <c r="BO261" s="36"/>
      <c r="BP261" s="36"/>
      <c r="BQ261" s="36"/>
      <c r="BR261" s="36"/>
      <c r="BS261" s="36"/>
      <c r="BT261" s="36"/>
      <c r="BU261" s="36"/>
      <c r="BV261" s="36"/>
      <c r="BW261" s="36"/>
      <c r="BX261" s="36">
        <v>1</v>
      </c>
      <c r="BY261" s="36"/>
      <c r="BZ261" s="36"/>
      <c r="CA261" s="36"/>
      <c r="CB261" s="36"/>
      <c r="CC261" s="36"/>
      <c r="CD261" s="36"/>
      <c r="CE261" s="36"/>
      <c r="CF261" s="36"/>
      <c r="CG261" s="36"/>
      <c r="CH261" s="36"/>
      <c r="CI261" s="36"/>
      <c r="CK261" s="4" t="b">
        <f t="shared" si="4"/>
        <v>0</v>
      </c>
    </row>
    <row r="262" spans="1:89" ht="60" customHeight="1">
      <c r="A262" s="32" t="s">
        <v>92</v>
      </c>
      <c r="B262" s="32" t="s">
        <v>407</v>
      </c>
      <c r="C262" s="32" t="s">
        <v>414</v>
      </c>
      <c r="D262" s="34"/>
      <c r="E262" s="34">
        <v>75</v>
      </c>
      <c r="F262" s="34">
        <v>100</v>
      </c>
      <c r="G262" s="34">
        <v>100</v>
      </c>
      <c r="H262" s="34">
        <v>100</v>
      </c>
      <c r="I262" s="34">
        <v>100</v>
      </c>
      <c r="J262" s="34">
        <v>100</v>
      </c>
      <c r="K262" s="34">
        <v>100</v>
      </c>
      <c r="L262" s="34">
        <v>100</v>
      </c>
      <c r="M262" s="34">
        <v>100</v>
      </c>
      <c r="N262" s="34">
        <v>100</v>
      </c>
      <c r="O262" s="34">
        <v>100</v>
      </c>
      <c r="P262" s="34"/>
      <c r="Q262" s="34">
        <v>75</v>
      </c>
      <c r="R262" s="34">
        <v>100</v>
      </c>
      <c r="S262" s="34">
        <v>100</v>
      </c>
      <c r="T262" s="34">
        <v>100</v>
      </c>
      <c r="U262" s="34">
        <v>100</v>
      </c>
      <c r="V262" s="34">
        <v>100</v>
      </c>
      <c r="W262" s="34">
        <v>100</v>
      </c>
      <c r="X262" s="34">
        <v>100</v>
      </c>
      <c r="Y262" s="34">
        <v>100</v>
      </c>
      <c r="Z262" s="34">
        <v>100</v>
      </c>
      <c r="AA262" s="34">
        <v>100</v>
      </c>
      <c r="AB262" s="36"/>
      <c r="AC262" s="36">
        <v>18</v>
      </c>
      <c r="AD262" s="36">
        <v>16</v>
      </c>
      <c r="AE262" s="36">
        <v>14</v>
      </c>
      <c r="AF262" s="36">
        <v>18</v>
      </c>
      <c r="AG262" s="36">
        <v>20</v>
      </c>
      <c r="AH262" s="36">
        <v>12</v>
      </c>
      <c r="AI262" s="36">
        <v>9</v>
      </c>
      <c r="AJ262" s="36">
        <v>23</v>
      </c>
      <c r="AK262" s="36">
        <v>27</v>
      </c>
      <c r="AL262" s="36">
        <v>23</v>
      </c>
      <c r="AM262" s="36">
        <v>20</v>
      </c>
      <c r="AN262" s="36"/>
      <c r="AO262" s="36">
        <v>13</v>
      </c>
      <c r="AP262" s="36">
        <v>13</v>
      </c>
      <c r="AQ262" s="36">
        <v>11</v>
      </c>
      <c r="AR262" s="36">
        <v>35</v>
      </c>
      <c r="AS262" s="36">
        <v>14</v>
      </c>
      <c r="AT262" s="36">
        <v>9</v>
      </c>
      <c r="AU262" s="36">
        <v>20</v>
      </c>
      <c r="AV262" s="36">
        <v>17</v>
      </c>
      <c r="AW262" s="36">
        <v>18</v>
      </c>
      <c r="AX262" s="36">
        <v>23</v>
      </c>
      <c r="AY262" s="36">
        <v>27</v>
      </c>
      <c r="AZ262" s="36"/>
      <c r="BA262" s="36">
        <v>6</v>
      </c>
      <c r="BB262" s="36">
        <v>10</v>
      </c>
      <c r="BC262" s="36">
        <v>13</v>
      </c>
      <c r="BD262" s="36">
        <v>12</v>
      </c>
      <c r="BE262" s="36">
        <v>14</v>
      </c>
      <c r="BF262" s="36">
        <v>7</v>
      </c>
      <c r="BG262" s="36">
        <v>4</v>
      </c>
      <c r="BH262" s="36">
        <v>5</v>
      </c>
      <c r="BI262" s="36">
        <v>12</v>
      </c>
      <c r="BJ262" s="36">
        <v>10</v>
      </c>
      <c r="BK262" s="36">
        <v>11</v>
      </c>
      <c r="BL262" s="36"/>
      <c r="BM262" s="36"/>
      <c r="BN262" s="36">
        <v>6</v>
      </c>
      <c r="BO262" s="36">
        <v>6</v>
      </c>
      <c r="BP262" s="36">
        <v>5</v>
      </c>
      <c r="BQ262" s="36">
        <v>7</v>
      </c>
      <c r="BR262" s="36">
        <v>1</v>
      </c>
      <c r="BS262" s="36">
        <v>2</v>
      </c>
      <c r="BT262" s="36">
        <v>1</v>
      </c>
      <c r="BU262" s="36">
        <v>3</v>
      </c>
      <c r="BV262" s="36">
        <v>2</v>
      </c>
      <c r="BW262" s="36">
        <v>3</v>
      </c>
      <c r="BX262" s="36"/>
      <c r="BY262" s="36">
        <v>6</v>
      </c>
      <c r="BZ262" s="36"/>
      <c r="CA262" s="36">
        <v>3</v>
      </c>
      <c r="CB262" s="36">
        <v>1</v>
      </c>
      <c r="CC262" s="36"/>
      <c r="CD262" s="36"/>
      <c r="CE262" s="36"/>
      <c r="CF262" s="36"/>
      <c r="CG262" s="36"/>
      <c r="CH262" s="36"/>
      <c r="CI262" s="36"/>
      <c r="CK262" s="4" t="b">
        <f t="shared" si="4"/>
        <v>0</v>
      </c>
    </row>
    <row r="263" spans="1:89" ht="150" customHeight="1">
      <c r="A263" s="32" t="s">
        <v>87</v>
      </c>
      <c r="B263" s="32" t="s">
        <v>88</v>
      </c>
      <c r="C263" s="32" t="s">
        <v>415</v>
      </c>
      <c r="D263" s="34"/>
      <c r="E263" s="34"/>
      <c r="F263" s="34">
        <v>100</v>
      </c>
      <c r="G263" s="34">
        <v>100</v>
      </c>
      <c r="H263" s="34">
        <v>100</v>
      </c>
      <c r="I263" s="34">
        <v>100</v>
      </c>
      <c r="J263" s="34">
        <v>100</v>
      </c>
      <c r="K263" s="34">
        <v>100</v>
      </c>
      <c r="L263" s="34">
        <v>100</v>
      </c>
      <c r="M263" s="34">
        <v>100</v>
      </c>
      <c r="N263" s="34">
        <v>100</v>
      </c>
      <c r="O263" s="34">
        <v>100</v>
      </c>
      <c r="P263" s="34"/>
      <c r="Q263" s="34"/>
      <c r="R263" s="34">
        <v>100</v>
      </c>
      <c r="S263" s="34">
        <v>100</v>
      </c>
      <c r="T263" s="34">
        <v>100</v>
      </c>
      <c r="U263" s="34"/>
      <c r="V263" s="34"/>
      <c r="W263" s="34">
        <v>100</v>
      </c>
      <c r="X263" s="34">
        <v>50</v>
      </c>
      <c r="Y263" s="34"/>
      <c r="Z263" s="34"/>
      <c r="AA263" s="34">
        <v>100</v>
      </c>
      <c r="AB263" s="36">
        <v>53</v>
      </c>
      <c r="AC263" s="36">
        <v>53</v>
      </c>
      <c r="AD263" s="36">
        <v>26</v>
      </c>
      <c r="AE263" s="36">
        <v>19</v>
      </c>
      <c r="AF263" s="36">
        <v>28</v>
      </c>
      <c r="AG263" s="36">
        <v>20</v>
      </c>
      <c r="AH263" s="36">
        <v>23</v>
      </c>
      <c r="AI263" s="36">
        <v>27</v>
      </c>
      <c r="AJ263" s="36">
        <v>12</v>
      </c>
      <c r="AK263" s="36">
        <v>17</v>
      </c>
      <c r="AL263" s="36">
        <v>27</v>
      </c>
      <c r="AM263" s="36">
        <v>21</v>
      </c>
      <c r="AN263" s="36">
        <v>36</v>
      </c>
      <c r="AO263" s="36">
        <v>58</v>
      </c>
      <c r="AP263" s="36">
        <v>26</v>
      </c>
      <c r="AQ263" s="36">
        <v>36</v>
      </c>
      <c r="AR263" s="36">
        <v>28</v>
      </c>
      <c r="AS263" s="36">
        <v>17</v>
      </c>
      <c r="AT263" s="36">
        <v>30</v>
      </c>
      <c r="AU263" s="36">
        <v>20</v>
      </c>
      <c r="AV263" s="36">
        <v>19</v>
      </c>
      <c r="AW263" s="36">
        <v>24</v>
      </c>
      <c r="AX263" s="36">
        <v>17</v>
      </c>
      <c r="AY263" s="36">
        <v>22</v>
      </c>
      <c r="AZ263" s="36">
        <v>40</v>
      </c>
      <c r="BA263" s="36">
        <v>21</v>
      </c>
      <c r="BB263" s="36">
        <v>16</v>
      </c>
      <c r="BC263" s="36">
        <v>18</v>
      </c>
      <c r="BD263" s="36">
        <v>18</v>
      </c>
      <c r="BE263" s="36">
        <v>14</v>
      </c>
      <c r="BF263" s="36">
        <v>18</v>
      </c>
      <c r="BG263" s="36">
        <v>25</v>
      </c>
      <c r="BH263" s="36">
        <v>8</v>
      </c>
      <c r="BI263" s="36">
        <v>16</v>
      </c>
      <c r="BJ263" s="36">
        <v>9</v>
      </c>
      <c r="BK263" s="36">
        <v>15</v>
      </c>
      <c r="BL263" s="36">
        <v>13</v>
      </c>
      <c r="BM263" s="36">
        <v>20</v>
      </c>
      <c r="BN263" s="36">
        <v>15</v>
      </c>
      <c r="BO263" s="36">
        <v>19</v>
      </c>
      <c r="BP263" s="36">
        <v>8</v>
      </c>
      <c r="BQ263" s="36">
        <v>7</v>
      </c>
      <c r="BR263" s="36">
        <v>8</v>
      </c>
      <c r="BS263" s="36">
        <v>15</v>
      </c>
      <c r="BT263" s="36">
        <v>6</v>
      </c>
      <c r="BU263" s="36">
        <v>13</v>
      </c>
      <c r="BV263" s="36">
        <v>1</v>
      </c>
      <c r="BW263" s="36">
        <v>15</v>
      </c>
      <c r="BX263" s="36">
        <v>5</v>
      </c>
      <c r="BY263" s="36">
        <v>2</v>
      </c>
      <c r="BZ263" s="36">
        <v>6</v>
      </c>
      <c r="CA263" s="36">
        <v>3</v>
      </c>
      <c r="CB263" s="36">
        <v>3</v>
      </c>
      <c r="CC263" s="36">
        <v>8</v>
      </c>
      <c r="CD263" s="36">
        <v>5</v>
      </c>
      <c r="CE263" s="36">
        <v>4</v>
      </c>
      <c r="CF263" s="36">
        <v>4</v>
      </c>
      <c r="CG263" s="36">
        <v>4</v>
      </c>
      <c r="CH263" s="36">
        <v>4</v>
      </c>
      <c r="CI263" s="36">
        <v>13</v>
      </c>
      <c r="CK263" s="4" t="b">
        <f t="shared" si="4"/>
        <v>0</v>
      </c>
    </row>
    <row r="264" spans="1:89" ht="75" customHeight="1">
      <c r="A264" s="32" t="s">
        <v>124</v>
      </c>
      <c r="B264" s="32" t="s">
        <v>133</v>
      </c>
      <c r="C264" s="32" t="s">
        <v>416</v>
      </c>
      <c r="D264" s="34"/>
      <c r="E264" s="34"/>
      <c r="F264" s="34"/>
      <c r="G264" s="34"/>
      <c r="H264" s="34"/>
      <c r="I264" s="34"/>
      <c r="J264" s="34"/>
      <c r="K264" s="34"/>
      <c r="L264" s="34"/>
      <c r="M264" s="34"/>
      <c r="N264" s="34"/>
      <c r="O264" s="34"/>
      <c r="P264" s="34"/>
      <c r="Q264" s="34"/>
      <c r="R264" s="34"/>
      <c r="S264" s="34"/>
      <c r="T264" s="34"/>
      <c r="U264" s="34"/>
      <c r="V264" s="34"/>
      <c r="W264" s="34"/>
      <c r="X264" s="34"/>
      <c r="Y264" s="34"/>
      <c r="Z264" s="34"/>
      <c r="AA264" s="34"/>
      <c r="AB264" s="36"/>
      <c r="AC264" s="36"/>
      <c r="AD264" s="36"/>
      <c r="AE264" s="36"/>
      <c r="AF264" s="36"/>
      <c r="AG264" s="36"/>
      <c r="AH264" s="36"/>
      <c r="AI264" s="36"/>
      <c r="AJ264" s="36"/>
      <c r="AK264" s="36"/>
      <c r="AL264" s="36"/>
      <c r="AM264" s="36"/>
      <c r="AN264" s="36"/>
      <c r="AO264" s="36"/>
      <c r="AP264" s="36"/>
      <c r="AQ264" s="36"/>
      <c r="AR264" s="36"/>
      <c r="AS264" s="36"/>
      <c r="AT264" s="36"/>
      <c r="AU264" s="36"/>
      <c r="AV264" s="36"/>
      <c r="AW264" s="36"/>
      <c r="AX264" s="36"/>
      <c r="AY264" s="36"/>
      <c r="AZ264" s="36"/>
      <c r="BA264" s="36"/>
      <c r="BB264" s="36">
        <v>10</v>
      </c>
      <c r="BC264" s="36"/>
      <c r="BD264" s="36"/>
      <c r="BE264" s="36">
        <v>7</v>
      </c>
      <c r="BF264" s="36">
        <v>5</v>
      </c>
      <c r="BG264" s="36">
        <v>4</v>
      </c>
      <c r="BH264" s="36">
        <v>5</v>
      </c>
      <c r="BI264" s="36">
        <v>9</v>
      </c>
      <c r="BJ264" s="36">
        <v>5</v>
      </c>
      <c r="BK264" s="36">
        <v>2</v>
      </c>
      <c r="BL264" s="36"/>
      <c r="BM264" s="36"/>
      <c r="BN264" s="36"/>
      <c r="BO264" s="36"/>
      <c r="BP264" s="36"/>
      <c r="BQ264" s="36"/>
      <c r="BR264" s="36"/>
      <c r="BS264" s="36"/>
      <c r="BT264" s="36"/>
      <c r="BU264" s="36"/>
      <c r="BV264" s="36"/>
      <c r="BW264" s="36"/>
      <c r="BX264" s="36"/>
      <c r="BY264" s="36"/>
      <c r="BZ264" s="36"/>
      <c r="CA264" s="36"/>
      <c r="CB264" s="36">
        <v>6</v>
      </c>
      <c r="CC264" s="36"/>
      <c r="CD264" s="36"/>
      <c r="CE264" s="36"/>
      <c r="CF264" s="36"/>
      <c r="CG264" s="36"/>
      <c r="CH264" s="36"/>
      <c r="CI264" s="36"/>
      <c r="CK264" s="4" t="b">
        <f t="shared" si="4"/>
        <v>0</v>
      </c>
    </row>
    <row r="265" spans="1:89" ht="90" customHeight="1">
      <c r="A265" s="32" t="s">
        <v>144</v>
      </c>
      <c r="B265" s="32" t="s">
        <v>198</v>
      </c>
      <c r="C265" s="32" t="s">
        <v>417</v>
      </c>
      <c r="D265" s="34"/>
      <c r="E265" s="34"/>
      <c r="F265" s="34"/>
      <c r="G265" s="34"/>
      <c r="H265" s="34"/>
      <c r="I265" s="34"/>
      <c r="J265" s="34"/>
      <c r="K265" s="34"/>
      <c r="L265" s="34"/>
      <c r="M265" s="34"/>
      <c r="N265" s="34"/>
      <c r="O265" s="34"/>
      <c r="P265" s="34"/>
      <c r="Q265" s="34"/>
      <c r="R265" s="34"/>
      <c r="S265" s="34"/>
      <c r="T265" s="34"/>
      <c r="U265" s="34"/>
      <c r="V265" s="34"/>
      <c r="W265" s="34"/>
      <c r="X265" s="34"/>
      <c r="Y265" s="34"/>
      <c r="Z265" s="34"/>
      <c r="AA265" s="34"/>
      <c r="AB265" s="36"/>
      <c r="AC265" s="36"/>
      <c r="AD265" s="36"/>
      <c r="AE265" s="36"/>
      <c r="AF265" s="36"/>
      <c r="AG265" s="36"/>
      <c r="AH265" s="36"/>
      <c r="AI265" s="36"/>
      <c r="AJ265" s="36"/>
      <c r="AK265" s="36"/>
      <c r="AL265" s="36"/>
      <c r="AM265" s="36"/>
      <c r="AN265" s="36"/>
      <c r="AO265" s="36"/>
      <c r="AP265" s="36"/>
      <c r="AQ265" s="36"/>
      <c r="AR265" s="36"/>
      <c r="AS265" s="36"/>
      <c r="AT265" s="36"/>
      <c r="AU265" s="36"/>
      <c r="AV265" s="36"/>
      <c r="AW265" s="36"/>
      <c r="AX265" s="36"/>
      <c r="AY265" s="36"/>
      <c r="AZ265" s="36"/>
      <c r="BA265" s="36"/>
      <c r="BB265" s="36"/>
      <c r="BC265" s="36"/>
      <c r="BD265" s="36"/>
      <c r="BE265" s="36"/>
      <c r="BF265" s="36"/>
      <c r="BG265" s="36"/>
      <c r="BH265" s="36"/>
      <c r="BI265" s="36">
        <v>2</v>
      </c>
      <c r="BJ265" s="36"/>
      <c r="BK265" s="36"/>
      <c r="BL265" s="36"/>
      <c r="BM265" s="36"/>
      <c r="BN265" s="36"/>
      <c r="BO265" s="36"/>
      <c r="BP265" s="36"/>
      <c r="BQ265" s="36"/>
      <c r="BR265" s="36"/>
      <c r="BS265" s="36"/>
      <c r="BT265" s="36"/>
      <c r="BU265" s="36"/>
      <c r="BV265" s="36"/>
      <c r="BW265" s="36"/>
      <c r="BX265" s="36"/>
      <c r="BY265" s="36"/>
      <c r="BZ265" s="36"/>
      <c r="CA265" s="36"/>
      <c r="CB265" s="36"/>
      <c r="CC265" s="36"/>
      <c r="CD265" s="36"/>
      <c r="CE265" s="36"/>
      <c r="CF265" s="36"/>
      <c r="CG265" s="36"/>
      <c r="CH265" s="36"/>
      <c r="CI265" s="36"/>
      <c r="CK265" s="4" t="b">
        <f t="shared" si="4"/>
        <v>0</v>
      </c>
    </row>
    <row r="266" spans="1:89" ht="90" customHeight="1">
      <c r="A266" s="32" t="s">
        <v>87</v>
      </c>
      <c r="B266" s="32" t="s">
        <v>90</v>
      </c>
      <c r="C266" s="32" t="s">
        <v>418</v>
      </c>
      <c r="D266" s="34"/>
      <c r="E266" s="34"/>
      <c r="F266" s="34"/>
      <c r="G266" s="34"/>
      <c r="H266" s="34">
        <v>100</v>
      </c>
      <c r="I266" s="34"/>
      <c r="J266" s="34">
        <v>100</v>
      </c>
      <c r="K266" s="34"/>
      <c r="L266" s="34"/>
      <c r="M266" s="34">
        <v>87.5</v>
      </c>
      <c r="N266" s="34"/>
      <c r="O266" s="34">
        <v>87.5</v>
      </c>
      <c r="P266" s="34"/>
      <c r="Q266" s="34"/>
      <c r="R266" s="34"/>
      <c r="S266" s="34"/>
      <c r="T266" s="34"/>
      <c r="U266" s="34"/>
      <c r="V266" s="34">
        <v>100</v>
      </c>
      <c r="W266" s="34"/>
      <c r="X266" s="34"/>
      <c r="Y266" s="34"/>
      <c r="Z266" s="34"/>
      <c r="AA266" s="34"/>
      <c r="AB266" s="36"/>
      <c r="AC266" s="36"/>
      <c r="AD266" s="36"/>
      <c r="AE266" s="36"/>
      <c r="AF266" s="36">
        <v>34</v>
      </c>
      <c r="AG266" s="36"/>
      <c r="AH266" s="36">
        <v>26</v>
      </c>
      <c r="AI266" s="36"/>
      <c r="AJ266" s="36"/>
      <c r="AK266" s="36">
        <v>16</v>
      </c>
      <c r="AL266" s="36">
        <v>29</v>
      </c>
      <c r="AM266" s="36">
        <v>27</v>
      </c>
      <c r="AN266" s="36"/>
      <c r="AO266" s="36"/>
      <c r="AP266" s="36"/>
      <c r="AQ266" s="36"/>
      <c r="AR266" s="36">
        <v>29</v>
      </c>
      <c r="AS266" s="36"/>
      <c r="AT266" s="36">
        <v>45</v>
      </c>
      <c r="AU266" s="36"/>
      <c r="AV266" s="36"/>
      <c r="AW266" s="36">
        <v>29</v>
      </c>
      <c r="AX266" s="36">
        <v>33</v>
      </c>
      <c r="AY266" s="36">
        <v>29</v>
      </c>
      <c r="AZ266" s="36"/>
      <c r="BA266" s="36"/>
      <c r="BB266" s="36"/>
      <c r="BC266" s="36"/>
      <c r="BD266" s="36">
        <v>36</v>
      </c>
      <c r="BE266" s="36"/>
      <c r="BF266" s="36">
        <v>42</v>
      </c>
      <c r="BG266" s="36"/>
      <c r="BH266" s="36"/>
      <c r="BI266" s="36"/>
      <c r="BJ266" s="36">
        <v>39</v>
      </c>
      <c r="BK266" s="36">
        <v>14</v>
      </c>
      <c r="BL266" s="36"/>
      <c r="BM266" s="36"/>
      <c r="BN266" s="36"/>
      <c r="BO266" s="36"/>
      <c r="BP266" s="36">
        <v>38</v>
      </c>
      <c r="BQ266" s="36"/>
      <c r="BR266" s="36">
        <v>30</v>
      </c>
      <c r="BS266" s="36"/>
      <c r="BT266" s="36"/>
      <c r="BU266" s="36"/>
      <c r="BV266" s="36">
        <v>10</v>
      </c>
      <c r="BW266" s="36">
        <v>18</v>
      </c>
      <c r="BX266" s="36"/>
      <c r="BY266" s="36"/>
      <c r="BZ266" s="36"/>
      <c r="CA266" s="36"/>
      <c r="CB266" s="36">
        <v>43</v>
      </c>
      <c r="CC266" s="36"/>
      <c r="CD266" s="36">
        <v>23</v>
      </c>
      <c r="CE266" s="36"/>
      <c r="CF266" s="36"/>
      <c r="CG266" s="36"/>
      <c r="CH266" s="36">
        <v>61</v>
      </c>
      <c r="CI266" s="36"/>
      <c r="CK266" s="4" t="b">
        <f t="shared" si="4"/>
        <v>0</v>
      </c>
    </row>
    <row r="267" spans="1:89" ht="60" customHeight="1">
      <c r="A267" s="32" t="s">
        <v>144</v>
      </c>
      <c r="B267" s="32" t="s">
        <v>145</v>
      </c>
      <c r="C267" s="32" t="s">
        <v>419</v>
      </c>
      <c r="D267" s="34"/>
      <c r="E267" s="34">
        <v>100</v>
      </c>
      <c r="F267" s="34">
        <v>100</v>
      </c>
      <c r="G267" s="34">
        <v>100</v>
      </c>
      <c r="H267" s="34">
        <v>100</v>
      </c>
      <c r="I267" s="34">
        <v>100</v>
      </c>
      <c r="J267" s="34">
        <v>100</v>
      </c>
      <c r="K267" s="34">
        <v>100</v>
      </c>
      <c r="L267" s="34">
        <v>100</v>
      </c>
      <c r="M267" s="34">
        <v>100</v>
      </c>
      <c r="N267" s="34">
        <v>100</v>
      </c>
      <c r="O267" s="34">
        <v>100</v>
      </c>
      <c r="P267" s="34"/>
      <c r="Q267" s="34"/>
      <c r="R267" s="34">
        <v>100</v>
      </c>
      <c r="S267" s="34">
        <v>100</v>
      </c>
      <c r="T267" s="34">
        <v>100</v>
      </c>
      <c r="U267" s="34">
        <v>100</v>
      </c>
      <c r="V267" s="34">
        <v>100</v>
      </c>
      <c r="W267" s="34">
        <v>100</v>
      </c>
      <c r="X267" s="34">
        <v>100</v>
      </c>
      <c r="Y267" s="34">
        <v>100</v>
      </c>
      <c r="Z267" s="34">
        <v>100</v>
      </c>
      <c r="AA267" s="34">
        <v>100</v>
      </c>
      <c r="AB267" s="36"/>
      <c r="AC267" s="36">
        <v>768</v>
      </c>
      <c r="AD267" s="36">
        <v>125</v>
      </c>
      <c r="AE267" s="36">
        <v>181</v>
      </c>
      <c r="AF267" s="36">
        <v>246</v>
      </c>
      <c r="AG267" s="36">
        <v>177</v>
      </c>
      <c r="AH267" s="36">
        <v>185</v>
      </c>
      <c r="AI267" s="36">
        <v>141</v>
      </c>
      <c r="AJ267" s="36">
        <v>184</v>
      </c>
      <c r="AK267" s="36">
        <v>135</v>
      </c>
      <c r="AL267" s="36">
        <v>181</v>
      </c>
      <c r="AM267" s="36">
        <v>153</v>
      </c>
      <c r="AN267" s="36"/>
      <c r="AO267" s="36">
        <v>1087</v>
      </c>
      <c r="AP267" s="36">
        <v>132</v>
      </c>
      <c r="AQ267" s="36">
        <v>137</v>
      </c>
      <c r="AR267" s="36">
        <v>142</v>
      </c>
      <c r="AS267" s="36">
        <v>172</v>
      </c>
      <c r="AT267" s="36">
        <v>188</v>
      </c>
      <c r="AU267" s="36">
        <v>153</v>
      </c>
      <c r="AV267" s="36">
        <v>198</v>
      </c>
      <c r="AW267" s="36">
        <v>123</v>
      </c>
      <c r="AX267" s="36">
        <v>141</v>
      </c>
      <c r="AY267" s="36">
        <v>133</v>
      </c>
      <c r="AZ267" s="36"/>
      <c r="BA267" s="36">
        <v>89</v>
      </c>
      <c r="BB267" s="36">
        <v>189</v>
      </c>
      <c r="BC267" s="36">
        <v>132</v>
      </c>
      <c r="BD267" s="36">
        <v>139</v>
      </c>
      <c r="BE267" s="36">
        <v>131</v>
      </c>
      <c r="BF267" s="36">
        <v>157</v>
      </c>
      <c r="BG267" s="36">
        <v>167</v>
      </c>
      <c r="BH267" s="36">
        <v>127</v>
      </c>
      <c r="BI267" s="36">
        <v>160</v>
      </c>
      <c r="BJ267" s="36">
        <v>127</v>
      </c>
      <c r="BK267" s="36">
        <v>226</v>
      </c>
      <c r="BL267" s="36"/>
      <c r="BM267" s="36">
        <v>10</v>
      </c>
      <c r="BN267" s="36">
        <v>46</v>
      </c>
      <c r="BO267" s="36">
        <v>33</v>
      </c>
      <c r="BP267" s="36">
        <v>139</v>
      </c>
      <c r="BQ267" s="36">
        <v>74</v>
      </c>
      <c r="BR267" s="36">
        <v>71</v>
      </c>
      <c r="BS267" s="36">
        <v>54</v>
      </c>
      <c r="BT267" s="36">
        <v>88</v>
      </c>
      <c r="BU267" s="36">
        <v>85</v>
      </c>
      <c r="BV267" s="36">
        <v>112</v>
      </c>
      <c r="BW267" s="36">
        <v>43</v>
      </c>
      <c r="BX267" s="36"/>
      <c r="BY267" s="36"/>
      <c r="BZ267" s="36">
        <v>1</v>
      </c>
      <c r="CA267" s="36">
        <v>1</v>
      </c>
      <c r="CB267" s="36">
        <v>110</v>
      </c>
      <c r="CC267" s="36"/>
      <c r="CD267" s="36">
        <v>1</v>
      </c>
      <c r="CE267" s="36"/>
      <c r="CF267" s="36">
        <v>2</v>
      </c>
      <c r="CG267" s="36"/>
      <c r="CH267" s="36">
        <v>1</v>
      </c>
      <c r="CI267" s="36"/>
      <c r="CK267" s="4" t="b">
        <f t="shared" si="4"/>
        <v>0</v>
      </c>
    </row>
    <row r="268" spans="1:89" ht="75" customHeight="1">
      <c r="A268" s="32" t="s">
        <v>124</v>
      </c>
      <c r="B268" s="32" t="s">
        <v>135</v>
      </c>
      <c r="C268" s="32" t="s">
        <v>420</v>
      </c>
      <c r="D268" s="34"/>
      <c r="E268" s="34"/>
      <c r="F268" s="34"/>
      <c r="G268" s="34"/>
      <c r="H268" s="34"/>
      <c r="I268" s="34"/>
      <c r="J268" s="34"/>
      <c r="K268" s="34"/>
      <c r="L268" s="34"/>
      <c r="M268" s="34"/>
      <c r="N268" s="34"/>
      <c r="O268" s="34"/>
      <c r="P268" s="34"/>
      <c r="Q268" s="34"/>
      <c r="R268" s="34"/>
      <c r="S268" s="34"/>
      <c r="T268" s="34"/>
      <c r="U268" s="34"/>
      <c r="V268" s="34"/>
      <c r="W268" s="34"/>
      <c r="X268" s="34"/>
      <c r="Y268" s="34"/>
      <c r="Z268" s="34"/>
      <c r="AA268" s="34"/>
      <c r="AB268" s="36"/>
      <c r="AC268" s="36"/>
      <c r="AD268" s="36"/>
      <c r="AE268" s="36"/>
      <c r="AF268" s="36"/>
      <c r="AG268" s="36"/>
      <c r="AH268" s="36">
        <v>8</v>
      </c>
      <c r="AI268" s="36">
        <v>8</v>
      </c>
      <c r="AJ268" s="36">
        <v>8</v>
      </c>
      <c r="AK268" s="36">
        <v>8</v>
      </c>
      <c r="AL268" s="36">
        <v>15</v>
      </c>
      <c r="AM268" s="36">
        <v>10</v>
      </c>
      <c r="AN268" s="36"/>
      <c r="AO268" s="36"/>
      <c r="AP268" s="36"/>
      <c r="AQ268" s="36"/>
      <c r="AR268" s="36"/>
      <c r="AS268" s="36"/>
      <c r="AT268" s="36">
        <v>8</v>
      </c>
      <c r="AU268" s="36">
        <v>8</v>
      </c>
      <c r="AV268" s="36">
        <v>8</v>
      </c>
      <c r="AW268" s="36">
        <v>8</v>
      </c>
      <c r="AX268" s="36">
        <v>15</v>
      </c>
      <c r="AY268" s="36">
        <v>11</v>
      </c>
      <c r="AZ268" s="36"/>
      <c r="BA268" s="36"/>
      <c r="BB268" s="36"/>
      <c r="BC268" s="36"/>
      <c r="BD268" s="36"/>
      <c r="BE268" s="36"/>
      <c r="BF268" s="36">
        <v>6</v>
      </c>
      <c r="BG268" s="36">
        <v>11</v>
      </c>
      <c r="BH268" s="36">
        <v>4</v>
      </c>
      <c r="BI268" s="36">
        <v>6</v>
      </c>
      <c r="BJ268" s="36">
        <v>6</v>
      </c>
      <c r="BK268" s="36">
        <v>16</v>
      </c>
      <c r="BL268" s="36"/>
      <c r="BM268" s="36"/>
      <c r="BN268" s="36"/>
      <c r="BO268" s="36"/>
      <c r="BP268" s="36"/>
      <c r="BQ268" s="36"/>
      <c r="BR268" s="36">
        <v>3</v>
      </c>
      <c r="BS268" s="36">
        <v>4</v>
      </c>
      <c r="BT268" s="36">
        <v>2</v>
      </c>
      <c r="BU268" s="36">
        <v>3</v>
      </c>
      <c r="BV268" s="36">
        <v>5</v>
      </c>
      <c r="BW268" s="36">
        <v>5</v>
      </c>
      <c r="BX268" s="36"/>
      <c r="BY268" s="36"/>
      <c r="BZ268" s="36"/>
      <c r="CA268" s="36"/>
      <c r="CB268" s="36"/>
      <c r="CC268" s="36"/>
      <c r="CD268" s="36">
        <v>4</v>
      </c>
      <c r="CE268" s="36"/>
      <c r="CF268" s="36">
        <v>2</v>
      </c>
      <c r="CG268" s="36"/>
      <c r="CH268" s="36">
        <v>4</v>
      </c>
      <c r="CI268" s="36">
        <v>2</v>
      </c>
      <c r="CK268" s="4" t="b">
        <f t="shared" si="4"/>
        <v>0</v>
      </c>
    </row>
    <row r="269" spans="1:89" ht="60" customHeight="1">
      <c r="A269" s="32" t="s">
        <v>87</v>
      </c>
      <c r="B269" s="32" t="s">
        <v>181</v>
      </c>
      <c r="C269" s="32" t="s">
        <v>421</v>
      </c>
      <c r="D269" s="34"/>
      <c r="E269" s="34"/>
      <c r="F269" s="34">
        <v>100</v>
      </c>
      <c r="G269" s="34">
        <v>100</v>
      </c>
      <c r="H269" s="34">
        <v>100</v>
      </c>
      <c r="I269" s="34">
        <v>100</v>
      </c>
      <c r="J269" s="34">
        <v>100</v>
      </c>
      <c r="K269" s="34">
        <v>100</v>
      </c>
      <c r="L269" s="34"/>
      <c r="M269" s="34"/>
      <c r="N269" s="34">
        <v>100</v>
      </c>
      <c r="O269" s="34"/>
      <c r="P269" s="34"/>
      <c r="Q269" s="34"/>
      <c r="R269" s="34"/>
      <c r="S269" s="34"/>
      <c r="T269" s="34"/>
      <c r="U269" s="34"/>
      <c r="V269" s="34"/>
      <c r="W269" s="34"/>
      <c r="X269" s="34"/>
      <c r="Y269" s="34"/>
      <c r="Z269" s="34"/>
      <c r="AA269" s="34"/>
      <c r="AB269" s="36"/>
      <c r="AC269" s="36"/>
      <c r="AD269" s="36">
        <v>5</v>
      </c>
      <c r="AE269" s="36">
        <v>6</v>
      </c>
      <c r="AF269" s="36">
        <v>4</v>
      </c>
      <c r="AG269" s="36">
        <v>3</v>
      </c>
      <c r="AH269" s="36">
        <v>2</v>
      </c>
      <c r="AI269" s="36">
        <v>4</v>
      </c>
      <c r="AJ269" s="36">
        <v>1</v>
      </c>
      <c r="AK269" s="36"/>
      <c r="AL269" s="36">
        <v>4</v>
      </c>
      <c r="AM269" s="36"/>
      <c r="AN269" s="36"/>
      <c r="AO269" s="36"/>
      <c r="AP269" s="36">
        <v>1</v>
      </c>
      <c r="AQ269" s="36">
        <v>1</v>
      </c>
      <c r="AR269" s="36">
        <v>2</v>
      </c>
      <c r="AS269" s="36">
        <v>2</v>
      </c>
      <c r="AT269" s="36">
        <v>2</v>
      </c>
      <c r="AU269" s="36">
        <v>2</v>
      </c>
      <c r="AV269" s="36">
        <v>1</v>
      </c>
      <c r="AW269" s="36"/>
      <c r="AX269" s="36">
        <v>3</v>
      </c>
      <c r="AY269" s="36"/>
      <c r="AZ269" s="36"/>
      <c r="BA269" s="36"/>
      <c r="BB269" s="36"/>
      <c r="BC269" s="36"/>
      <c r="BD269" s="36"/>
      <c r="BE269" s="36"/>
      <c r="BF269" s="36">
        <v>1</v>
      </c>
      <c r="BG269" s="36">
        <v>1</v>
      </c>
      <c r="BH269" s="36"/>
      <c r="BI269" s="36">
        <v>2</v>
      </c>
      <c r="BJ269" s="36">
        <v>2</v>
      </c>
      <c r="BK269" s="36"/>
      <c r="BL269" s="36"/>
      <c r="BM269" s="36"/>
      <c r="BN269" s="36"/>
      <c r="BO269" s="36"/>
      <c r="BP269" s="36"/>
      <c r="BQ269" s="36"/>
      <c r="BR269" s="36"/>
      <c r="BS269" s="36"/>
      <c r="BT269" s="36"/>
      <c r="BU269" s="36"/>
      <c r="BV269" s="36"/>
      <c r="BW269" s="36"/>
      <c r="BX269" s="36"/>
      <c r="BY269" s="36"/>
      <c r="BZ269" s="36"/>
      <c r="CA269" s="36"/>
      <c r="CB269" s="36"/>
      <c r="CC269" s="36"/>
      <c r="CD269" s="36"/>
      <c r="CE269" s="36"/>
      <c r="CF269" s="36"/>
      <c r="CG269" s="36"/>
      <c r="CH269" s="36"/>
      <c r="CI269" s="36"/>
      <c r="CK269" s="4" t="b">
        <f t="shared" si="4"/>
        <v>0</v>
      </c>
    </row>
    <row r="270" spans="1:89" ht="60" customHeight="1">
      <c r="A270" s="32" t="s">
        <v>92</v>
      </c>
      <c r="B270" s="32" t="s">
        <v>405</v>
      </c>
      <c r="C270" s="32" t="s">
        <v>422</v>
      </c>
      <c r="D270" s="34"/>
      <c r="E270" s="34">
        <v>100</v>
      </c>
      <c r="F270" s="34">
        <v>100</v>
      </c>
      <c r="G270" s="34">
        <v>100</v>
      </c>
      <c r="H270" s="34">
        <v>100</v>
      </c>
      <c r="I270" s="34">
        <v>100</v>
      </c>
      <c r="J270" s="34">
        <v>100</v>
      </c>
      <c r="K270" s="34">
        <v>100</v>
      </c>
      <c r="L270" s="34">
        <v>100</v>
      </c>
      <c r="M270" s="34">
        <v>100</v>
      </c>
      <c r="N270" s="34">
        <v>100</v>
      </c>
      <c r="O270" s="34">
        <v>100</v>
      </c>
      <c r="P270" s="34"/>
      <c r="Q270" s="34">
        <v>100</v>
      </c>
      <c r="R270" s="34">
        <v>100</v>
      </c>
      <c r="S270" s="34">
        <v>100</v>
      </c>
      <c r="T270" s="34">
        <v>100</v>
      </c>
      <c r="U270" s="34">
        <v>100</v>
      </c>
      <c r="V270" s="34">
        <v>100</v>
      </c>
      <c r="W270" s="34">
        <v>100</v>
      </c>
      <c r="X270" s="34">
        <v>100</v>
      </c>
      <c r="Y270" s="34">
        <v>100</v>
      </c>
      <c r="Z270" s="34">
        <v>100</v>
      </c>
      <c r="AA270" s="34">
        <v>100</v>
      </c>
      <c r="AB270" s="36"/>
      <c r="AC270" s="36">
        <v>22</v>
      </c>
      <c r="AD270" s="36">
        <v>28</v>
      </c>
      <c r="AE270" s="36">
        <v>17</v>
      </c>
      <c r="AF270" s="36">
        <v>27</v>
      </c>
      <c r="AG270" s="36">
        <v>27</v>
      </c>
      <c r="AH270" s="36">
        <v>28</v>
      </c>
      <c r="AI270" s="36">
        <v>22</v>
      </c>
      <c r="AJ270" s="36">
        <v>21</v>
      </c>
      <c r="AK270" s="36">
        <v>12</v>
      </c>
      <c r="AL270" s="36">
        <v>20</v>
      </c>
      <c r="AM270" s="36">
        <v>17</v>
      </c>
      <c r="AN270" s="36"/>
      <c r="AO270" s="36">
        <v>18</v>
      </c>
      <c r="AP270" s="36">
        <v>36</v>
      </c>
      <c r="AQ270" s="36">
        <v>30</v>
      </c>
      <c r="AR270" s="36">
        <v>18</v>
      </c>
      <c r="AS270" s="36">
        <v>29</v>
      </c>
      <c r="AT270" s="36">
        <v>28</v>
      </c>
      <c r="AU270" s="36">
        <v>24</v>
      </c>
      <c r="AV270" s="36">
        <v>25</v>
      </c>
      <c r="AW270" s="36">
        <v>18</v>
      </c>
      <c r="AX270" s="36">
        <v>30</v>
      </c>
      <c r="AY270" s="36">
        <v>24</v>
      </c>
      <c r="AZ270" s="36"/>
      <c r="BA270" s="36">
        <v>16</v>
      </c>
      <c r="BB270" s="36">
        <v>20</v>
      </c>
      <c r="BC270" s="36">
        <v>39</v>
      </c>
      <c r="BD270" s="36">
        <v>15</v>
      </c>
      <c r="BE270" s="36">
        <v>13</v>
      </c>
      <c r="BF270" s="36">
        <v>17</v>
      </c>
      <c r="BG270" s="36">
        <v>16</v>
      </c>
      <c r="BH270" s="36">
        <v>23</v>
      </c>
      <c r="BI270" s="36">
        <v>13</v>
      </c>
      <c r="BJ270" s="36">
        <v>6</v>
      </c>
      <c r="BK270" s="36">
        <v>6</v>
      </c>
      <c r="BL270" s="36"/>
      <c r="BM270" s="36"/>
      <c r="BN270" s="36">
        <v>2</v>
      </c>
      <c r="BO270" s="36">
        <v>4</v>
      </c>
      <c r="BP270" s="36">
        <v>7</v>
      </c>
      <c r="BQ270" s="36">
        <v>2</v>
      </c>
      <c r="BR270" s="36">
        <v>3</v>
      </c>
      <c r="BS270" s="36">
        <v>5</v>
      </c>
      <c r="BT270" s="36">
        <v>4</v>
      </c>
      <c r="BU270" s="36">
        <v>8</v>
      </c>
      <c r="BV270" s="36">
        <v>8</v>
      </c>
      <c r="BW270" s="36">
        <v>9</v>
      </c>
      <c r="BX270" s="36"/>
      <c r="BY270" s="36"/>
      <c r="BZ270" s="36"/>
      <c r="CA270" s="36"/>
      <c r="CB270" s="36"/>
      <c r="CC270" s="36"/>
      <c r="CD270" s="36">
        <v>1</v>
      </c>
      <c r="CE270" s="36"/>
      <c r="CF270" s="36">
        <v>1</v>
      </c>
      <c r="CG270" s="36"/>
      <c r="CH270" s="36">
        <v>54</v>
      </c>
      <c r="CI270" s="36"/>
      <c r="CK270" s="4" t="b">
        <f t="shared" si="4"/>
        <v>0</v>
      </c>
    </row>
    <row r="271" spans="1:89" ht="60" customHeight="1">
      <c r="A271" s="32" t="s">
        <v>87</v>
      </c>
      <c r="B271" s="32" t="s">
        <v>232</v>
      </c>
      <c r="C271" s="32" t="s">
        <v>423</v>
      </c>
      <c r="D271" s="34"/>
      <c r="E271" s="34"/>
      <c r="F271" s="34"/>
      <c r="G271" s="34"/>
      <c r="H271" s="34">
        <v>100</v>
      </c>
      <c r="I271" s="34"/>
      <c r="J271" s="34"/>
      <c r="K271" s="34"/>
      <c r="L271" s="34"/>
      <c r="M271" s="34"/>
      <c r="N271" s="34"/>
      <c r="O271" s="34"/>
      <c r="P271" s="34"/>
      <c r="Q271" s="34"/>
      <c r="R271" s="34"/>
      <c r="S271" s="34"/>
      <c r="T271" s="34"/>
      <c r="U271" s="34"/>
      <c r="V271" s="34"/>
      <c r="W271" s="34"/>
      <c r="X271" s="34"/>
      <c r="Y271" s="34"/>
      <c r="Z271" s="34"/>
      <c r="AA271" s="34"/>
      <c r="AB271" s="36"/>
      <c r="AC271" s="36"/>
      <c r="AD271" s="36"/>
      <c r="AE271" s="36"/>
      <c r="AF271" s="36">
        <v>17</v>
      </c>
      <c r="AG271" s="36"/>
      <c r="AH271" s="36"/>
      <c r="AI271" s="36"/>
      <c r="AJ271" s="36"/>
      <c r="AK271" s="36"/>
      <c r="AL271" s="36"/>
      <c r="AM271" s="36"/>
      <c r="AN271" s="36"/>
      <c r="AO271" s="36"/>
      <c r="AP271" s="36"/>
      <c r="AQ271" s="36"/>
      <c r="AR271" s="36">
        <v>23</v>
      </c>
      <c r="AS271" s="36"/>
      <c r="AT271" s="36"/>
      <c r="AU271" s="36"/>
      <c r="AV271" s="36"/>
      <c r="AW271" s="36"/>
      <c r="AX271" s="36"/>
      <c r="AY271" s="36"/>
      <c r="AZ271" s="36"/>
      <c r="BA271" s="36"/>
      <c r="BB271" s="36"/>
      <c r="BC271" s="36"/>
      <c r="BD271" s="36">
        <v>22</v>
      </c>
      <c r="BE271" s="36"/>
      <c r="BF271" s="36"/>
      <c r="BG271" s="36"/>
      <c r="BH271" s="36"/>
      <c r="BI271" s="36"/>
      <c r="BJ271" s="36"/>
      <c r="BK271" s="36"/>
      <c r="BL271" s="36"/>
      <c r="BM271" s="36"/>
      <c r="BN271" s="36"/>
      <c r="BO271" s="36"/>
      <c r="BP271" s="36">
        <v>10</v>
      </c>
      <c r="BQ271" s="36"/>
      <c r="BR271" s="36"/>
      <c r="BS271" s="36"/>
      <c r="BT271" s="36"/>
      <c r="BU271" s="36"/>
      <c r="BV271" s="36"/>
      <c r="BW271" s="36"/>
      <c r="BX271" s="36"/>
      <c r="BY271" s="36"/>
      <c r="BZ271" s="36"/>
      <c r="CA271" s="36"/>
      <c r="CB271" s="36">
        <v>30</v>
      </c>
      <c r="CC271" s="36"/>
      <c r="CD271" s="36"/>
      <c r="CE271" s="36"/>
      <c r="CF271" s="36"/>
      <c r="CG271" s="36"/>
      <c r="CH271" s="36"/>
      <c r="CI271" s="36"/>
      <c r="CK271" s="4" t="b">
        <f t="shared" si="4"/>
        <v>0</v>
      </c>
    </row>
    <row r="272" spans="1:89" ht="60" customHeight="1">
      <c r="A272" s="32" t="s">
        <v>92</v>
      </c>
      <c r="B272" s="32" t="s">
        <v>117</v>
      </c>
      <c r="C272" s="32" t="s">
        <v>424</v>
      </c>
      <c r="D272" s="34"/>
      <c r="E272" s="34">
        <v>100</v>
      </c>
      <c r="F272" s="34">
        <v>100</v>
      </c>
      <c r="G272" s="34">
        <v>100</v>
      </c>
      <c r="H272" s="34">
        <v>100</v>
      </c>
      <c r="I272" s="34">
        <v>100</v>
      </c>
      <c r="J272" s="34">
        <v>100</v>
      </c>
      <c r="K272" s="34">
        <v>100</v>
      </c>
      <c r="L272" s="34">
        <v>100</v>
      </c>
      <c r="M272" s="34">
        <v>100</v>
      </c>
      <c r="N272" s="34">
        <v>100</v>
      </c>
      <c r="O272" s="34">
        <v>100</v>
      </c>
      <c r="P272" s="34"/>
      <c r="Q272" s="34">
        <v>100</v>
      </c>
      <c r="R272" s="34">
        <v>100</v>
      </c>
      <c r="S272" s="34">
        <v>100</v>
      </c>
      <c r="T272" s="34">
        <v>100</v>
      </c>
      <c r="U272" s="34">
        <v>100</v>
      </c>
      <c r="V272" s="34">
        <v>100</v>
      </c>
      <c r="W272" s="34">
        <v>100</v>
      </c>
      <c r="X272" s="34">
        <v>100</v>
      </c>
      <c r="Y272" s="34">
        <v>100</v>
      </c>
      <c r="Z272" s="34">
        <v>100</v>
      </c>
      <c r="AA272" s="34">
        <v>100</v>
      </c>
      <c r="AB272" s="36"/>
      <c r="AC272" s="36">
        <v>24</v>
      </c>
      <c r="AD272" s="36">
        <v>20</v>
      </c>
      <c r="AE272" s="36">
        <v>23</v>
      </c>
      <c r="AF272" s="36">
        <v>16</v>
      </c>
      <c r="AG272" s="36">
        <v>25</v>
      </c>
      <c r="AH272" s="36">
        <v>18</v>
      </c>
      <c r="AI272" s="36">
        <v>15</v>
      </c>
      <c r="AJ272" s="36">
        <v>19</v>
      </c>
      <c r="AK272" s="36">
        <v>10</v>
      </c>
      <c r="AL272" s="36">
        <v>28</v>
      </c>
      <c r="AM272" s="36">
        <v>26</v>
      </c>
      <c r="AN272" s="36"/>
      <c r="AO272" s="36">
        <v>28</v>
      </c>
      <c r="AP272" s="36">
        <v>22</v>
      </c>
      <c r="AQ272" s="36">
        <v>27</v>
      </c>
      <c r="AR272" s="36">
        <v>20</v>
      </c>
      <c r="AS272" s="36">
        <v>26</v>
      </c>
      <c r="AT272" s="36">
        <v>21</v>
      </c>
      <c r="AU272" s="36">
        <v>19</v>
      </c>
      <c r="AV272" s="36">
        <v>22</v>
      </c>
      <c r="AW272" s="36">
        <v>19</v>
      </c>
      <c r="AX272" s="36">
        <v>24</v>
      </c>
      <c r="AY272" s="36">
        <v>21</v>
      </c>
      <c r="AZ272" s="36"/>
      <c r="BA272" s="36">
        <v>13</v>
      </c>
      <c r="BB272" s="36">
        <v>4</v>
      </c>
      <c r="BC272" s="36">
        <v>4</v>
      </c>
      <c r="BD272" s="36">
        <v>3</v>
      </c>
      <c r="BE272" s="36">
        <v>17</v>
      </c>
      <c r="BF272" s="36">
        <v>3</v>
      </c>
      <c r="BG272" s="36">
        <v>1</v>
      </c>
      <c r="BH272" s="36">
        <v>5</v>
      </c>
      <c r="BI272" s="36">
        <v>3</v>
      </c>
      <c r="BJ272" s="36">
        <v>3</v>
      </c>
      <c r="BK272" s="36">
        <v>7</v>
      </c>
      <c r="BL272" s="36"/>
      <c r="BM272" s="36">
        <v>3</v>
      </c>
      <c r="BN272" s="36">
        <v>1</v>
      </c>
      <c r="BO272" s="36"/>
      <c r="BP272" s="36">
        <v>3</v>
      </c>
      <c r="BQ272" s="36">
        <v>2</v>
      </c>
      <c r="BR272" s="36">
        <v>2</v>
      </c>
      <c r="BS272" s="36">
        <v>4</v>
      </c>
      <c r="BT272" s="36">
        <v>3</v>
      </c>
      <c r="BU272" s="36">
        <v>2</v>
      </c>
      <c r="BV272" s="36">
        <v>2</v>
      </c>
      <c r="BW272" s="36">
        <v>6</v>
      </c>
      <c r="BX272" s="36"/>
      <c r="BY272" s="36"/>
      <c r="BZ272" s="36"/>
      <c r="CA272" s="36"/>
      <c r="CB272" s="36"/>
      <c r="CC272" s="36"/>
      <c r="CD272" s="36"/>
      <c r="CE272" s="36"/>
      <c r="CF272" s="36"/>
      <c r="CG272" s="36"/>
      <c r="CH272" s="36"/>
      <c r="CI272" s="36"/>
      <c r="CK272" s="4" t="b">
        <f t="shared" si="4"/>
        <v>0</v>
      </c>
    </row>
    <row r="273" spans="1:89" ht="60" customHeight="1">
      <c r="A273" s="32" t="s">
        <v>87</v>
      </c>
      <c r="B273" s="32" t="s">
        <v>90</v>
      </c>
      <c r="C273" s="32" t="s">
        <v>425</v>
      </c>
      <c r="D273" s="34"/>
      <c r="E273" s="34"/>
      <c r="F273" s="34"/>
      <c r="G273" s="34"/>
      <c r="H273" s="34"/>
      <c r="I273" s="34"/>
      <c r="J273" s="34"/>
      <c r="K273" s="34"/>
      <c r="L273" s="34"/>
      <c r="M273" s="34"/>
      <c r="N273" s="34"/>
      <c r="O273" s="34"/>
      <c r="P273" s="34"/>
      <c r="Q273" s="34"/>
      <c r="R273" s="34"/>
      <c r="S273" s="34"/>
      <c r="T273" s="34"/>
      <c r="U273" s="34"/>
      <c r="V273" s="34"/>
      <c r="W273" s="34"/>
      <c r="X273" s="34"/>
      <c r="Y273" s="34"/>
      <c r="Z273" s="34"/>
      <c r="AA273" s="34"/>
      <c r="AB273" s="36"/>
      <c r="AC273" s="36"/>
      <c r="AD273" s="36"/>
      <c r="AE273" s="36"/>
      <c r="AF273" s="36"/>
      <c r="AG273" s="36"/>
      <c r="AH273" s="36"/>
      <c r="AI273" s="36"/>
      <c r="AJ273" s="36"/>
      <c r="AK273" s="36">
        <v>5</v>
      </c>
      <c r="AL273" s="36">
        <v>20</v>
      </c>
      <c r="AM273" s="36">
        <v>11</v>
      </c>
      <c r="AN273" s="36"/>
      <c r="AO273" s="36"/>
      <c r="AP273" s="36"/>
      <c r="AQ273" s="36"/>
      <c r="AR273" s="36"/>
      <c r="AS273" s="36"/>
      <c r="AT273" s="36"/>
      <c r="AU273" s="36"/>
      <c r="AV273" s="36"/>
      <c r="AW273" s="36">
        <v>9</v>
      </c>
      <c r="AX273" s="36">
        <v>24</v>
      </c>
      <c r="AY273" s="36">
        <v>14</v>
      </c>
      <c r="AZ273" s="36"/>
      <c r="BA273" s="36"/>
      <c r="BB273" s="36"/>
      <c r="BC273" s="36"/>
      <c r="BD273" s="36"/>
      <c r="BE273" s="36"/>
      <c r="BF273" s="36"/>
      <c r="BG273" s="36"/>
      <c r="BH273" s="36"/>
      <c r="BI273" s="36"/>
      <c r="BJ273" s="36"/>
      <c r="BK273" s="36"/>
      <c r="BL273" s="36"/>
      <c r="BM273" s="36"/>
      <c r="BN273" s="36"/>
      <c r="BO273" s="36"/>
      <c r="BP273" s="36"/>
      <c r="BQ273" s="36"/>
      <c r="BR273" s="36"/>
      <c r="BS273" s="36"/>
      <c r="BT273" s="36"/>
      <c r="BU273" s="36"/>
      <c r="BV273" s="36"/>
      <c r="BW273" s="36"/>
      <c r="BX273" s="36"/>
      <c r="BY273" s="36"/>
      <c r="BZ273" s="36"/>
      <c r="CA273" s="36"/>
      <c r="CB273" s="36"/>
      <c r="CC273" s="36"/>
      <c r="CD273" s="36"/>
      <c r="CE273" s="36"/>
      <c r="CF273" s="36"/>
      <c r="CG273" s="36"/>
      <c r="CH273" s="36"/>
      <c r="CI273" s="36"/>
      <c r="CK273" s="4" t="b">
        <f t="shared" si="4"/>
        <v>0</v>
      </c>
    </row>
    <row r="274" spans="1:89" ht="75" customHeight="1">
      <c r="A274" s="32" t="s">
        <v>144</v>
      </c>
      <c r="B274" s="32" t="s">
        <v>316</v>
      </c>
      <c r="C274" s="32" t="s">
        <v>426</v>
      </c>
      <c r="D274" s="34">
        <v>100</v>
      </c>
      <c r="E274" s="34">
        <v>75</v>
      </c>
      <c r="F274" s="34">
        <v>100</v>
      </c>
      <c r="G274" s="34">
        <v>100</v>
      </c>
      <c r="H274" s="34">
        <v>100</v>
      </c>
      <c r="I274" s="34">
        <v>100</v>
      </c>
      <c r="J274" s="34">
        <v>100</v>
      </c>
      <c r="K274" s="34">
        <v>100</v>
      </c>
      <c r="L274" s="34">
        <v>100</v>
      </c>
      <c r="M274" s="34">
        <v>75</v>
      </c>
      <c r="N274" s="34">
        <v>100</v>
      </c>
      <c r="O274" s="34"/>
      <c r="P274" s="34">
        <v>100</v>
      </c>
      <c r="Q274" s="34">
        <v>100</v>
      </c>
      <c r="R274" s="34"/>
      <c r="S274" s="34"/>
      <c r="T274" s="34"/>
      <c r="U274" s="34"/>
      <c r="V274" s="34"/>
      <c r="W274" s="34"/>
      <c r="X274" s="34">
        <v>50</v>
      </c>
      <c r="Y274" s="34">
        <v>50</v>
      </c>
      <c r="Z274" s="34"/>
      <c r="AA274" s="34"/>
      <c r="AB274" s="36">
        <v>4</v>
      </c>
      <c r="AC274" s="36">
        <v>31</v>
      </c>
      <c r="AD274" s="36">
        <v>5</v>
      </c>
      <c r="AE274" s="36">
        <v>3</v>
      </c>
      <c r="AF274" s="36">
        <v>4</v>
      </c>
      <c r="AG274" s="36">
        <v>5</v>
      </c>
      <c r="AH274" s="36">
        <v>1</v>
      </c>
      <c r="AI274" s="36">
        <v>3</v>
      </c>
      <c r="AJ274" s="36">
        <v>9</v>
      </c>
      <c r="AK274" s="36">
        <v>6</v>
      </c>
      <c r="AL274" s="36">
        <v>9</v>
      </c>
      <c r="AM274" s="36"/>
      <c r="AN274" s="36">
        <v>6</v>
      </c>
      <c r="AO274" s="36">
        <v>25</v>
      </c>
      <c r="AP274" s="36">
        <v>4</v>
      </c>
      <c r="AQ274" s="36">
        <v>5</v>
      </c>
      <c r="AR274" s="36">
        <v>7</v>
      </c>
      <c r="AS274" s="36">
        <v>8</v>
      </c>
      <c r="AT274" s="36">
        <v>4</v>
      </c>
      <c r="AU274" s="36">
        <v>8</v>
      </c>
      <c r="AV274" s="36">
        <v>23</v>
      </c>
      <c r="AW274" s="36">
        <v>4</v>
      </c>
      <c r="AX274" s="36">
        <v>10</v>
      </c>
      <c r="AY274" s="36"/>
      <c r="AZ274" s="36"/>
      <c r="BA274" s="36"/>
      <c r="BB274" s="36"/>
      <c r="BC274" s="36"/>
      <c r="BD274" s="36"/>
      <c r="BE274" s="36"/>
      <c r="BF274" s="36"/>
      <c r="BG274" s="36"/>
      <c r="BH274" s="36"/>
      <c r="BI274" s="36"/>
      <c r="BJ274" s="36"/>
      <c r="BK274" s="36"/>
      <c r="BL274" s="36">
        <v>3</v>
      </c>
      <c r="BM274" s="36">
        <v>4</v>
      </c>
      <c r="BN274" s="36">
        <v>4</v>
      </c>
      <c r="BO274" s="36"/>
      <c r="BP274" s="36">
        <v>2</v>
      </c>
      <c r="BQ274" s="36">
        <v>2</v>
      </c>
      <c r="BR274" s="36">
        <v>1</v>
      </c>
      <c r="BS274" s="36">
        <v>2</v>
      </c>
      <c r="BT274" s="36">
        <v>2</v>
      </c>
      <c r="BU274" s="36">
        <v>2</v>
      </c>
      <c r="BV274" s="36">
        <v>7</v>
      </c>
      <c r="BW274" s="36"/>
      <c r="BX274" s="36">
        <v>2</v>
      </c>
      <c r="BY274" s="36">
        <v>4</v>
      </c>
      <c r="BZ274" s="36">
        <v>3</v>
      </c>
      <c r="CA274" s="36"/>
      <c r="CB274" s="36"/>
      <c r="CC274" s="36">
        <v>1</v>
      </c>
      <c r="CD274" s="36">
        <v>1</v>
      </c>
      <c r="CE274" s="36">
        <v>2</v>
      </c>
      <c r="CF274" s="36">
        <v>2</v>
      </c>
      <c r="CG274" s="36">
        <v>2</v>
      </c>
      <c r="CH274" s="36">
        <v>2</v>
      </c>
      <c r="CI274" s="36"/>
      <c r="CK274" s="4" t="b">
        <f t="shared" si="4"/>
        <v>1</v>
      </c>
    </row>
    <row r="275" spans="1:89" ht="60" customHeight="1">
      <c r="A275" s="32" t="s">
        <v>87</v>
      </c>
      <c r="B275" s="32" t="s">
        <v>90</v>
      </c>
      <c r="C275" s="32" t="s">
        <v>427</v>
      </c>
      <c r="D275" s="34"/>
      <c r="E275" s="34"/>
      <c r="F275" s="34"/>
      <c r="G275" s="34"/>
      <c r="H275" s="34"/>
      <c r="I275" s="34"/>
      <c r="J275" s="34"/>
      <c r="K275" s="34"/>
      <c r="L275" s="34"/>
      <c r="M275" s="34"/>
      <c r="N275" s="34"/>
      <c r="O275" s="34"/>
      <c r="P275" s="34"/>
      <c r="Q275" s="34"/>
      <c r="R275" s="34"/>
      <c r="S275" s="34"/>
      <c r="T275" s="34"/>
      <c r="U275" s="34"/>
      <c r="V275" s="34"/>
      <c r="W275" s="34"/>
      <c r="X275" s="34"/>
      <c r="Y275" s="34"/>
      <c r="Z275" s="34"/>
      <c r="AA275" s="34"/>
      <c r="AB275" s="36"/>
      <c r="AC275" s="36"/>
      <c r="AD275" s="36">
        <v>48</v>
      </c>
      <c r="AE275" s="36"/>
      <c r="AF275" s="36"/>
      <c r="AG275" s="36"/>
      <c r="AH275" s="36"/>
      <c r="AI275" s="36"/>
      <c r="AJ275" s="36">
        <v>28</v>
      </c>
      <c r="AK275" s="36">
        <v>46</v>
      </c>
      <c r="AL275" s="36">
        <v>44</v>
      </c>
      <c r="AM275" s="36"/>
      <c r="AN275" s="36"/>
      <c r="AO275" s="36"/>
      <c r="AP275" s="36">
        <v>63</v>
      </c>
      <c r="AQ275" s="36"/>
      <c r="AR275" s="36"/>
      <c r="AS275" s="36"/>
      <c r="AT275" s="36"/>
      <c r="AU275" s="36"/>
      <c r="AV275" s="36">
        <v>35</v>
      </c>
      <c r="AW275" s="36">
        <v>45</v>
      </c>
      <c r="AX275" s="36">
        <v>26</v>
      </c>
      <c r="AY275" s="36"/>
      <c r="AZ275" s="36"/>
      <c r="BA275" s="36"/>
      <c r="BB275" s="36"/>
      <c r="BC275" s="36"/>
      <c r="BD275" s="36"/>
      <c r="BE275" s="36"/>
      <c r="BF275" s="36"/>
      <c r="BG275" s="36"/>
      <c r="BH275" s="36">
        <v>51</v>
      </c>
      <c r="BI275" s="36">
        <v>39</v>
      </c>
      <c r="BJ275" s="36">
        <v>57</v>
      </c>
      <c r="BK275" s="36"/>
      <c r="BL275" s="36"/>
      <c r="BM275" s="36"/>
      <c r="BN275" s="36"/>
      <c r="BO275" s="36"/>
      <c r="BP275" s="36"/>
      <c r="BQ275" s="36"/>
      <c r="BR275" s="36"/>
      <c r="BS275" s="36"/>
      <c r="BT275" s="36">
        <v>190</v>
      </c>
      <c r="BU275" s="36">
        <v>227</v>
      </c>
      <c r="BV275" s="36">
        <v>267</v>
      </c>
      <c r="BW275" s="36"/>
      <c r="BX275" s="36"/>
      <c r="BY275" s="36"/>
      <c r="BZ275" s="36"/>
      <c r="CA275" s="36"/>
      <c r="CB275" s="36"/>
      <c r="CC275" s="36"/>
      <c r="CD275" s="36"/>
      <c r="CE275" s="36"/>
      <c r="CF275" s="36">
        <v>213</v>
      </c>
      <c r="CG275" s="36">
        <v>126</v>
      </c>
      <c r="CH275" s="36">
        <v>164</v>
      </c>
      <c r="CI275" s="36"/>
      <c r="CK275" s="4" t="b">
        <f t="shared" si="4"/>
        <v>0</v>
      </c>
    </row>
    <row r="276" spans="1:89" ht="60" customHeight="1">
      <c r="A276" s="32" t="s">
        <v>109</v>
      </c>
      <c r="B276" s="32" t="s">
        <v>194</v>
      </c>
      <c r="C276" s="32" t="s">
        <v>428</v>
      </c>
      <c r="D276" s="34"/>
      <c r="E276" s="34">
        <v>100</v>
      </c>
      <c r="F276" s="34">
        <v>100</v>
      </c>
      <c r="G276" s="34"/>
      <c r="H276" s="34">
        <v>100</v>
      </c>
      <c r="I276" s="34">
        <v>100</v>
      </c>
      <c r="J276" s="34"/>
      <c r="K276" s="34">
        <v>100</v>
      </c>
      <c r="L276" s="34">
        <v>100</v>
      </c>
      <c r="M276" s="34"/>
      <c r="N276" s="34"/>
      <c r="O276" s="34">
        <v>100</v>
      </c>
      <c r="P276" s="34"/>
      <c r="Q276" s="34"/>
      <c r="R276" s="34"/>
      <c r="S276" s="34"/>
      <c r="T276" s="34"/>
      <c r="U276" s="34"/>
      <c r="V276" s="34"/>
      <c r="W276" s="34"/>
      <c r="X276" s="34"/>
      <c r="Y276" s="34"/>
      <c r="Z276" s="34"/>
      <c r="AA276" s="34"/>
      <c r="AB276" s="36"/>
      <c r="AC276" s="36">
        <v>26</v>
      </c>
      <c r="AD276" s="36">
        <v>17</v>
      </c>
      <c r="AE276" s="36"/>
      <c r="AF276" s="36">
        <v>4</v>
      </c>
      <c r="AG276" s="36">
        <v>6</v>
      </c>
      <c r="AH276" s="36"/>
      <c r="AI276" s="36">
        <v>5</v>
      </c>
      <c r="AJ276" s="36">
        <v>3</v>
      </c>
      <c r="AK276" s="36"/>
      <c r="AL276" s="36"/>
      <c r="AM276" s="36"/>
      <c r="AN276" s="36"/>
      <c r="AO276" s="36">
        <v>28</v>
      </c>
      <c r="AP276" s="36">
        <v>23</v>
      </c>
      <c r="AQ276" s="36"/>
      <c r="AR276" s="36">
        <v>4</v>
      </c>
      <c r="AS276" s="36">
        <v>6</v>
      </c>
      <c r="AT276" s="36"/>
      <c r="AU276" s="36">
        <v>7</v>
      </c>
      <c r="AV276" s="36">
        <v>3</v>
      </c>
      <c r="AW276" s="36"/>
      <c r="AX276" s="36"/>
      <c r="AY276" s="36">
        <v>5</v>
      </c>
      <c r="AZ276" s="36"/>
      <c r="BA276" s="36"/>
      <c r="BB276" s="36">
        <v>15</v>
      </c>
      <c r="BC276" s="36"/>
      <c r="BD276" s="36">
        <v>11</v>
      </c>
      <c r="BE276" s="36">
        <v>8</v>
      </c>
      <c r="BF276" s="36"/>
      <c r="BG276" s="36">
        <v>8</v>
      </c>
      <c r="BH276" s="36">
        <v>45</v>
      </c>
      <c r="BI276" s="36"/>
      <c r="BJ276" s="36"/>
      <c r="BK276" s="36"/>
      <c r="BL276" s="36"/>
      <c r="BM276" s="36"/>
      <c r="BN276" s="36">
        <v>4</v>
      </c>
      <c r="BO276" s="36"/>
      <c r="BP276" s="36">
        <v>4</v>
      </c>
      <c r="BQ276" s="36"/>
      <c r="BR276" s="36"/>
      <c r="BS276" s="36">
        <v>9</v>
      </c>
      <c r="BT276" s="36">
        <v>35</v>
      </c>
      <c r="BU276" s="36"/>
      <c r="BV276" s="36"/>
      <c r="BW276" s="36"/>
      <c r="BX276" s="36"/>
      <c r="BY276" s="36">
        <v>2</v>
      </c>
      <c r="BZ276" s="36">
        <v>5</v>
      </c>
      <c r="CA276" s="36"/>
      <c r="CB276" s="36">
        <v>7</v>
      </c>
      <c r="CC276" s="36">
        <v>1</v>
      </c>
      <c r="CD276" s="36"/>
      <c r="CE276" s="36">
        <v>8</v>
      </c>
      <c r="CF276" s="36">
        <v>45</v>
      </c>
      <c r="CG276" s="36"/>
      <c r="CH276" s="36"/>
      <c r="CI276" s="36"/>
      <c r="CK276" s="4" t="b">
        <f t="shared" si="4"/>
        <v>0</v>
      </c>
    </row>
    <row r="277" spans="1:89" ht="60" customHeight="1">
      <c r="A277" s="32" t="s">
        <v>144</v>
      </c>
      <c r="B277" s="32" t="s">
        <v>316</v>
      </c>
      <c r="C277" s="32" t="s">
        <v>429</v>
      </c>
      <c r="D277" s="34">
        <v>75</v>
      </c>
      <c r="E277" s="34">
        <v>80</v>
      </c>
      <c r="F277" s="34">
        <v>100</v>
      </c>
      <c r="G277" s="34">
        <v>100</v>
      </c>
      <c r="H277" s="34">
        <v>100</v>
      </c>
      <c r="I277" s="34">
        <v>100</v>
      </c>
      <c r="J277" s="34"/>
      <c r="K277" s="34"/>
      <c r="L277" s="34">
        <v>100</v>
      </c>
      <c r="M277" s="34">
        <v>100</v>
      </c>
      <c r="N277" s="34">
        <v>100</v>
      </c>
      <c r="O277" s="34">
        <v>100</v>
      </c>
      <c r="P277" s="34"/>
      <c r="Q277" s="34"/>
      <c r="R277" s="34"/>
      <c r="S277" s="34"/>
      <c r="T277" s="34"/>
      <c r="U277" s="34"/>
      <c r="V277" s="34"/>
      <c r="W277" s="34"/>
      <c r="X277" s="34"/>
      <c r="Y277" s="34"/>
      <c r="Z277" s="34"/>
      <c r="AA277" s="34"/>
      <c r="AB277" s="36">
        <v>4</v>
      </c>
      <c r="AC277" s="36">
        <v>4</v>
      </c>
      <c r="AD277" s="36">
        <v>8</v>
      </c>
      <c r="AE277" s="36">
        <v>4</v>
      </c>
      <c r="AF277" s="36">
        <v>5</v>
      </c>
      <c r="AG277" s="36">
        <v>12</v>
      </c>
      <c r="AH277" s="36"/>
      <c r="AI277" s="36"/>
      <c r="AJ277" s="36">
        <v>6</v>
      </c>
      <c r="AK277" s="36">
        <v>6</v>
      </c>
      <c r="AL277" s="36">
        <v>3</v>
      </c>
      <c r="AM277" s="36">
        <v>7</v>
      </c>
      <c r="AN277" s="36">
        <v>5</v>
      </c>
      <c r="AO277" s="36">
        <v>5</v>
      </c>
      <c r="AP277" s="36">
        <v>9</v>
      </c>
      <c r="AQ277" s="36">
        <v>6</v>
      </c>
      <c r="AR277" s="36">
        <v>3</v>
      </c>
      <c r="AS277" s="36">
        <v>5</v>
      </c>
      <c r="AT277" s="36"/>
      <c r="AU277" s="36"/>
      <c r="AV277" s="36">
        <v>5</v>
      </c>
      <c r="AW277" s="36">
        <v>10</v>
      </c>
      <c r="AX277" s="36">
        <v>4</v>
      </c>
      <c r="AY277" s="36">
        <v>8</v>
      </c>
      <c r="AZ277" s="36"/>
      <c r="BA277" s="36"/>
      <c r="BB277" s="36">
        <v>2</v>
      </c>
      <c r="BC277" s="36"/>
      <c r="BD277" s="36">
        <v>9</v>
      </c>
      <c r="BE277" s="36">
        <v>1</v>
      </c>
      <c r="BF277" s="36"/>
      <c r="BG277" s="36"/>
      <c r="BH277" s="36">
        <v>5</v>
      </c>
      <c r="BI277" s="36">
        <v>13</v>
      </c>
      <c r="BJ277" s="36">
        <v>8</v>
      </c>
      <c r="BK277" s="36">
        <v>1</v>
      </c>
      <c r="BL277" s="36">
        <v>2</v>
      </c>
      <c r="BM277" s="36">
        <v>4</v>
      </c>
      <c r="BN277" s="36">
        <v>1</v>
      </c>
      <c r="BO277" s="36">
        <v>2</v>
      </c>
      <c r="BP277" s="36">
        <v>1</v>
      </c>
      <c r="BQ277" s="36">
        <v>2</v>
      </c>
      <c r="BR277" s="36"/>
      <c r="BS277" s="36"/>
      <c r="BT277" s="36">
        <v>4</v>
      </c>
      <c r="BU277" s="36">
        <v>4</v>
      </c>
      <c r="BV277" s="36">
        <v>2</v>
      </c>
      <c r="BW277" s="36">
        <v>1</v>
      </c>
      <c r="BX277" s="36">
        <v>2</v>
      </c>
      <c r="BY277" s="36">
        <v>2</v>
      </c>
      <c r="BZ277" s="36"/>
      <c r="CA277" s="36">
        <v>2</v>
      </c>
      <c r="CB277" s="36"/>
      <c r="CC277" s="36"/>
      <c r="CD277" s="36"/>
      <c r="CE277" s="36"/>
      <c r="CF277" s="36">
        <v>3</v>
      </c>
      <c r="CG277" s="36">
        <v>2</v>
      </c>
      <c r="CH277" s="36">
        <v>8</v>
      </c>
      <c r="CI277" s="36"/>
      <c r="CK277" s="4" t="b">
        <f t="shared" si="4"/>
        <v>1</v>
      </c>
    </row>
    <row r="278" spans="1:89" ht="60" customHeight="1">
      <c r="A278" s="32" t="s">
        <v>87</v>
      </c>
      <c r="B278" s="32" t="s">
        <v>131</v>
      </c>
      <c r="C278" s="32" t="s">
        <v>430</v>
      </c>
      <c r="D278" s="34"/>
      <c r="E278" s="34"/>
      <c r="F278" s="34"/>
      <c r="G278" s="34"/>
      <c r="H278" s="34"/>
      <c r="I278" s="34">
        <v>100</v>
      </c>
      <c r="J278" s="34">
        <v>100</v>
      </c>
      <c r="K278" s="34"/>
      <c r="L278" s="34">
        <v>100</v>
      </c>
      <c r="M278" s="34">
        <v>100</v>
      </c>
      <c r="N278" s="34">
        <v>75</v>
      </c>
      <c r="O278" s="34"/>
      <c r="P278" s="34"/>
      <c r="Q278" s="34"/>
      <c r="R278" s="34"/>
      <c r="S278" s="34"/>
      <c r="T278" s="34"/>
      <c r="U278" s="34"/>
      <c r="V278" s="34"/>
      <c r="W278" s="34"/>
      <c r="X278" s="34"/>
      <c r="Y278" s="34"/>
      <c r="Z278" s="34"/>
      <c r="AA278" s="34"/>
      <c r="AB278" s="36"/>
      <c r="AC278" s="36"/>
      <c r="AD278" s="36"/>
      <c r="AE278" s="36">
        <v>75</v>
      </c>
      <c r="AF278" s="36">
        <v>53</v>
      </c>
      <c r="AG278" s="36">
        <v>61</v>
      </c>
      <c r="AH278" s="36">
        <v>98</v>
      </c>
      <c r="AI278" s="36">
        <v>75</v>
      </c>
      <c r="AJ278" s="36">
        <v>64</v>
      </c>
      <c r="AK278" s="36">
        <v>65</v>
      </c>
      <c r="AL278" s="36">
        <v>64</v>
      </c>
      <c r="AM278" s="36"/>
      <c r="AN278" s="36"/>
      <c r="AO278" s="36"/>
      <c r="AP278" s="36"/>
      <c r="AQ278" s="36">
        <v>66</v>
      </c>
      <c r="AR278" s="36">
        <v>36</v>
      </c>
      <c r="AS278" s="36">
        <v>28</v>
      </c>
      <c r="AT278" s="36">
        <v>84</v>
      </c>
      <c r="AU278" s="36">
        <v>66</v>
      </c>
      <c r="AV278" s="36">
        <v>72</v>
      </c>
      <c r="AW278" s="36">
        <v>92</v>
      </c>
      <c r="AX278" s="36">
        <v>40</v>
      </c>
      <c r="AY278" s="36"/>
      <c r="AZ278" s="36"/>
      <c r="BA278" s="36"/>
      <c r="BB278" s="36"/>
      <c r="BC278" s="36">
        <v>99</v>
      </c>
      <c r="BD278" s="36">
        <v>135</v>
      </c>
      <c r="BE278" s="36">
        <v>341</v>
      </c>
      <c r="BF278" s="36">
        <v>270</v>
      </c>
      <c r="BG278" s="36">
        <v>200</v>
      </c>
      <c r="BH278" s="36">
        <v>522</v>
      </c>
      <c r="BI278" s="36">
        <v>102</v>
      </c>
      <c r="BJ278" s="36">
        <v>191</v>
      </c>
      <c r="BK278" s="36"/>
      <c r="BL278" s="36"/>
      <c r="BM278" s="36"/>
      <c r="BN278" s="36"/>
      <c r="BO278" s="36"/>
      <c r="BP278" s="36">
        <v>34</v>
      </c>
      <c r="BQ278" s="36">
        <v>30</v>
      </c>
      <c r="BR278" s="36">
        <v>30</v>
      </c>
      <c r="BS278" s="36">
        <v>59</v>
      </c>
      <c r="BT278" s="36">
        <v>73</v>
      </c>
      <c r="BU278" s="36">
        <v>62</v>
      </c>
      <c r="BV278" s="36">
        <v>61</v>
      </c>
      <c r="BW278" s="36"/>
      <c r="BX278" s="36"/>
      <c r="BY278" s="36"/>
      <c r="BZ278" s="36"/>
      <c r="CA278" s="36"/>
      <c r="CB278" s="36">
        <v>14</v>
      </c>
      <c r="CC278" s="36">
        <v>7</v>
      </c>
      <c r="CD278" s="36">
        <v>6</v>
      </c>
      <c r="CE278" s="36">
        <v>5</v>
      </c>
      <c r="CF278" s="36">
        <v>6</v>
      </c>
      <c r="CG278" s="36">
        <v>9</v>
      </c>
      <c r="CH278" s="36">
        <v>17</v>
      </c>
      <c r="CI278" s="36"/>
      <c r="CK278" s="4" t="b">
        <f t="shared" si="4"/>
        <v>0</v>
      </c>
    </row>
    <row r="279" spans="1:89" ht="60" customHeight="1">
      <c r="A279" s="32" t="s">
        <v>87</v>
      </c>
      <c r="B279" s="32" t="s">
        <v>232</v>
      </c>
      <c r="C279" s="32" t="s">
        <v>431</v>
      </c>
      <c r="D279" s="34">
        <v>100</v>
      </c>
      <c r="E279" s="34">
        <v>100</v>
      </c>
      <c r="F279" s="34">
        <v>100</v>
      </c>
      <c r="G279" s="34">
        <v>100</v>
      </c>
      <c r="H279" s="34">
        <v>100</v>
      </c>
      <c r="I279" s="34">
        <v>100</v>
      </c>
      <c r="J279" s="34">
        <v>100</v>
      </c>
      <c r="K279" s="34">
        <v>100</v>
      </c>
      <c r="L279" s="34">
        <v>100</v>
      </c>
      <c r="M279" s="34">
        <v>100</v>
      </c>
      <c r="N279" s="34"/>
      <c r="O279" s="34">
        <v>100</v>
      </c>
      <c r="P279" s="34"/>
      <c r="Q279" s="34"/>
      <c r="R279" s="34"/>
      <c r="S279" s="34">
        <v>100</v>
      </c>
      <c r="T279" s="34"/>
      <c r="U279" s="34">
        <v>25</v>
      </c>
      <c r="V279" s="34">
        <v>75</v>
      </c>
      <c r="W279" s="34">
        <v>100</v>
      </c>
      <c r="X279" s="34">
        <v>100</v>
      </c>
      <c r="Y279" s="34">
        <v>80</v>
      </c>
      <c r="Z279" s="34"/>
      <c r="AA279" s="34">
        <v>100</v>
      </c>
      <c r="AB279" s="36">
        <v>54</v>
      </c>
      <c r="AC279" s="36">
        <v>46</v>
      </c>
      <c r="AD279" s="36">
        <v>52</v>
      </c>
      <c r="AE279" s="36">
        <v>49</v>
      </c>
      <c r="AF279" s="36">
        <v>79</v>
      </c>
      <c r="AG279" s="36">
        <v>83</v>
      </c>
      <c r="AH279" s="36">
        <v>74</v>
      </c>
      <c r="AI279" s="36">
        <v>79</v>
      </c>
      <c r="AJ279" s="36">
        <v>61</v>
      </c>
      <c r="AK279" s="36">
        <v>60</v>
      </c>
      <c r="AL279" s="36">
        <v>60</v>
      </c>
      <c r="AM279" s="36">
        <v>86</v>
      </c>
      <c r="AN279" s="36">
        <v>55</v>
      </c>
      <c r="AO279" s="36">
        <v>53</v>
      </c>
      <c r="AP279" s="36">
        <v>53</v>
      </c>
      <c r="AQ279" s="36">
        <v>44</v>
      </c>
      <c r="AR279" s="36">
        <v>51</v>
      </c>
      <c r="AS279" s="36">
        <v>55</v>
      </c>
      <c r="AT279" s="36">
        <v>76</v>
      </c>
      <c r="AU279" s="36">
        <v>71</v>
      </c>
      <c r="AV279" s="36">
        <v>65</v>
      </c>
      <c r="AW279" s="36">
        <v>70</v>
      </c>
      <c r="AX279" s="36">
        <v>70</v>
      </c>
      <c r="AY279" s="36">
        <v>50</v>
      </c>
      <c r="AZ279" s="36">
        <v>463</v>
      </c>
      <c r="BA279" s="36">
        <v>462</v>
      </c>
      <c r="BB279" s="36">
        <v>55</v>
      </c>
      <c r="BC279" s="36">
        <v>291</v>
      </c>
      <c r="BD279" s="36">
        <v>134</v>
      </c>
      <c r="BE279" s="36">
        <v>270</v>
      </c>
      <c r="BF279" s="36">
        <v>1500</v>
      </c>
      <c r="BG279" s="36">
        <v>1071</v>
      </c>
      <c r="BH279" s="36"/>
      <c r="BI279" s="36">
        <v>104</v>
      </c>
      <c r="BJ279" s="36">
        <v>95</v>
      </c>
      <c r="BK279" s="36">
        <v>378</v>
      </c>
      <c r="BL279" s="36">
        <v>125</v>
      </c>
      <c r="BM279" s="36">
        <v>125</v>
      </c>
      <c r="BN279" s="36">
        <v>17</v>
      </c>
      <c r="BO279" s="36">
        <v>215</v>
      </c>
      <c r="BP279" s="36">
        <v>215</v>
      </c>
      <c r="BQ279" s="36">
        <v>215</v>
      </c>
      <c r="BR279" s="36"/>
      <c r="BS279" s="36">
        <v>220</v>
      </c>
      <c r="BT279" s="36">
        <v>215</v>
      </c>
      <c r="BU279" s="36">
        <v>215</v>
      </c>
      <c r="BV279" s="36">
        <v>215</v>
      </c>
      <c r="BW279" s="36">
        <v>220</v>
      </c>
      <c r="BX279" s="36">
        <v>143</v>
      </c>
      <c r="BY279" s="36">
        <v>143</v>
      </c>
      <c r="BZ279" s="36">
        <v>20</v>
      </c>
      <c r="CA279" s="36">
        <v>210</v>
      </c>
      <c r="CB279" s="36">
        <v>210</v>
      </c>
      <c r="CC279" s="36">
        <v>210</v>
      </c>
      <c r="CD279" s="36"/>
      <c r="CE279" s="36">
        <v>210</v>
      </c>
      <c r="CF279" s="36">
        <v>210</v>
      </c>
      <c r="CG279" s="36">
        <v>210</v>
      </c>
      <c r="CH279" s="36">
        <v>210</v>
      </c>
      <c r="CI279" s="36">
        <v>210</v>
      </c>
      <c r="CK279" s="4" t="b">
        <f t="shared" si="4"/>
        <v>1</v>
      </c>
    </row>
    <row r="280" spans="1:89" ht="60" customHeight="1">
      <c r="A280" s="32" t="s">
        <v>87</v>
      </c>
      <c r="B280" s="32" t="s">
        <v>155</v>
      </c>
      <c r="C280" s="32" t="s">
        <v>432</v>
      </c>
      <c r="D280" s="34"/>
      <c r="E280" s="34"/>
      <c r="F280" s="34"/>
      <c r="G280" s="34"/>
      <c r="H280" s="34"/>
      <c r="I280" s="34"/>
      <c r="J280" s="34"/>
      <c r="K280" s="34"/>
      <c r="L280" s="34"/>
      <c r="M280" s="34">
        <v>100</v>
      </c>
      <c r="N280" s="34"/>
      <c r="O280" s="34"/>
      <c r="P280" s="34"/>
      <c r="Q280" s="34"/>
      <c r="R280" s="34"/>
      <c r="S280" s="34"/>
      <c r="T280" s="34"/>
      <c r="U280" s="34"/>
      <c r="V280" s="34"/>
      <c r="W280" s="34"/>
      <c r="X280" s="34"/>
      <c r="Y280" s="34"/>
      <c r="Z280" s="34"/>
      <c r="AA280" s="34"/>
      <c r="AB280" s="36"/>
      <c r="AC280" s="36"/>
      <c r="AD280" s="36"/>
      <c r="AE280" s="36"/>
      <c r="AF280" s="36"/>
      <c r="AG280" s="36"/>
      <c r="AH280" s="36"/>
      <c r="AI280" s="36"/>
      <c r="AJ280" s="36"/>
      <c r="AK280" s="36">
        <v>13</v>
      </c>
      <c r="AL280" s="36"/>
      <c r="AM280" s="36"/>
      <c r="AN280" s="36"/>
      <c r="AO280" s="36"/>
      <c r="AP280" s="36"/>
      <c r="AQ280" s="36"/>
      <c r="AR280" s="36"/>
      <c r="AS280" s="36"/>
      <c r="AT280" s="36"/>
      <c r="AU280" s="36"/>
      <c r="AV280" s="36"/>
      <c r="AW280" s="36">
        <v>7</v>
      </c>
      <c r="AX280" s="36"/>
      <c r="AY280" s="36"/>
      <c r="AZ280" s="36"/>
      <c r="BA280" s="36"/>
      <c r="BB280" s="36"/>
      <c r="BC280" s="36"/>
      <c r="BD280" s="36"/>
      <c r="BE280" s="36"/>
      <c r="BF280" s="36"/>
      <c r="BG280" s="36"/>
      <c r="BH280" s="36"/>
      <c r="BI280" s="36">
        <v>26</v>
      </c>
      <c r="BJ280" s="36"/>
      <c r="BK280" s="36"/>
      <c r="BL280" s="36"/>
      <c r="BM280" s="36"/>
      <c r="BN280" s="36"/>
      <c r="BO280" s="36"/>
      <c r="BP280" s="36"/>
      <c r="BQ280" s="36"/>
      <c r="BR280" s="36"/>
      <c r="BS280" s="36"/>
      <c r="BT280" s="36"/>
      <c r="BU280" s="36">
        <v>14</v>
      </c>
      <c r="BV280" s="36"/>
      <c r="BW280" s="36"/>
      <c r="BX280" s="36"/>
      <c r="BY280" s="36"/>
      <c r="BZ280" s="36"/>
      <c r="CA280" s="36"/>
      <c r="CB280" s="36"/>
      <c r="CC280" s="36"/>
      <c r="CD280" s="36"/>
      <c r="CE280" s="36"/>
      <c r="CF280" s="36"/>
      <c r="CG280" s="36">
        <v>12</v>
      </c>
      <c r="CH280" s="36"/>
      <c r="CI280" s="36"/>
      <c r="CK280" s="4" t="b">
        <f t="shared" si="4"/>
        <v>0</v>
      </c>
    </row>
    <row r="281" spans="1:89" ht="60" customHeight="1">
      <c r="A281" s="32" t="s">
        <v>87</v>
      </c>
      <c r="B281" s="32" t="s">
        <v>106</v>
      </c>
      <c r="C281" s="32" t="s">
        <v>433</v>
      </c>
      <c r="D281" s="34"/>
      <c r="E281" s="34"/>
      <c r="F281" s="34">
        <v>1000</v>
      </c>
      <c r="G281" s="34">
        <v>100</v>
      </c>
      <c r="H281" s="34"/>
      <c r="I281" s="34">
        <v>100</v>
      </c>
      <c r="J281" s="34">
        <v>140</v>
      </c>
      <c r="K281" s="34"/>
      <c r="L281" s="34"/>
      <c r="M281" s="34">
        <v>100</v>
      </c>
      <c r="N281" s="34">
        <v>100</v>
      </c>
      <c r="O281" s="34">
        <v>100</v>
      </c>
      <c r="P281" s="34"/>
      <c r="Q281" s="34"/>
      <c r="R281" s="34"/>
      <c r="S281" s="34"/>
      <c r="T281" s="34"/>
      <c r="U281" s="34"/>
      <c r="V281" s="34"/>
      <c r="W281" s="34"/>
      <c r="X281" s="34"/>
      <c r="Y281" s="34"/>
      <c r="Z281" s="34"/>
      <c r="AA281" s="34"/>
      <c r="AB281" s="36">
        <v>14</v>
      </c>
      <c r="AC281" s="36"/>
      <c r="AD281" s="36">
        <v>9</v>
      </c>
      <c r="AE281" s="36">
        <v>8</v>
      </c>
      <c r="AF281" s="36"/>
      <c r="AG281" s="36">
        <v>18</v>
      </c>
      <c r="AH281" s="36">
        <v>15</v>
      </c>
      <c r="AI281" s="36">
        <v>15</v>
      </c>
      <c r="AJ281" s="36">
        <v>8</v>
      </c>
      <c r="AK281" s="36">
        <v>9</v>
      </c>
      <c r="AL281" s="36">
        <v>38</v>
      </c>
      <c r="AM281" s="36">
        <v>13</v>
      </c>
      <c r="AN281" s="36">
        <v>15</v>
      </c>
      <c r="AO281" s="36"/>
      <c r="AP281" s="36">
        <v>12</v>
      </c>
      <c r="AQ281" s="36">
        <v>11</v>
      </c>
      <c r="AR281" s="36"/>
      <c r="AS281" s="36">
        <v>22</v>
      </c>
      <c r="AT281" s="36">
        <v>11</v>
      </c>
      <c r="AU281" s="36">
        <v>13</v>
      </c>
      <c r="AV281" s="36">
        <v>21</v>
      </c>
      <c r="AW281" s="36">
        <v>14</v>
      </c>
      <c r="AX281" s="36">
        <v>26</v>
      </c>
      <c r="AY281" s="36">
        <v>35</v>
      </c>
      <c r="AZ281" s="36"/>
      <c r="BA281" s="36"/>
      <c r="BB281" s="36">
        <v>22</v>
      </c>
      <c r="BC281" s="36">
        <v>39</v>
      </c>
      <c r="BD281" s="36"/>
      <c r="BE281" s="36">
        <v>10</v>
      </c>
      <c r="BF281" s="36">
        <v>12</v>
      </c>
      <c r="BG281" s="36">
        <v>19</v>
      </c>
      <c r="BH281" s="36">
        <v>22</v>
      </c>
      <c r="BI281" s="36"/>
      <c r="BJ281" s="36"/>
      <c r="BK281" s="36">
        <v>21</v>
      </c>
      <c r="BL281" s="36">
        <v>100</v>
      </c>
      <c r="BM281" s="36"/>
      <c r="BN281" s="36">
        <v>109</v>
      </c>
      <c r="BO281" s="36"/>
      <c r="BP281" s="36"/>
      <c r="BQ281" s="36"/>
      <c r="BR281" s="36"/>
      <c r="BS281" s="36"/>
      <c r="BT281" s="36"/>
      <c r="BU281" s="36"/>
      <c r="BV281" s="36"/>
      <c r="BW281" s="36"/>
      <c r="BX281" s="36">
        <v>14</v>
      </c>
      <c r="BY281" s="36"/>
      <c r="BZ281" s="36">
        <v>20</v>
      </c>
      <c r="CA281" s="36"/>
      <c r="CB281" s="36"/>
      <c r="CC281" s="36"/>
      <c r="CD281" s="36"/>
      <c r="CE281" s="36"/>
      <c r="CF281" s="36"/>
      <c r="CG281" s="36"/>
      <c r="CH281" s="36"/>
      <c r="CI281" s="36"/>
      <c r="CK281" s="4" t="b">
        <f t="shared" si="4"/>
        <v>0</v>
      </c>
    </row>
    <row r="282" spans="1:89" ht="60" customHeight="1">
      <c r="A282" s="32" t="s">
        <v>87</v>
      </c>
      <c r="B282" s="32" t="s">
        <v>160</v>
      </c>
      <c r="C282" s="32" t="s">
        <v>434</v>
      </c>
      <c r="D282" s="34"/>
      <c r="E282" s="34"/>
      <c r="F282" s="34"/>
      <c r="G282" s="34"/>
      <c r="H282" s="34"/>
      <c r="I282" s="34"/>
      <c r="J282" s="34"/>
      <c r="K282" s="34"/>
      <c r="L282" s="34"/>
      <c r="M282" s="34"/>
      <c r="N282" s="34"/>
      <c r="O282" s="34"/>
      <c r="P282" s="34"/>
      <c r="Q282" s="34"/>
      <c r="R282" s="34"/>
      <c r="S282" s="34"/>
      <c r="T282" s="34"/>
      <c r="U282" s="34"/>
      <c r="V282" s="34"/>
      <c r="W282" s="34"/>
      <c r="X282" s="34"/>
      <c r="Y282" s="34"/>
      <c r="Z282" s="34"/>
      <c r="AA282" s="34"/>
      <c r="AB282" s="36"/>
      <c r="AC282" s="36"/>
      <c r="AD282" s="36"/>
      <c r="AE282" s="36"/>
      <c r="AF282" s="36"/>
      <c r="AG282" s="36"/>
      <c r="AH282" s="36"/>
      <c r="AI282" s="36"/>
      <c r="AJ282" s="36"/>
      <c r="AK282" s="36"/>
      <c r="AL282" s="36"/>
      <c r="AM282" s="36"/>
      <c r="AN282" s="36"/>
      <c r="AO282" s="36"/>
      <c r="AP282" s="36"/>
      <c r="AQ282" s="36"/>
      <c r="AR282" s="36"/>
      <c r="AS282" s="36"/>
      <c r="AT282" s="36"/>
      <c r="AU282" s="36"/>
      <c r="AV282" s="36"/>
      <c r="AW282" s="36"/>
      <c r="AX282" s="36"/>
      <c r="AY282" s="36"/>
      <c r="AZ282" s="36"/>
      <c r="BA282" s="36"/>
      <c r="BB282" s="36">
        <v>1</v>
      </c>
      <c r="BC282" s="36"/>
      <c r="BD282" s="36"/>
      <c r="BE282" s="36"/>
      <c r="BF282" s="36"/>
      <c r="BG282" s="36">
        <v>1</v>
      </c>
      <c r="BH282" s="36"/>
      <c r="BI282" s="36"/>
      <c r="BJ282" s="36"/>
      <c r="BK282" s="36"/>
      <c r="BL282" s="36"/>
      <c r="BM282" s="36"/>
      <c r="BN282" s="36"/>
      <c r="BO282" s="36"/>
      <c r="BP282" s="36"/>
      <c r="BQ282" s="36"/>
      <c r="BR282" s="36"/>
      <c r="BS282" s="36"/>
      <c r="BT282" s="36"/>
      <c r="BU282" s="36"/>
      <c r="BV282" s="36"/>
      <c r="BW282" s="36"/>
      <c r="BX282" s="36"/>
      <c r="BY282" s="36"/>
      <c r="BZ282" s="36"/>
      <c r="CA282" s="36"/>
      <c r="CB282" s="36"/>
      <c r="CC282" s="36"/>
      <c r="CD282" s="36"/>
      <c r="CE282" s="36"/>
      <c r="CF282" s="36"/>
      <c r="CG282" s="36"/>
      <c r="CH282" s="36"/>
      <c r="CI282" s="36"/>
      <c r="CK282" s="4" t="b">
        <f t="shared" si="4"/>
        <v>0</v>
      </c>
    </row>
    <row r="283" spans="1:89" ht="60" customHeight="1">
      <c r="A283" s="32" t="s">
        <v>92</v>
      </c>
      <c r="B283" s="32" t="s">
        <v>99</v>
      </c>
      <c r="C283" s="32" t="s">
        <v>435</v>
      </c>
      <c r="D283" s="34"/>
      <c r="E283" s="34">
        <v>100</v>
      </c>
      <c r="F283" s="34">
        <v>100</v>
      </c>
      <c r="G283" s="34">
        <v>100</v>
      </c>
      <c r="H283" s="34">
        <v>100</v>
      </c>
      <c r="I283" s="34">
        <v>100</v>
      </c>
      <c r="J283" s="34">
        <v>100</v>
      </c>
      <c r="K283" s="34">
        <v>100</v>
      </c>
      <c r="L283" s="34"/>
      <c r="M283" s="34">
        <v>100</v>
      </c>
      <c r="N283" s="34">
        <v>100</v>
      </c>
      <c r="O283" s="34">
        <v>100</v>
      </c>
      <c r="P283" s="34"/>
      <c r="Q283" s="34"/>
      <c r="R283" s="34">
        <v>100</v>
      </c>
      <c r="S283" s="34">
        <v>100</v>
      </c>
      <c r="T283" s="34">
        <v>100</v>
      </c>
      <c r="U283" s="34">
        <v>100</v>
      </c>
      <c r="V283" s="34">
        <v>100</v>
      </c>
      <c r="W283" s="34">
        <v>100</v>
      </c>
      <c r="X283" s="34"/>
      <c r="Y283" s="34">
        <v>100</v>
      </c>
      <c r="Z283" s="34">
        <v>100</v>
      </c>
      <c r="AA283" s="34">
        <v>50</v>
      </c>
      <c r="AB283" s="36"/>
      <c r="AC283" s="36">
        <v>11</v>
      </c>
      <c r="AD283" s="36">
        <v>10</v>
      </c>
      <c r="AE283" s="36">
        <v>9</v>
      </c>
      <c r="AF283" s="36">
        <v>10</v>
      </c>
      <c r="AG283" s="36">
        <v>8</v>
      </c>
      <c r="AH283" s="36">
        <v>9</v>
      </c>
      <c r="AI283" s="36">
        <v>12</v>
      </c>
      <c r="AJ283" s="36">
        <v>6</v>
      </c>
      <c r="AK283" s="36">
        <v>10</v>
      </c>
      <c r="AL283" s="36">
        <v>14</v>
      </c>
      <c r="AM283" s="36">
        <v>12</v>
      </c>
      <c r="AN283" s="36"/>
      <c r="AO283" s="36">
        <v>12</v>
      </c>
      <c r="AP283" s="36">
        <v>10</v>
      </c>
      <c r="AQ283" s="36">
        <v>10</v>
      </c>
      <c r="AR283" s="36">
        <v>9</v>
      </c>
      <c r="AS283" s="36">
        <v>10</v>
      </c>
      <c r="AT283" s="36">
        <v>9</v>
      </c>
      <c r="AU283" s="36">
        <v>13</v>
      </c>
      <c r="AV283" s="36">
        <v>7</v>
      </c>
      <c r="AW283" s="36">
        <v>9</v>
      </c>
      <c r="AX283" s="36">
        <v>12</v>
      </c>
      <c r="AY283" s="36">
        <v>13</v>
      </c>
      <c r="AZ283" s="36"/>
      <c r="BA283" s="36">
        <v>15</v>
      </c>
      <c r="BB283" s="36">
        <v>13</v>
      </c>
      <c r="BC283" s="36">
        <v>3</v>
      </c>
      <c r="BD283" s="36">
        <v>5</v>
      </c>
      <c r="BE283" s="36">
        <v>13</v>
      </c>
      <c r="BF283" s="36">
        <v>1</v>
      </c>
      <c r="BG283" s="36">
        <v>4</v>
      </c>
      <c r="BH283" s="36">
        <v>4</v>
      </c>
      <c r="BI283" s="36">
        <v>5</v>
      </c>
      <c r="BJ283" s="36">
        <v>19</v>
      </c>
      <c r="BK283" s="36">
        <v>8</v>
      </c>
      <c r="BL283" s="36"/>
      <c r="BM283" s="36">
        <v>1</v>
      </c>
      <c r="BN283" s="36">
        <v>2</v>
      </c>
      <c r="BO283" s="36"/>
      <c r="BP283" s="36">
        <v>3</v>
      </c>
      <c r="BQ283" s="36">
        <v>1</v>
      </c>
      <c r="BR283" s="36">
        <v>2</v>
      </c>
      <c r="BS283" s="36">
        <v>3</v>
      </c>
      <c r="BT283" s="36">
        <v>1</v>
      </c>
      <c r="BU283" s="36">
        <v>1</v>
      </c>
      <c r="BV283" s="36">
        <v>5</v>
      </c>
      <c r="BW283" s="36">
        <v>1</v>
      </c>
      <c r="BX283" s="36"/>
      <c r="BY283" s="36"/>
      <c r="BZ283" s="36"/>
      <c r="CA283" s="36"/>
      <c r="CB283" s="36"/>
      <c r="CC283" s="36">
        <v>1</v>
      </c>
      <c r="CD283" s="36"/>
      <c r="CE283" s="36"/>
      <c r="CF283" s="36"/>
      <c r="CG283" s="36"/>
      <c r="CH283" s="36"/>
      <c r="CI283" s="36"/>
      <c r="CK283" s="4" t="b">
        <f t="shared" si="4"/>
        <v>0</v>
      </c>
    </row>
    <row r="284" spans="1:89" ht="60" customHeight="1">
      <c r="A284" s="32" t="s">
        <v>144</v>
      </c>
      <c r="B284" s="32" t="s">
        <v>145</v>
      </c>
      <c r="C284" s="32" t="s">
        <v>436</v>
      </c>
      <c r="D284" s="34"/>
      <c r="E284" s="34">
        <v>100</v>
      </c>
      <c r="F284" s="34">
        <v>100</v>
      </c>
      <c r="G284" s="34">
        <v>100</v>
      </c>
      <c r="H284" s="34">
        <v>100</v>
      </c>
      <c r="I284" s="34">
        <v>100</v>
      </c>
      <c r="J284" s="34">
        <v>100</v>
      </c>
      <c r="K284" s="34">
        <v>100</v>
      </c>
      <c r="L284" s="34">
        <v>100</v>
      </c>
      <c r="M284" s="34"/>
      <c r="N284" s="34">
        <v>100</v>
      </c>
      <c r="O284" s="34">
        <v>100</v>
      </c>
      <c r="P284" s="34"/>
      <c r="Q284" s="34"/>
      <c r="R284" s="34"/>
      <c r="S284" s="34"/>
      <c r="T284" s="34"/>
      <c r="U284" s="34"/>
      <c r="V284" s="34"/>
      <c r="W284" s="34"/>
      <c r="X284" s="34"/>
      <c r="Y284" s="34"/>
      <c r="Z284" s="34">
        <v>100</v>
      </c>
      <c r="AA284" s="34">
        <v>100</v>
      </c>
      <c r="AB284" s="36"/>
      <c r="AC284" s="36">
        <v>6</v>
      </c>
      <c r="AD284" s="36">
        <v>5</v>
      </c>
      <c r="AE284" s="36">
        <v>6</v>
      </c>
      <c r="AF284" s="36">
        <v>6</v>
      </c>
      <c r="AG284" s="36">
        <v>8</v>
      </c>
      <c r="AH284" s="36">
        <v>5</v>
      </c>
      <c r="AI284" s="36">
        <v>5</v>
      </c>
      <c r="AJ284" s="36">
        <v>10</v>
      </c>
      <c r="AK284" s="36">
        <v>11</v>
      </c>
      <c r="AL284" s="36">
        <v>13</v>
      </c>
      <c r="AM284" s="36">
        <v>11</v>
      </c>
      <c r="AN284" s="36"/>
      <c r="AO284" s="36">
        <v>4</v>
      </c>
      <c r="AP284" s="36">
        <v>10</v>
      </c>
      <c r="AQ284" s="36">
        <v>6</v>
      </c>
      <c r="AR284" s="36">
        <v>7</v>
      </c>
      <c r="AS284" s="36">
        <v>6</v>
      </c>
      <c r="AT284" s="36">
        <v>6</v>
      </c>
      <c r="AU284" s="36">
        <v>7</v>
      </c>
      <c r="AV284" s="36">
        <v>11</v>
      </c>
      <c r="AW284" s="36">
        <v>11</v>
      </c>
      <c r="AX284" s="36">
        <v>10</v>
      </c>
      <c r="AY284" s="36">
        <v>12</v>
      </c>
      <c r="AZ284" s="36"/>
      <c r="BA284" s="36">
        <v>8</v>
      </c>
      <c r="BB284" s="36">
        <v>4</v>
      </c>
      <c r="BC284" s="36">
        <v>3</v>
      </c>
      <c r="BD284" s="36">
        <v>3</v>
      </c>
      <c r="BE284" s="36">
        <v>3</v>
      </c>
      <c r="BF284" s="36">
        <v>10</v>
      </c>
      <c r="BG284" s="36">
        <v>5</v>
      </c>
      <c r="BH284" s="36">
        <v>7</v>
      </c>
      <c r="BI284" s="36"/>
      <c r="BJ284" s="36">
        <v>2</v>
      </c>
      <c r="BK284" s="36">
        <v>10</v>
      </c>
      <c r="BL284" s="36"/>
      <c r="BM284" s="36">
        <v>4</v>
      </c>
      <c r="BN284" s="36">
        <v>2</v>
      </c>
      <c r="BO284" s="36">
        <v>1</v>
      </c>
      <c r="BP284" s="36">
        <v>3</v>
      </c>
      <c r="BQ284" s="36">
        <v>1</v>
      </c>
      <c r="BR284" s="36">
        <v>2</v>
      </c>
      <c r="BS284" s="36">
        <v>4</v>
      </c>
      <c r="BT284" s="36">
        <v>2</v>
      </c>
      <c r="BU284" s="36">
        <v>3</v>
      </c>
      <c r="BV284" s="36">
        <v>4</v>
      </c>
      <c r="BW284" s="36">
        <v>3</v>
      </c>
      <c r="BX284" s="36"/>
      <c r="BY284" s="36">
        <v>1</v>
      </c>
      <c r="BZ284" s="36"/>
      <c r="CA284" s="36"/>
      <c r="CB284" s="36">
        <v>1</v>
      </c>
      <c r="CC284" s="36"/>
      <c r="CD284" s="36"/>
      <c r="CE284" s="36"/>
      <c r="CF284" s="36"/>
      <c r="CG284" s="36"/>
      <c r="CH284" s="36">
        <v>2</v>
      </c>
      <c r="CI284" s="36">
        <v>1</v>
      </c>
      <c r="CK284" s="4" t="b">
        <f t="shared" si="4"/>
        <v>0</v>
      </c>
    </row>
    <row r="285" spans="1:89" ht="60" customHeight="1">
      <c r="A285" s="32" t="s">
        <v>87</v>
      </c>
      <c r="B285" s="32" t="s">
        <v>160</v>
      </c>
      <c r="C285" s="32" t="s">
        <v>437</v>
      </c>
      <c r="D285" s="34">
        <v>200</v>
      </c>
      <c r="E285" s="34"/>
      <c r="F285" s="34">
        <v>100</v>
      </c>
      <c r="G285" s="34"/>
      <c r="H285" s="34"/>
      <c r="I285" s="34">
        <v>100</v>
      </c>
      <c r="J285" s="34"/>
      <c r="K285" s="34"/>
      <c r="L285" s="34">
        <v>100</v>
      </c>
      <c r="M285" s="34"/>
      <c r="N285" s="34"/>
      <c r="O285" s="34">
        <v>100</v>
      </c>
      <c r="P285" s="34"/>
      <c r="Q285" s="34"/>
      <c r="R285" s="34"/>
      <c r="S285" s="34"/>
      <c r="T285" s="34"/>
      <c r="U285" s="34"/>
      <c r="V285" s="34"/>
      <c r="W285" s="34"/>
      <c r="X285" s="34"/>
      <c r="Y285" s="34"/>
      <c r="Z285" s="34"/>
      <c r="AA285" s="34"/>
      <c r="AB285" s="36">
        <v>256</v>
      </c>
      <c r="AC285" s="36"/>
      <c r="AD285" s="36">
        <v>172</v>
      </c>
      <c r="AE285" s="36">
        <v>182</v>
      </c>
      <c r="AF285" s="36"/>
      <c r="AG285" s="36">
        <v>185</v>
      </c>
      <c r="AH285" s="36">
        <v>26</v>
      </c>
      <c r="AI285" s="36">
        <v>97</v>
      </c>
      <c r="AJ285" s="36">
        <v>44</v>
      </c>
      <c r="AK285" s="36">
        <v>92</v>
      </c>
      <c r="AL285" s="36">
        <v>149</v>
      </c>
      <c r="AM285" s="36">
        <v>149</v>
      </c>
      <c r="AN285" s="36">
        <v>289</v>
      </c>
      <c r="AO285" s="36"/>
      <c r="AP285" s="36">
        <v>190</v>
      </c>
      <c r="AQ285" s="36">
        <v>216</v>
      </c>
      <c r="AR285" s="36"/>
      <c r="AS285" s="36">
        <v>144</v>
      </c>
      <c r="AT285" s="36">
        <v>24</v>
      </c>
      <c r="AU285" s="36">
        <v>102</v>
      </c>
      <c r="AV285" s="36">
        <v>66</v>
      </c>
      <c r="AW285" s="36">
        <v>90</v>
      </c>
      <c r="AX285" s="36">
        <v>63</v>
      </c>
      <c r="AY285" s="36">
        <v>101</v>
      </c>
      <c r="AZ285" s="36">
        <v>132</v>
      </c>
      <c r="BA285" s="36">
        <v>211</v>
      </c>
      <c r="BB285" s="36">
        <v>247</v>
      </c>
      <c r="BC285" s="36">
        <v>187</v>
      </c>
      <c r="BD285" s="36"/>
      <c r="BE285" s="36">
        <v>135</v>
      </c>
      <c r="BF285" s="36">
        <v>63</v>
      </c>
      <c r="BG285" s="36">
        <v>165</v>
      </c>
      <c r="BH285" s="36">
        <v>145</v>
      </c>
      <c r="BI285" s="36">
        <v>245</v>
      </c>
      <c r="BJ285" s="36">
        <v>171</v>
      </c>
      <c r="BK285" s="36">
        <v>199</v>
      </c>
      <c r="BL285" s="36">
        <v>577</v>
      </c>
      <c r="BM285" s="36">
        <v>403</v>
      </c>
      <c r="BN285" s="36">
        <v>386</v>
      </c>
      <c r="BO285" s="36"/>
      <c r="BP285" s="36"/>
      <c r="BQ285" s="36">
        <v>50</v>
      </c>
      <c r="BR285" s="36">
        <v>86</v>
      </c>
      <c r="BS285" s="36">
        <v>21</v>
      </c>
      <c r="BT285" s="36">
        <v>41</v>
      </c>
      <c r="BU285" s="36">
        <v>68</v>
      </c>
      <c r="BV285" s="36">
        <v>38</v>
      </c>
      <c r="BW285" s="36">
        <v>68</v>
      </c>
      <c r="BX285" s="36">
        <v>429</v>
      </c>
      <c r="BY285" s="36">
        <v>326</v>
      </c>
      <c r="BZ285" s="36">
        <v>296</v>
      </c>
      <c r="CA285" s="36"/>
      <c r="CB285" s="36"/>
      <c r="CC285" s="36">
        <v>53</v>
      </c>
      <c r="CD285" s="36">
        <v>6</v>
      </c>
      <c r="CE285" s="36">
        <v>169</v>
      </c>
      <c r="CF285" s="36">
        <v>16</v>
      </c>
      <c r="CG285" s="36">
        <v>32</v>
      </c>
      <c r="CH285" s="36">
        <v>13</v>
      </c>
      <c r="CI285" s="36">
        <v>29</v>
      </c>
      <c r="CK285" s="4" t="b">
        <f t="shared" si="4"/>
        <v>1</v>
      </c>
    </row>
    <row r="286" spans="1:89" ht="60" customHeight="1">
      <c r="A286" s="32" t="s">
        <v>109</v>
      </c>
      <c r="B286" s="32" t="s">
        <v>158</v>
      </c>
      <c r="C286" s="32" t="s">
        <v>438</v>
      </c>
      <c r="D286" s="34"/>
      <c r="E286" s="34"/>
      <c r="F286" s="34">
        <v>75</v>
      </c>
      <c r="G286" s="34">
        <v>100</v>
      </c>
      <c r="H286" s="34">
        <v>100</v>
      </c>
      <c r="I286" s="34">
        <v>100</v>
      </c>
      <c r="J286" s="34">
        <v>100</v>
      </c>
      <c r="K286" s="34">
        <v>100</v>
      </c>
      <c r="L286" s="34">
        <v>50</v>
      </c>
      <c r="M286" s="34">
        <v>100</v>
      </c>
      <c r="N286" s="34">
        <v>100</v>
      </c>
      <c r="O286" s="34">
        <v>100</v>
      </c>
      <c r="P286" s="34"/>
      <c r="Q286" s="34"/>
      <c r="R286" s="34">
        <v>75</v>
      </c>
      <c r="S286" s="34">
        <v>100</v>
      </c>
      <c r="T286" s="34">
        <v>100</v>
      </c>
      <c r="U286" s="34">
        <v>100</v>
      </c>
      <c r="V286" s="34">
        <v>100</v>
      </c>
      <c r="W286" s="34">
        <v>100</v>
      </c>
      <c r="X286" s="34">
        <v>100</v>
      </c>
      <c r="Y286" s="34">
        <v>100</v>
      </c>
      <c r="Z286" s="34">
        <v>100</v>
      </c>
      <c r="AA286" s="34">
        <v>100</v>
      </c>
      <c r="AB286" s="36"/>
      <c r="AC286" s="36"/>
      <c r="AD286" s="36">
        <v>24</v>
      </c>
      <c r="AE286" s="36">
        <v>35</v>
      </c>
      <c r="AF286" s="36">
        <v>24</v>
      </c>
      <c r="AG286" s="36">
        <v>24</v>
      </c>
      <c r="AH286" s="36">
        <v>23</v>
      </c>
      <c r="AI286" s="36">
        <v>20</v>
      </c>
      <c r="AJ286" s="36">
        <v>28</v>
      </c>
      <c r="AK286" s="36">
        <v>27</v>
      </c>
      <c r="AL286" s="36">
        <v>26</v>
      </c>
      <c r="AM286" s="36">
        <v>28</v>
      </c>
      <c r="AN286" s="36"/>
      <c r="AO286" s="36"/>
      <c r="AP286" s="36">
        <v>27</v>
      </c>
      <c r="AQ286" s="36">
        <v>26</v>
      </c>
      <c r="AR286" s="36">
        <v>23</v>
      </c>
      <c r="AS286" s="36">
        <v>22</v>
      </c>
      <c r="AT286" s="36">
        <v>24</v>
      </c>
      <c r="AU286" s="36">
        <v>23</v>
      </c>
      <c r="AV286" s="36">
        <v>25</v>
      </c>
      <c r="AW286" s="36">
        <v>26</v>
      </c>
      <c r="AX286" s="36">
        <v>25</v>
      </c>
      <c r="AY286" s="36">
        <v>25</v>
      </c>
      <c r="AZ286" s="36"/>
      <c r="BA286" s="36"/>
      <c r="BB286" s="36">
        <v>2</v>
      </c>
      <c r="BC286" s="36">
        <v>5</v>
      </c>
      <c r="BD286" s="36">
        <v>1</v>
      </c>
      <c r="BE286" s="36">
        <v>3</v>
      </c>
      <c r="BF286" s="36">
        <v>1</v>
      </c>
      <c r="BG286" s="36">
        <v>2</v>
      </c>
      <c r="BH286" s="36">
        <v>7</v>
      </c>
      <c r="BI286" s="36">
        <v>3</v>
      </c>
      <c r="BJ286" s="36">
        <v>5</v>
      </c>
      <c r="BK286" s="36">
        <v>4</v>
      </c>
      <c r="BL286" s="36"/>
      <c r="BM286" s="36"/>
      <c r="BN286" s="36">
        <v>2</v>
      </c>
      <c r="BO286" s="36">
        <v>2</v>
      </c>
      <c r="BP286" s="36">
        <v>2</v>
      </c>
      <c r="BQ286" s="36">
        <v>2</v>
      </c>
      <c r="BR286" s="36">
        <v>2</v>
      </c>
      <c r="BS286" s="36">
        <v>3</v>
      </c>
      <c r="BT286" s="36">
        <v>2</v>
      </c>
      <c r="BU286" s="36">
        <v>2</v>
      </c>
      <c r="BV286" s="36">
        <v>2</v>
      </c>
      <c r="BW286" s="36">
        <v>2</v>
      </c>
      <c r="BX286" s="36"/>
      <c r="BY286" s="36"/>
      <c r="BZ286" s="36"/>
      <c r="CA286" s="36">
        <v>1</v>
      </c>
      <c r="CB286" s="36">
        <v>1</v>
      </c>
      <c r="CC286" s="36">
        <v>1</v>
      </c>
      <c r="CD286" s="36">
        <v>6</v>
      </c>
      <c r="CE286" s="36">
        <v>1</v>
      </c>
      <c r="CF286" s="36">
        <v>3</v>
      </c>
      <c r="CG286" s="36">
        <v>1</v>
      </c>
      <c r="CH286" s="36">
        <v>1</v>
      </c>
      <c r="CI286" s="36">
        <v>1</v>
      </c>
      <c r="CK286" s="4" t="b">
        <f t="shared" si="4"/>
        <v>0</v>
      </c>
    </row>
    <row r="287" spans="1:89" ht="75" customHeight="1">
      <c r="A287" s="32" t="s">
        <v>124</v>
      </c>
      <c r="B287" s="32" t="s">
        <v>268</v>
      </c>
      <c r="C287" s="32" t="s">
        <v>439</v>
      </c>
      <c r="D287" s="34"/>
      <c r="E287" s="34"/>
      <c r="F287" s="34"/>
      <c r="G287" s="34"/>
      <c r="H287" s="34"/>
      <c r="I287" s="34"/>
      <c r="J287" s="34"/>
      <c r="K287" s="34"/>
      <c r="L287" s="34"/>
      <c r="M287" s="34"/>
      <c r="N287" s="34"/>
      <c r="O287" s="34"/>
      <c r="P287" s="34"/>
      <c r="Q287" s="34"/>
      <c r="R287" s="34"/>
      <c r="S287" s="34"/>
      <c r="T287" s="34"/>
      <c r="U287" s="34"/>
      <c r="V287" s="34"/>
      <c r="W287" s="34"/>
      <c r="X287" s="34"/>
      <c r="Y287" s="34"/>
      <c r="Z287" s="34"/>
      <c r="AA287" s="34"/>
      <c r="AB287" s="36"/>
      <c r="AC287" s="36"/>
      <c r="AD287" s="36"/>
      <c r="AE287" s="36"/>
      <c r="AF287" s="36"/>
      <c r="AG287" s="36"/>
      <c r="AH287" s="36"/>
      <c r="AI287" s="36"/>
      <c r="AJ287" s="36"/>
      <c r="AK287" s="36"/>
      <c r="AL287" s="36"/>
      <c r="AM287" s="36"/>
      <c r="AN287" s="36"/>
      <c r="AO287" s="36"/>
      <c r="AP287" s="36"/>
      <c r="AQ287" s="36"/>
      <c r="AR287" s="36"/>
      <c r="AS287" s="36"/>
      <c r="AT287" s="36"/>
      <c r="AU287" s="36"/>
      <c r="AV287" s="36"/>
      <c r="AW287" s="36"/>
      <c r="AX287" s="36"/>
      <c r="AY287" s="36"/>
      <c r="AZ287" s="36">
        <v>17</v>
      </c>
      <c r="BA287" s="36">
        <v>15</v>
      </c>
      <c r="BB287" s="36">
        <v>26</v>
      </c>
      <c r="BC287" s="36">
        <v>24</v>
      </c>
      <c r="BD287" s="36">
        <v>20</v>
      </c>
      <c r="BE287" s="36">
        <v>27</v>
      </c>
      <c r="BF287" s="36">
        <v>24</v>
      </c>
      <c r="BG287" s="36">
        <v>21</v>
      </c>
      <c r="BH287" s="36">
        <v>28</v>
      </c>
      <c r="BI287" s="36">
        <v>4</v>
      </c>
      <c r="BJ287" s="36">
        <v>3</v>
      </c>
      <c r="BK287" s="36">
        <v>16</v>
      </c>
      <c r="BL287" s="36">
        <v>2</v>
      </c>
      <c r="BM287" s="36">
        <v>2</v>
      </c>
      <c r="BN287" s="36">
        <v>8</v>
      </c>
      <c r="BO287" s="36">
        <v>3</v>
      </c>
      <c r="BP287" s="36">
        <v>2</v>
      </c>
      <c r="BQ287" s="36">
        <v>4</v>
      </c>
      <c r="BR287" s="36">
        <v>2</v>
      </c>
      <c r="BS287" s="36">
        <v>2</v>
      </c>
      <c r="BT287" s="36">
        <v>11</v>
      </c>
      <c r="BU287" s="36">
        <v>3</v>
      </c>
      <c r="BV287" s="36">
        <v>9</v>
      </c>
      <c r="BW287" s="36">
        <v>4</v>
      </c>
      <c r="BX287" s="36"/>
      <c r="BY287" s="36"/>
      <c r="BZ287" s="36"/>
      <c r="CA287" s="36"/>
      <c r="CB287" s="36"/>
      <c r="CC287" s="36"/>
      <c r="CD287" s="36"/>
      <c r="CE287" s="36"/>
      <c r="CF287" s="36"/>
      <c r="CG287" s="36"/>
      <c r="CH287" s="36">
        <v>1</v>
      </c>
      <c r="CI287" s="36"/>
      <c r="CK287" s="4" t="b">
        <f t="shared" si="4"/>
        <v>0</v>
      </c>
    </row>
    <row r="288" spans="1:89" ht="75" customHeight="1">
      <c r="A288" s="32" t="s">
        <v>144</v>
      </c>
      <c r="B288" s="32" t="s">
        <v>198</v>
      </c>
      <c r="C288" s="32" t="s">
        <v>440</v>
      </c>
      <c r="D288" s="34"/>
      <c r="E288" s="34">
        <v>100</v>
      </c>
      <c r="F288" s="34">
        <v>14.29</v>
      </c>
      <c r="G288" s="34">
        <v>100</v>
      </c>
      <c r="H288" s="34">
        <v>100</v>
      </c>
      <c r="I288" s="34">
        <v>100</v>
      </c>
      <c r="J288" s="34">
        <v>100</v>
      </c>
      <c r="K288" s="34">
        <v>100</v>
      </c>
      <c r="L288" s="34">
        <v>100</v>
      </c>
      <c r="M288" s="34">
        <v>100</v>
      </c>
      <c r="N288" s="34">
        <v>100</v>
      </c>
      <c r="O288" s="34"/>
      <c r="P288" s="34"/>
      <c r="Q288" s="34">
        <v>100</v>
      </c>
      <c r="R288" s="34">
        <v>100</v>
      </c>
      <c r="S288" s="34">
        <v>16.670000000000002</v>
      </c>
      <c r="T288" s="34">
        <v>100</v>
      </c>
      <c r="U288" s="34">
        <v>100</v>
      </c>
      <c r="V288" s="34">
        <v>100</v>
      </c>
      <c r="W288" s="34">
        <v>100</v>
      </c>
      <c r="X288" s="34">
        <v>100</v>
      </c>
      <c r="Y288" s="34">
        <v>100</v>
      </c>
      <c r="Z288" s="34">
        <v>100</v>
      </c>
      <c r="AA288" s="34"/>
      <c r="AB288" s="36"/>
      <c r="AC288" s="36">
        <v>344</v>
      </c>
      <c r="AD288" s="36">
        <v>43</v>
      </c>
      <c r="AE288" s="36">
        <v>49</v>
      </c>
      <c r="AF288" s="36">
        <v>64</v>
      </c>
      <c r="AG288" s="36">
        <v>58</v>
      </c>
      <c r="AH288" s="36">
        <v>67</v>
      </c>
      <c r="AI288" s="36">
        <v>69</v>
      </c>
      <c r="AJ288" s="36">
        <v>76</v>
      </c>
      <c r="AK288" s="36">
        <v>64</v>
      </c>
      <c r="AL288" s="36">
        <v>43</v>
      </c>
      <c r="AM288" s="36">
        <v>95</v>
      </c>
      <c r="AN288" s="36"/>
      <c r="AO288" s="36">
        <v>500</v>
      </c>
      <c r="AP288" s="36">
        <v>31</v>
      </c>
      <c r="AQ288" s="36">
        <v>45</v>
      </c>
      <c r="AR288" s="36">
        <v>57</v>
      </c>
      <c r="AS288" s="36">
        <v>47</v>
      </c>
      <c r="AT288" s="36">
        <v>39</v>
      </c>
      <c r="AU288" s="36">
        <v>53</v>
      </c>
      <c r="AV288" s="36">
        <v>84</v>
      </c>
      <c r="AW288" s="36">
        <v>63</v>
      </c>
      <c r="AX288" s="36">
        <v>50</v>
      </c>
      <c r="AY288" s="36">
        <v>89</v>
      </c>
      <c r="AZ288" s="36"/>
      <c r="BA288" s="36">
        <v>54</v>
      </c>
      <c r="BB288" s="36">
        <v>63</v>
      </c>
      <c r="BC288" s="36">
        <v>57</v>
      </c>
      <c r="BD288" s="36">
        <v>73</v>
      </c>
      <c r="BE288" s="36">
        <v>37</v>
      </c>
      <c r="BF288" s="36">
        <v>57</v>
      </c>
      <c r="BG288" s="36">
        <v>55</v>
      </c>
      <c r="BH288" s="36">
        <v>41</v>
      </c>
      <c r="BI288" s="36">
        <v>49</v>
      </c>
      <c r="BJ288" s="36">
        <v>56</v>
      </c>
      <c r="BK288" s="36">
        <v>46</v>
      </c>
      <c r="BL288" s="36"/>
      <c r="BM288" s="36"/>
      <c r="BN288" s="36"/>
      <c r="BO288" s="36">
        <v>5</v>
      </c>
      <c r="BP288" s="36">
        <v>32</v>
      </c>
      <c r="BQ288" s="36">
        <v>13</v>
      </c>
      <c r="BR288" s="36">
        <v>10</v>
      </c>
      <c r="BS288" s="36">
        <v>17</v>
      </c>
      <c r="BT288" s="36">
        <v>10</v>
      </c>
      <c r="BU288" s="36">
        <v>20</v>
      </c>
      <c r="BV288" s="36">
        <v>13</v>
      </c>
      <c r="BW288" s="36">
        <v>14</v>
      </c>
      <c r="BX288" s="36"/>
      <c r="BY288" s="36"/>
      <c r="BZ288" s="36"/>
      <c r="CA288" s="36"/>
      <c r="CB288" s="36"/>
      <c r="CC288" s="36"/>
      <c r="CD288" s="36"/>
      <c r="CE288" s="36"/>
      <c r="CF288" s="36">
        <v>1</v>
      </c>
      <c r="CG288" s="36">
        <v>143</v>
      </c>
      <c r="CH288" s="36">
        <v>2</v>
      </c>
      <c r="CI288" s="36"/>
      <c r="CK288" s="4" t="b">
        <f t="shared" si="4"/>
        <v>0</v>
      </c>
    </row>
    <row r="289" spans="1:89" ht="60" customHeight="1">
      <c r="A289" s="32" t="s">
        <v>87</v>
      </c>
      <c r="B289" s="32" t="s">
        <v>181</v>
      </c>
      <c r="C289" s="32" t="s">
        <v>441</v>
      </c>
      <c r="D289" s="34"/>
      <c r="E289" s="34">
        <v>50</v>
      </c>
      <c r="F289" s="34">
        <v>100</v>
      </c>
      <c r="G289" s="34">
        <v>100</v>
      </c>
      <c r="H289" s="34">
        <v>100</v>
      </c>
      <c r="I289" s="34">
        <v>100</v>
      </c>
      <c r="J289" s="34">
        <v>100</v>
      </c>
      <c r="K289" s="34">
        <v>100</v>
      </c>
      <c r="L289" s="34">
        <v>100</v>
      </c>
      <c r="M289" s="34">
        <v>100</v>
      </c>
      <c r="N289" s="34">
        <v>87.5</v>
      </c>
      <c r="O289" s="34">
        <v>100</v>
      </c>
      <c r="P289" s="34"/>
      <c r="Q289" s="34">
        <v>25</v>
      </c>
      <c r="R289" s="34"/>
      <c r="S289" s="34">
        <v>25</v>
      </c>
      <c r="T289" s="34"/>
      <c r="U289" s="34"/>
      <c r="V289" s="34">
        <v>100</v>
      </c>
      <c r="W289" s="34"/>
      <c r="X289" s="34"/>
      <c r="Y289" s="34"/>
      <c r="Z289" s="34"/>
      <c r="AA289" s="34"/>
      <c r="AB289" s="36"/>
      <c r="AC289" s="36">
        <v>20</v>
      </c>
      <c r="AD289" s="36">
        <v>24</v>
      </c>
      <c r="AE289" s="36">
        <v>36</v>
      </c>
      <c r="AF289" s="36">
        <v>36</v>
      </c>
      <c r="AG289" s="36">
        <v>56</v>
      </c>
      <c r="AH289" s="36">
        <v>41</v>
      </c>
      <c r="AI289" s="36">
        <v>37</v>
      </c>
      <c r="AJ289" s="36">
        <v>30</v>
      </c>
      <c r="AK289" s="36">
        <v>41</v>
      </c>
      <c r="AL289" s="36">
        <v>37</v>
      </c>
      <c r="AM289" s="36">
        <v>21</v>
      </c>
      <c r="AN289" s="36"/>
      <c r="AO289" s="36">
        <v>12</v>
      </c>
      <c r="AP289" s="36">
        <v>38</v>
      </c>
      <c r="AQ289" s="36">
        <v>36</v>
      </c>
      <c r="AR289" s="36">
        <v>27</v>
      </c>
      <c r="AS289" s="36">
        <v>29</v>
      </c>
      <c r="AT289" s="36">
        <v>43</v>
      </c>
      <c r="AU289" s="36">
        <v>61</v>
      </c>
      <c r="AV289" s="36">
        <v>46</v>
      </c>
      <c r="AW289" s="36">
        <v>37</v>
      </c>
      <c r="AX289" s="36">
        <v>30</v>
      </c>
      <c r="AY289" s="36">
        <v>27</v>
      </c>
      <c r="AZ289" s="36"/>
      <c r="BA289" s="36">
        <v>30</v>
      </c>
      <c r="BB289" s="36">
        <v>23</v>
      </c>
      <c r="BC289" s="36">
        <v>22</v>
      </c>
      <c r="BD289" s="36">
        <v>14</v>
      </c>
      <c r="BE289" s="36">
        <v>20</v>
      </c>
      <c r="BF289" s="36">
        <v>26</v>
      </c>
      <c r="BG289" s="36">
        <v>34</v>
      </c>
      <c r="BH289" s="36">
        <v>20</v>
      </c>
      <c r="BI289" s="36">
        <v>19</v>
      </c>
      <c r="BJ289" s="36">
        <v>16</v>
      </c>
      <c r="BK289" s="36">
        <v>18</v>
      </c>
      <c r="BL289" s="36"/>
      <c r="BM289" s="36">
        <v>2</v>
      </c>
      <c r="BN289" s="36">
        <v>12</v>
      </c>
      <c r="BO289" s="36">
        <v>11</v>
      </c>
      <c r="BP289" s="36">
        <v>18</v>
      </c>
      <c r="BQ289" s="36">
        <v>12</v>
      </c>
      <c r="BR289" s="36"/>
      <c r="BS289" s="36">
        <v>8</v>
      </c>
      <c r="BT289" s="36">
        <v>16</v>
      </c>
      <c r="BU289" s="36">
        <v>11</v>
      </c>
      <c r="BV289" s="36">
        <v>16</v>
      </c>
      <c r="BW289" s="36">
        <v>14</v>
      </c>
      <c r="BX289" s="36"/>
      <c r="BY289" s="36"/>
      <c r="BZ289" s="36"/>
      <c r="CA289" s="36">
        <v>2</v>
      </c>
      <c r="CB289" s="36">
        <v>106</v>
      </c>
      <c r="CC289" s="36">
        <v>3</v>
      </c>
      <c r="CD289" s="36"/>
      <c r="CE289" s="36">
        <v>4</v>
      </c>
      <c r="CF289" s="36">
        <v>1</v>
      </c>
      <c r="CG289" s="36">
        <v>2</v>
      </c>
      <c r="CH289" s="36">
        <v>1</v>
      </c>
      <c r="CI289" s="36">
        <v>4</v>
      </c>
      <c r="CK289" s="4" t="b">
        <f t="shared" si="4"/>
        <v>0</v>
      </c>
    </row>
    <row r="290" spans="1:89" ht="90" customHeight="1">
      <c r="A290" s="32" t="s">
        <v>144</v>
      </c>
      <c r="B290" s="32" t="s">
        <v>151</v>
      </c>
      <c r="C290" s="32" t="s">
        <v>442</v>
      </c>
      <c r="D290" s="34"/>
      <c r="E290" s="34"/>
      <c r="F290" s="34"/>
      <c r="G290" s="34"/>
      <c r="H290" s="34"/>
      <c r="I290" s="34"/>
      <c r="J290" s="34"/>
      <c r="K290" s="34"/>
      <c r="L290" s="34"/>
      <c r="M290" s="34"/>
      <c r="N290" s="34">
        <v>75</v>
      </c>
      <c r="O290" s="34">
        <v>100</v>
      </c>
      <c r="P290" s="34"/>
      <c r="Q290" s="34"/>
      <c r="R290" s="34"/>
      <c r="S290" s="34"/>
      <c r="T290" s="34"/>
      <c r="U290" s="34"/>
      <c r="V290" s="34"/>
      <c r="W290" s="34"/>
      <c r="X290" s="34"/>
      <c r="Y290" s="34"/>
      <c r="Z290" s="34"/>
      <c r="AA290" s="34"/>
      <c r="AB290" s="36"/>
      <c r="AC290" s="36"/>
      <c r="AD290" s="36"/>
      <c r="AE290" s="36"/>
      <c r="AF290" s="36"/>
      <c r="AG290" s="36"/>
      <c r="AH290" s="36"/>
      <c r="AI290" s="36"/>
      <c r="AJ290" s="36"/>
      <c r="AK290" s="36"/>
      <c r="AL290" s="36">
        <v>20</v>
      </c>
      <c r="AM290" s="36">
        <v>25</v>
      </c>
      <c r="AN290" s="36"/>
      <c r="AO290" s="36"/>
      <c r="AP290" s="36"/>
      <c r="AQ290" s="36"/>
      <c r="AR290" s="36"/>
      <c r="AS290" s="36"/>
      <c r="AT290" s="36"/>
      <c r="AU290" s="36"/>
      <c r="AV290" s="36"/>
      <c r="AW290" s="36"/>
      <c r="AX290" s="36">
        <v>20</v>
      </c>
      <c r="AY290" s="36">
        <v>27</v>
      </c>
      <c r="AZ290" s="36"/>
      <c r="BA290" s="36"/>
      <c r="BB290" s="36"/>
      <c r="BC290" s="36"/>
      <c r="BD290" s="36"/>
      <c r="BE290" s="36"/>
      <c r="BF290" s="36"/>
      <c r="BG290" s="36"/>
      <c r="BH290" s="36"/>
      <c r="BI290" s="36"/>
      <c r="BJ290" s="36"/>
      <c r="BK290" s="36"/>
      <c r="BL290" s="36"/>
      <c r="BM290" s="36"/>
      <c r="BN290" s="36"/>
      <c r="BO290" s="36"/>
      <c r="BP290" s="36"/>
      <c r="BQ290" s="36"/>
      <c r="BR290" s="36"/>
      <c r="BS290" s="36"/>
      <c r="BT290" s="36"/>
      <c r="BU290" s="36"/>
      <c r="BV290" s="36">
        <v>49</v>
      </c>
      <c r="BW290" s="36">
        <v>56</v>
      </c>
      <c r="BX290" s="36"/>
      <c r="BY290" s="36"/>
      <c r="BZ290" s="36"/>
      <c r="CA290" s="36"/>
      <c r="CB290" s="36"/>
      <c r="CC290" s="36"/>
      <c r="CD290" s="36"/>
      <c r="CE290" s="36"/>
      <c r="CF290" s="36"/>
      <c r="CG290" s="36"/>
      <c r="CH290" s="36">
        <v>28</v>
      </c>
      <c r="CI290" s="36">
        <v>39</v>
      </c>
      <c r="CK290" s="4" t="b">
        <f t="shared" si="4"/>
        <v>0</v>
      </c>
    </row>
    <row r="291" spans="1:89" ht="90" customHeight="1">
      <c r="A291" s="32" t="s">
        <v>87</v>
      </c>
      <c r="B291" s="32" t="s">
        <v>188</v>
      </c>
      <c r="C291" s="32" t="s">
        <v>443</v>
      </c>
      <c r="D291" s="34"/>
      <c r="E291" s="34"/>
      <c r="F291" s="34"/>
      <c r="G291" s="34"/>
      <c r="H291" s="34"/>
      <c r="I291" s="34"/>
      <c r="J291" s="34"/>
      <c r="K291" s="34"/>
      <c r="L291" s="34"/>
      <c r="M291" s="34"/>
      <c r="N291" s="34"/>
      <c r="O291" s="34"/>
      <c r="P291" s="34"/>
      <c r="Q291" s="34"/>
      <c r="R291" s="34"/>
      <c r="S291" s="34"/>
      <c r="T291" s="34"/>
      <c r="U291" s="34"/>
      <c r="V291" s="34"/>
      <c r="W291" s="34"/>
      <c r="X291" s="34"/>
      <c r="Y291" s="34"/>
      <c r="Z291" s="34"/>
      <c r="AA291" s="34"/>
      <c r="AB291" s="36"/>
      <c r="AC291" s="36"/>
      <c r="AD291" s="36"/>
      <c r="AE291" s="36"/>
      <c r="AF291" s="36"/>
      <c r="AG291" s="36"/>
      <c r="AH291" s="36"/>
      <c r="AI291" s="36"/>
      <c r="AJ291" s="36"/>
      <c r="AK291" s="36"/>
      <c r="AL291" s="36"/>
      <c r="AM291" s="36"/>
      <c r="AN291" s="36"/>
      <c r="AO291" s="36"/>
      <c r="AP291" s="36"/>
      <c r="AQ291" s="36"/>
      <c r="AR291" s="36"/>
      <c r="AS291" s="36"/>
      <c r="AT291" s="36"/>
      <c r="AU291" s="36"/>
      <c r="AV291" s="36"/>
      <c r="AW291" s="36"/>
      <c r="AX291" s="36"/>
      <c r="AY291" s="36"/>
      <c r="AZ291" s="36"/>
      <c r="BA291" s="36"/>
      <c r="BB291" s="36"/>
      <c r="BC291" s="36"/>
      <c r="BD291" s="36"/>
      <c r="BE291" s="36"/>
      <c r="BF291" s="36"/>
      <c r="BG291" s="36"/>
      <c r="BH291" s="36">
        <v>5</v>
      </c>
      <c r="BI291" s="36">
        <v>4</v>
      </c>
      <c r="BJ291" s="36">
        <v>5</v>
      </c>
      <c r="BK291" s="36"/>
      <c r="BL291" s="36"/>
      <c r="BM291" s="36"/>
      <c r="BN291" s="36"/>
      <c r="BO291" s="36"/>
      <c r="BP291" s="36"/>
      <c r="BQ291" s="36"/>
      <c r="BR291" s="36"/>
      <c r="BS291" s="36"/>
      <c r="BT291" s="36"/>
      <c r="BU291" s="36"/>
      <c r="BV291" s="36"/>
      <c r="BW291" s="36"/>
      <c r="BX291" s="36"/>
      <c r="BY291" s="36"/>
      <c r="BZ291" s="36"/>
      <c r="CA291" s="36"/>
      <c r="CB291" s="36"/>
      <c r="CC291" s="36"/>
      <c r="CD291" s="36"/>
      <c r="CE291" s="36"/>
      <c r="CF291" s="36"/>
      <c r="CG291" s="36"/>
      <c r="CH291" s="36"/>
      <c r="CI291" s="36"/>
      <c r="CK291" s="4" t="b">
        <f t="shared" si="4"/>
        <v>0</v>
      </c>
    </row>
    <row r="292" spans="1:89" ht="75" customHeight="1">
      <c r="A292" s="32" t="s">
        <v>144</v>
      </c>
      <c r="B292" s="32" t="s">
        <v>207</v>
      </c>
      <c r="C292" s="32" t="s">
        <v>444</v>
      </c>
      <c r="D292" s="34">
        <v>87.5</v>
      </c>
      <c r="E292" s="34">
        <v>100</v>
      </c>
      <c r="F292" s="34">
        <v>100</v>
      </c>
      <c r="G292" s="34">
        <v>100</v>
      </c>
      <c r="H292" s="34"/>
      <c r="I292" s="34">
        <v>100</v>
      </c>
      <c r="J292" s="34">
        <v>88.89</v>
      </c>
      <c r="K292" s="34">
        <v>100</v>
      </c>
      <c r="L292" s="34">
        <v>100</v>
      </c>
      <c r="M292" s="34">
        <v>100</v>
      </c>
      <c r="N292" s="34">
        <v>100</v>
      </c>
      <c r="O292" s="34">
        <v>100</v>
      </c>
      <c r="P292" s="34"/>
      <c r="Q292" s="34">
        <v>75</v>
      </c>
      <c r="R292" s="34">
        <v>40</v>
      </c>
      <c r="S292" s="34"/>
      <c r="T292" s="34"/>
      <c r="U292" s="34">
        <v>100</v>
      </c>
      <c r="V292" s="34">
        <v>75</v>
      </c>
      <c r="W292" s="34">
        <v>100</v>
      </c>
      <c r="X292" s="34">
        <v>100</v>
      </c>
      <c r="Y292" s="34">
        <v>75</v>
      </c>
      <c r="Z292" s="34">
        <v>75</v>
      </c>
      <c r="AA292" s="34">
        <v>125</v>
      </c>
      <c r="AB292" s="36">
        <v>4</v>
      </c>
      <c r="AC292" s="36">
        <v>64</v>
      </c>
      <c r="AD292" s="36">
        <v>10</v>
      </c>
      <c r="AE292" s="36">
        <v>8</v>
      </c>
      <c r="AF292" s="36"/>
      <c r="AG292" s="36">
        <v>10</v>
      </c>
      <c r="AH292" s="36">
        <v>13</v>
      </c>
      <c r="AI292" s="36">
        <v>36</v>
      </c>
      <c r="AJ292" s="36">
        <v>10</v>
      </c>
      <c r="AK292" s="36">
        <v>11</v>
      </c>
      <c r="AL292" s="36">
        <v>10</v>
      </c>
      <c r="AM292" s="36">
        <v>32</v>
      </c>
      <c r="AN292" s="36">
        <v>8</v>
      </c>
      <c r="AO292" s="36">
        <v>1206</v>
      </c>
      <c r="AP292" s="36">
        <v>8</v>
      </c>
      <c r="AQ292" s="36">
        <v>17</v>
      </c>
      <c r="AR292" s="36"/>
      <c r="AS292" s="36">
        <v>9</v>
      </c>
      <c r="AT292" s="36">
        <v>19</v>
      </c>
      <c r="AU292" s="36">
        <v>16</v>
      </c>
      <c r="AV292" s="36">
        <v>25</v>
      </c>
      <c r="AW292" s="36">
        <v>21</v>
      </c>
      <c r="AX292" s="36">
        <v>28</v>
      </c>
      <c r="AY292" s="36">
        <v>28</v>
      </c>
      <c r="AZ292" s="36">
        <v>10</v>
      </c>
      <c r="BA292" s="36">
        <v>14</v>
      </c>
      <c r="BB292" s="36">
        <v>15</v>
      </c>
      <c r="BC292" s="36">
        <v>14</v>
      </c>
      <c r="BD292" s="36"/>
      <c r="BE292" s="36">
        <v>8</v>
      </c>
      <c r="BF292" s="36">
        <v>8</v>
      </c>
      <c r="BG292" s="36">
        <v>7</v>
      </c>
      <c r="BH292" s="36">
        <v>11</v>
      </c>
      <c r="BI292" s="36">
        <v>2</v>
      </c>
      <c r="BJ292" s="36">
        <v>13</v>
      </c>
      <c r="BK292" s="36">
        <v>5</v>
      </c>
      <c r="BL292" s="36">
        <v>10</v>
      </c>
      <c r="BM292" s="36">
        <v>16</v>
      </c>
      <c r="BN292" s="36">
        <v>5</v>
      </c>
      <c r="BO292" s="36">
        <v>8</v>
      </c>
      <c r="BP292" s="36"/>
      <c r="BQ292" s="36">
        <v>8</v>
      </c>
      <c r="BR292" s="36">
        <v>6</v>
      </c>
      <c r="BS292" s="36">
        <v>9</v>
      </c>
      <c r="BT292" s="36">
        <v>4</v>
      </c>
      <c r="BU292" s="36">
        <v>4</v>
      </c>
      <c r="BV292" s="36">
        <v>7</v>
      </c>
      <c r="BW292" s="36">
        <v>5</v>
      </c>
      <c r="BX292" s="36">
        <v>4</v>
      </c>
      <c r="BY292" s="36">
        <v>4</v>
      </c>
      <c r="BZ292" s="36">
        <v>5</v>
      </c>
      <c r="CA292" s="36">
        <v>2</v>
      </c>
      <c r="CB292" s="36"/>
      <c r="CC292" s="36">
        <v>3</v>
      </c>
      <c r="CD292" s="36">
        <v>2</v>
      </c>
      <c r="CE292" s="36">
        <v>1</v>
      </c>
      <c r="CF292" s="36">
        <v>3</v>
      </c>
      <c r="CG292" s="36">
        <v>3</v>
      </c>
      <c r="CH292" s="36">
        <v>4</v>
      </c>
      <c r="CI292" s="36">
        <v>3</v>
      </c>
      <c r="CK292" s="4" t="b">
        <f t="shared" si="4"/>
        <v>1</v>
      </c>
    </row>
    <row r="293" spans="1:89" ht="75" customHeight="1">
      <c r="A293" s="32" t="s">
        <v>124</v>
      </c>
      <c r="B293" s="32" t="s">
        <v>218</v>
      </c>
      <c r="C293" s="32" t="s">
        <v>445</v>
      </c>
      <c r="D293" s="34"/>
      <c r="E293" s="34"/>
      <c r="F293" s="34">
        <v>100</v>
      </c>
      <c r="G293" s="34">
        <v>100</v>
      </c>
      <c r="H293" s="34">
        <v>100</v>
      </c>
      <c r="I293" s="34">
        <v>100</v>
      </c>
      <c r="J293" s="34">
        <v>100</v>
      </c>
      <c r="K293" s="34">
        <v>100</v>
      </c>
      <c r="L293" s="34">
        <v>50</v>
      </c>
      <c r="M293" s="34">
        <v>100</v>
      </c>
      <c r="N293" s="34">
        <v>100</v>
      </c>
      <c r="O293" s="34">
        <v>200</v>
      </c>
      <c r="P293" s="34"/>
      <c r="Q293" s="34"/>
      <c r="R293" s="34">
        <v>100</v>
      </c>
      <c r="S293" s="34">
        <v>100</v>
      </c>
      <c r="T293" s="34">
        <v>100</v>
      </c>
      <c r="U293" s="34">
        <v>100</v>
      </c>
      <c r="V293" s="34"/>
      <c r="W293" s="34">
        <v>83.33</v>
      </c>
      <c r="X293" s="34">
        <v>42.86</v>
      </c>
      <c r="Y293" s="34">
        <v>42.86</v>
      </c>
      <c r="Z293" s="34">
        <v>100</v>
      </c>
      <c r="AA293" s="34">
        <v>128.57</v>
      </c>
      <c r="AB293" s="36"/>
      <c r="AC293" s="36"/>
      <c r="AD293" s="36">
        <v>42</v>
      </c>
      <c r="AE293" s="36">
        <v>42</v>
      </c>
      <c r="AF293" s="36">
        <v>55</v>
      </c>
      <c r="AG293" s="36">
        <v>42</v>
      </c>
      <c r="AH293" s="36">
        <v>35</v>
      </c>
      <c r="AI293" s="36">
        <v>42</v>
      </c>
      <c r="AJ293" s="36">
        <v>20</v>
      </c>
      <c r="AK293" s="36">
        <v>31</v>
      </c>
      <c r="AL293" s="36">
        <v>49</v>
      </c>
      <c r="AM293" s="36">
        <v>59</v>
      </c>
      <c r="AN293" s="36"/>
      <c r="AO293" s="36"/>
      <c r="AP293" s="36">
        <v>44</v>
      </c>
      <c r="AQ293" s="36">
        <v>41</v>
      </c>
      <c r="AR293" s="36">
        <v>54</v>
      </c>
      <c r="AS293" s="36">
        <v>41</v>
      </c>
      <c r="AT293" s="36">
        <v>32</v>
      </c>
      <c r="AU293" s="36">
        <v>27</v>
      </c>
      <c r="AV293" s="36">
        <v>21</v>
      </c>
      <c r="AW293" s="36">
        <v>22</v>
      </c>
      <c r="AX293" s="36">
        <v>49</v>
      </c>
      <c r="AY293" s="36">
        <v>58</v>
      </c>
      <c r="AZ293" s="36"/>
      <c r="BA293" s="36"/>
      <c r="BB293" s="36">
        <v>45</v>
      </c>
      <c r="BC293" s="36">
        <v>51</v>
      </c>
      <c r="BD293" s="36">
        <v>45</v>
      </c>
      <c r="BE293" s="36">
        <v>44</v>
      </c>
      <c r="BF293" s="36"/>
      <c r="BG293" s="36">
        <v>42</v>
      </c>
      <c r="BH293" s="36">
        <v>25</v>
      </c>
      <c r="BI293" s="36">
        <v>7</v>
      </c>
      <c r="BJ293" s="36">
        <v>16</v>
      </c>
      <c r="BK293" s="36">
        <v>49</v>
      </c>
      <c r="BL293" s="36"/>
      <c r="BM293" s="36"/>
      <c r="BN293" s="36">
        <v>12</v>
      </c>
      <c r="BO293" s="36">
        <v>12</v>
      </c>
      <c r="BP293" s="36">
        <v>10</v>
      </c>
      <c r="BQ293" s="36">
        <v>12</v>
      </c>
      <c r="BR293" s="36">
        <v>15</v>
      </c>
      <c r="BS293" s="36">
        <v>9</v>
      </c>
      <c r="BT293" s="36">
        <v>1</v>
      </c>
      <c r="BU293" s="36">
        <v>2</v>
      </c>
      <c r="BV293" s="36">
        <v>1</v>
      </c>
      <c r="BW293" s="36">
        <v>16</v>
      </c>
      <c r="BX293" s="36"/>
      <c r="BY293" s="36"/>
      <c r="BZ293" s="36"/>
      <c r="CA293" s="36"/>
      <c r="CB293" s="36"/>
      <c r="CC293" s="36"/>
      <c r="CD293" s="36"/>
      <c r="CE293" s="36"/>
      <c r="CF293" s="36"/>
      <c r="CG293" s="36"/>
      <c r="CH293" s="36"/>
      <c r="CI293" s="36"/>
      <c r="CK293" s="4" t="b">
        <f t="shared" si="4"/>
        <v>0</v>
      </c>
    </row>
    <row r="294" spans="1:89" ht="75" customHeight="1">
      <c r="A294" s="32" t="s">
        <v>144</v>
      </c>
      <c r="B294" s="32" t="s">
        <v>343</v>
      </c>
      <c r="C294" s="32" t="s">
        <v>446</v>
      </c>
      <c r="D294" s="34"/>
      <c r="E294" s="34">
        <v>100</v>
      </c>
      <c r="F294" s="34">
        <v>100</v>
      </c>
      <c r="G294" s="34">
        <v>100</v>
      </c>
      <c r="H294" s="34">
        <v>100</v>
      </c>
      <c r="I294" s="34">
        <v>100</v>
      </c>
      <c r="J294" s="34">
        <v>100</v>
      </c>
      <c r="K294" s="34">
        <v>100</v>
      </c>
      <c r="L294" s="34">
        <v>33.33</v>
      </c>
      <c r="M294" s="34">
        <v>100</v>
      </c>
      <c r="N294" s="34">
        <v>100</v>
      </c>
      <c r="O294" s="34">
        <v>100</v>
      </c>
      <c r="P294" s="34"/>
      <c r="Q294" s="34">
        <v>100</v>
      </c>
      <c r="R294" s="34">
        <v>100</v>
      </c>
      <c r="S294" s="34">
        <v>100</v>
      </c>
      <c r="T294" s="34">
        <v>100</v>
      </c>
      <c r="U294" s="34">
        <v>100</v>
      </c>
      <c r="V294" s="34">
        <v>100</v>
      </c>
      <c r="W294" s="34">
        <v>100</v>
      </c>
      <c r="X294" s="34">
        <v>300</v>
      </c>
      <c r="Y294" s="34">
        <v>100</v>
      </c>
      <c r="Z294" s="34">
        <v>100</v>
      </c>
      <c r="AA294" s="34">
        <v>100</v>
      </c>
      <c r="AB294" s="36"/>
      <c r="AC294" s="36">
        <v>86</v>
      </c>
      <c r="AD294" s="36">
        <v>33</v>
      </c>
      <c r="AE294" s="36">
        <v>19</v>
      </c>
      <c r="AF294" s="36">
        <v>24</v>
      </c>
      <c r="AG294" s="36">
        <v>27</v>
      </c>
      <c r="AH294" s="36">
        <v>22</v>
      </c>
      <c r="AI294" s="36">
        <v>22</v>
      </c>
      <c r="AJ294" s="36">
        <v>23</v>
      </c>
      <c r="AK294" s="36">
        <v>17</v>
      </c>
      <c r="AL294" s="36">
        <v>22</v>
      </c>
      <c r="AM294" s="36">
        <v>37</v>
      </c>
      <c r="AN294" s="36"/>
      <c r="AO294" s="36">
        <v>75</v>
      </c>
      <c r="AP294" s="36">
        <v>38</v>
      </c>
      <c r="AQ294" s="36">
        <v>35</v>
      </c>
      <c r="AR294" s="36">
        <v>34</v>
      </c>
      <c r="AS294" s="36">
        <v>36</v>
      </c>
      <c r="AT294" s="36">
        <v>33</v>
      </c>
      <c r="AU294" s="36">
        <v>30</v>
      </c>
      <c r="AV294" s="36">
        <v>26</v>
      </c>
      <c r="AW294" s="36">
        <v>23</v>
      </c>
      <c r="AX294" s="36">
        <v>26</v>
      </c>
      <c r="AY294" s="36">
        <v>37</v>
      </c>
      <c r="AZ294" s="36"/>
      <c r="BA294" s="36">
        <v>6</v>
      </c>
      <c r="BB294" s="36">
        <v>5</v>
      </c>
      <c r="BC294" s="36">
        <v>6</v>
      </c>
      <c r="BD294" s="36">
        <v>2</v>
      </c>
      <c r="BE294" s="36">
        <v>3</v>
      </c>
      <c r="BF294" s="36">
        <v>8</v>
      </c>
      <c r="BG294" s="36">
        <v>4</v>
      </c>
      <c r="BH294" s="36">
        <v>7</v>
      </c>
      <c r="BI294" s="36">
        <v>7</v>
      </c>
      <c r="BJ294" s="36">
        <v>6</v>
      </c>
      <c r="BK294" s="36">
        <v>8</v>
      </c>
      <c r="BL294" s="36"/>
      <c r="BM294" s="36">
        <v>3</v>
      </c>
      <c r="BN294" s="36">
        <v>3</v>
      </c>
      <c r="BO294" s="36">
        <v>2</v>
      </c>
      <c r="BP294" s="36">
        <v>4</v>
      </c>
      <c r="BQ294" s="36">
        <v>4</v>
      </c>
      <c r="BR294" s="36">
        <v>6</v>
      </c>
      <c r="BS294" s="36">
        <v>5</v>
      </c>
      <c r="BT294" s="36">
        <v>6</v>
      </c>
      <c r="BU294" s="36">
        <v>6</v>
      </c>
      <c r="BV294" s="36"/>
      <c r="BW294" s="36">
        <v>7</v>
      </c>
      <c r="BX294" s="36"/>
      <c r="BY294" s="36">
        <v>7</v>
      </c>
      <c r="BZ294" s="36">
        <v>2</v>
      </c>
      <c r="CA294" s="36">
        <v>4</v>
      </c>
      <c r="CB294" s="36"/>
      <c r="CC294" s="36"/>
      <c r="CD294" s="36"/>
      <c r="CE294" s="36"/>
      <c r="CF294" s="36"/>
      <c r="CG294" s="36"/>
      <c r="CH294" s="36">
        <v>10</v>
      </c>
      <c r="CI294" s="36"/>
      <c r="CK294" s="4" t="b">
        <f t="shared" si="4"/>
        <v>0</v>
      </c>
    </row>
    <row r="295" spans="1:89" ht="60" customHeight="1">
      <c r="A295" s="32" t="s">
        <v>109</v>
      </c>
      <c r="B295" s="32" t="s">
        <v>194</v>
      </c>
      <c r="C295" s="32" t="s">
        <v>447</v>
      </c>
      <c r="D295" s="34"/>
      <c r="E295" s="34">
        <v>50</v>
      </c>
      <c r="F295" s="34">
        <v>100</v>
      </c>
      <c r="G295" s="34">
        <v>100</v>
      </c>
      <c r="H295" s="34">
        <v>100</v>
      </c>
      <c r="I295" s="34">
        <v>100</v>
      </c>
      <c r="J295" s="34">
        <v>100</v>
      </c>
      <c r="K295" s="34">
        <v>75</v>
      </c>
      <c r="L295" s="34">
        <v>100</v>
      </c>
      <c r="M295" s="34">
        <v>100</v>
      </c>
      <c r="N295" s="34">
        <v>100</v>
      </c>
      <c r="O295" s="34">
        <v>100</v>
      </c>
      <c r="P295" s="34"/>
      <c r="Q295" s="34">
        <v>100</v>
      </c>
      <c r="R295" s="34">
        <v>50</v>
      </c>
      <c r="S295" s="34">
        <v>100</v>
      </c>
      <c r="T295" s="34"/>
      <c r="U295" s="34">
        <v>100</v>
      </c>
      <c r="V295" s="34">
        <v>100</v>
      </c>
      <c r="W295" s="34">
        <v>75</v>
      </c>
      <c r="X295" s="34">
        <v>100</v>
      </c>
      <c r="Y295" s="34">
        <v>100</v>
      </c>
      <c r="Z295" s="34">
        <v>100</v>
      </c>
      <c r="AA295" s="34">
        <v>100</v>
      </c>
      <c r="AB295" s="36"/>
      <c r="AC295" s="36">
        <v>79</v>
      </c>
      <c r="AD295" s="36">
        <v>34</v>
      </c>
      <c r="AE295" s="36">
        <v>34</v>
      </c>
      <c r="AF295" s="36">
        <v>49</v>
      </c>
      <c r="AG295" s="36">
        <v>40</v>
      </c>
      <c r="AH295" s="36">
        <v>34</v>
      </c>
      <c r="AI295" s="36">
        <v>43</v>
      </c>
      <c r="AJ295" s="36">
        <v>45</v>
      </c>
      <c r="AK295" s="36">
        <v>47</v>
      </c>
      <c r="AL295" s="36">
        <v>57</v>
      </c>
      <c r="AM295" s="36">
        <v>53</v>
      </c>
      <c r="AN295" s="36"/>
      <c r="AO295" s="36">
        <v>45</v>
      </c>
      <c r="AP295" s="36">
        <v>35</v>
      </c>
      <c r="AQ295" s="36">
        <v>29</v>
      </c>
      <c r="AR295" s="36">
        <v>31</v>
      </c>
      <c r="AS295" s="36">
        <v>31</v>
      </c>
      <c r="AT295" s="36">
        <v>27</v>
      </c>
      <c r="AU295" s="36">
        <v>40</v>
      </c>
      <c r="AV295" s="36">
        <v>44</v>
      </c>
      <c r="AW295" s="36">
        <v>48</v>
      </c>
      <c r="AX295" s="36">
        <v>59</v>
      </c>
      <c r="AY295" s="36">
        <v>49</v>
      </c>
      <c r="AZ295" s="36"/>
      <c r="BA295" s="36">
        <v>9</v>
      </c>
      <c r="BB295" s="36">
        <v>5</v>
      </c>
      <c r="BC295" s="36">
        <v>6</v>
      </c>
      <c r="BD295" s="36">
        <v>10</v>
      </c>
      <c r="BE295" s="36">
        <v>6</v>
      </c>
      <c r="BF295" s="36">
        <v>2</v>
      </c>
      <c r="BG295" s="36">
        <v>15</v>
      </c>
      <c r="BH295" s="36">
        <v>8</v>
      </c>
      <c r="BI295" s="36">
        <v>5</v>
      </c>
      <c r="BJ295" s="36">
        <v>7</v>
      </c>
      <c r="BK295" s="36">
        <v>5</v>
      </c>
      <c r="BL295" s="36"/>
      <c r="BM295" s="36"/>
      <c r="BN295" s="36">
        <v>9</v>
      </c>
      <c r="BO295" s="36">
        <v>1</v>
      </c>
      <c r="BP295" s="36">
        <v>3</v>
      </c>
      <c r="BQ295" s="36"/>
      <c r="BR295" s="36">
        <v>3</v>
      </c>
      <c r="BS295" s="36">
        <v>2</v>
      </c>
      <c r="BT295" s="36"/>
      <c r="BU295" s="36">
        <v>5</v>
      </c>
      <c r="BV295" s="36">
        <v>5</v>
      </c>
      <c r="BW295" s="36">
        <v>1</v>
      </c>
      <c r="BX295" s="36"/>
      <c r="BY295" s="36"/>
      <c r="BZ295" s="36">
        <v>3</v>
      </c>
      <c r="CA295" s="36"/>
      <c r="CB295" s="36">
        <v>19</v>
      </c>
      <c r="CC295" s="36">
        <v>20</v>
      </c>
      <c r="CD295" s="36"/>
      <c r="CE295" s="36"/>
      <c r="CF295" s="36">
        <v>35</v>
      </c>
      <c r="CG295" s="36">
        <v>2</v>
      </c>
      <c r="CH295" s="36"/>
      <c r="CI295" s="36"/>
      <c r="CK295" s="4" t="b">
        <f t="shared" si="4"/>
        <v>0</v>
      </c>
    </row>
    <row r="296" spans="1:89" ht="60" customHeight="1">
      <c r="A296" s="32" t="s">
        <v>101</v>
      </c>
      <c r="B296" s="32" t="s">
        <v>148</v>
      </c>
      <c r="C296" s="32" t="s">
        <v>448</v>
      </c>
      <c r="D296" s="34"/>
      <c r="E296" s="34">
        <v>100</v>
      </c>
      <c r="F296" s="34">
        <v>100</v>
      </c>
      <c r="G296" s="34">
        <v>100</v>
      </c>
      <c r="H296" s="34">
        <v>100</v>
      </c>
      <c r="I296" s="34">
        <v>100</v>
      </c>
      <c r="J296" s="34">
        <v>100</v>
      </c>
      <c r="K296" s="34">
        <v>100</v>
      </c>
      <c r="L296" s="34">
        <v>100</v>
      </c>
      <c r="M296" s="34">
        <v>100</v>
      </c>
      <c r="N296" s="34">
        <v>100</v>
      </c>
      <c r="O296" s="34"/>
      <c r="P296" s="34"/>
      <c r="Q296" s="34">
        <v>100</v>
      </c>
      <c r="R296" s="34">
        <v>100</v>
      </c>
      <c r="S296" s="34">
        <v>100</v>
      </c>
      <c r="T296" s="34">
        <v>100</v>
      </c>
      <c r="U296" s="34">
        <v>100</v>
      </c>
      <c r="V296" s="34">
        <v>100</v>
      </c>
      <c r="W296" s="34">
        <v>100</v>
      </c>
      <c r="X296" s="34">
        <v>100</v>
      </c>
      <c r="Y296" s="34">
        <v>100</v>
      </c>
      <c r="Z296" s="34">
        <v>100</v>
      </c>
      <c r="AA296" s="34"/>
      <c r="AB296" s="36"/>
      <c r="AC296" s="36">
        <v>34</v>
      </c>
      <c r="AD296" s="36">
        <v>42</v>
      </c>
      <c r="AE296" s="36">
        <v>52</v>
      </c>
      <c r="AF296" s="36">
        <v>50</v>
      </c>
      <c r="AG296" s="36">
        <v>45</v>
      </c>
      <c r="AH296" s="36">
        <v>42</v>
      </c>
      <c r="AI296" s="36">
        <v>42</v>
      </c>
      <c r="AJ296" s="36">
        <v>41</v>
      </c>
      <c r="AK296" s="36">
        <v>42</v>
      </c>
      <c r="AL296" s="36">
        <v>46</v>
      </c>
      <c r="AM296" s="36"/>
      <c r="AN296" s="36"/>
      <c r="AO296" s="36">
        <v>202</v>
      </c>
      <c r="AP296" s="36">
        <v>41</v>
      </c>
      <c r="AQ296" s="36">
        <v>51</v>
      </c>
      <c r="AR296" s="36">
        <v>51</v>
      </c>
      <c r="AS296" s="36">
        <v>45</v>
      </c>
      <c r="AT296" s="36">
        <v>41</v>
      </c>
      <c r="AU296" s="36">
        <v>41</v>
      </c>
      <c r="AV296" s="36">
        <v>40</v>
      </c>
      <c r="AW296" s="36">
        <v>41</v>
      </c>
      <c r="AX296" s="36">
        <v>45</v>
      </c>
      <c r="AY296" s="36"/>
      <c r="AZ296" s="36"/>
      <c r="BA296" s="36">
        <v>4</v>
      </c>
      <c r="BB296" s="36">
        <v>8</v>
      </c>
      <c r="BC296" s="36">
        <v>12</v>
      </c>
      <c r="BD296" s="36">
        <v>9</v>
      </c>
      <c r="BE296" s="36">
        <v>4</v>
      </c>
      <c r="BF296" s="36">
        <v>7</v>
      </c>
      <c r="BG296" s="36">
        <v>10</v>
      </c>
      <c r="BH296" s="36">
        <v>8</v>
      </c>
      <c r="BI296" s="36">
        <v>8</v>
      </c>
      <c r="BJ296" s="36">
        <v>10</v>
      </c>
      <c r="BK296" s="36"/>
      <c r="BL296" s="36"/>
      <c r="BM296" s="36"/>
      <c r="BN296" s="36">
        <v>3</v>
      </c>
      <c r="BO296" s="36">
        <v>2</v>
      </c>
      <c r="BP296" s="36">
        <v>5</v>
      </c>
      <c r="BQ296" s="36">
        <v>1</v>
      </c>
      <c r="BR296" s="36">
        <v>7</v>
      </c>
      <c r="BS296" s="36">
        <v>5</v>
      </c>
      <c r="BT296" s="36">
        <v>8</v>
      </c>
      <c r="BU296" s="36">
        <v>5</v>
      </c>
      <c r="BV296" s="36">
        <v>5</v>
      </c>
      <c r="BW296" s="36"/>
      <c r="BX296" s="36"/>
      <c r="BY296" s="36"/>
      <c r="BZ296" s="36"/>
      <c r="CA296" s="36"/>
      <c r="CB296" s="36"/>
      <c r="CC296" s="36"/>
      <c r="CD296" s="36"/>
      <c r="CE296" s="36"/>
      <c r="CF296" s="36"/>
      <c r="CG296" s="36"/>
      <c r="CH296" s="36"/>
      <c r="CI296" s="36"/>
      <c r="CK296" s="4" t="b">
        <f t="shared" si="4"/>
        <v>0</v>
      </c>
    </row>
    <row r="297" spans="1:89" ht="75" customHeight="1">
      <c r="A297" s="32" t="s">
        <v>124</v>
      </c>
      <c r="B297" s="32" t="s">
        <v>329</v>
      </c>
      <c r="C297" s="32" t="s">
        <v>449</v>
      </c>
      <c r="D297" s="34"/>
      <c r="E297" s="34">
        <v>50</v>
      </c>
      <c r="F297" s="34">
        <v>100</v>
      </c>
      <c r="G297" s="34">
        <v>100</v>
      </c>
      <c r="H297" s="34">
        <v>100</v>
      </c>
      <c r="I297" s="34">
        <v>100</v>
      </c>
      <c r="J297" s="34">
        <v>100</v>
      </c>
      <c r="K297" s="34">
        <v>75</v>
      </c>
      <c r="L297" s="34">
        <v>100</v>
      </c>
      <c r="M297" s="34">
        <v>100</v>
      </c>
      <c r="N297" s="34">
        <v>100</v>
      </c>
      <c r="O297" s="34">
        <v>100</v>
      </c>
      <c r="P297" s="34"/>
      <c r="Q297" s="34"/>
      <c r="R297" s="34">
        <v>100</v>
      </c>
      <c r="S297" s="34">
        <v>50</v>
      </c>
      <c r="T297" s="34">
        <v>100</v>
      </c>
      <c r="U297" s="34">
        <v>100</v>
      </c>
      <c r="V297" s="34">
        <v>100</v>
      </c>
      <c r="W297" s="34">
        <v>50</v>
      </c>
      <c r="X297" s="34">
        <v>50</v>
      </c>
      <c r="Y297" s="34">
        <v>100</v>
      </c>
      <c r="Z297" s="34">
        <v>100</v>
      </c>
      <c r="AA297" s="34">
        <v>100</v>
      </c>
      <c r="AB297" s="36"/>
      <c r="AC297" s="36">
        <v>36</v>
      </c>
      <c r="AD297" s="36">
        <v>48</v>
      </c>
      <c r="AE297" s="36">
        <v>40</v>
      </c>
      <c r="AF297" s="36">
        <v>46</v>
      </c>
      <c r="AG297" s="36">
        <v>43</v>
      </c>
      <c r="AH297" s="36">
        <v>38</v>
      </c>
      <c r="AI297" s="36">
        <v>33</v>
      </c>
      <c r="AJ297" s="36">
        <v>26</v>
      </c>
      <c r="AK297" s="36">
        <v>35</v>
      </c>
      <c r="AL297" s="36">
        <v>30</v>
      </c>
      <c r="AM297" s="36">
        <v>131</v>
      </c>
      <c r="AN297" s="36"/>
      <c r="AO297" s="36">
        <v>242</v>
      </c>
      <c r="AP297" s="36">
        <v>47</v>
      </c>
      <c r="AQ297" s="36">
        <v>40</v>
      </c>
      <c r="AR297" s="36">
        <v>53</v>
      </c>
      <c r="AS297" s="36">
        <v>43</v>
      </c>
      <c r="AT297" s="36">
        <v>38</v>
      </c>
      <c r="AU297" s="36">
        <v>33</v>
      </c>
      <c r="AV297" s="36">
        <v>26</v>
      </c>
      <c r="AW297" s="36">
        <v>32</v>
      </c>
      <c r="AX297" s="36">
        <v>28</v>
      </c>
      <c r="AY297" s="36">
        <v>81</v>
      </c>
      <c r="AZ297" s="36"/>
      <c r="BA297" s="36">
        <v>27</v>
      </c>
      <c r="BB297" s="36">
        <v>26</v>
      </c>
      <c r="BC297" s="36">
        <v>23</v>
      </c>
      <c r="BD297" s="36">
        <v>21</v>
      </c>
      <c r="BE297" s="36">
        <v>13</v>
      </c>
      <c r="BF297" s="36">
        <v>9</v>
      </c>
      <c r="BG297" s="36">
        <v>15</v>
      </c>
      <c r="BH297" s="36">
        <v>3</v>
      </c>
      <c r="BI297" s="36">
        <v>18</v>
      </c>
      <c r="BJ297" s="36">
        <v>15</v>
      </c>
      <c r="BK297" s="36">
        <v>13</v>
      </c>
      <c r="BL297" s="36"/>
      <c r="BM297" s="36">
        <v>1</v>
      </c>
      <c r="BN297" s="36">
        <v>4</v>
      </c>
      <c r="BO297" s="36">
        <v>2</v>
      </c>
      <c r="BP297" s="36">
        <v>10</v>
      </c>
      <c r="BQ297" s="36">
        <v>19</v>
      </c>
      <c r="BR297" s="36">
        <v>12</v>
      </c>
      <c r="BS297" s="36">
        <v>10</v>
      </c>
      <c r="BT297" s="36">
        <v>13</v>
      </c>
      <c r="BU297" s="36">
        <v>14</v>
      </c>
      <c r="BV297" s="36">
        <v>13</v>
      </c>
      <c r="BW297" s="36">
        <v>9</v>
      </c>
      <c r="BX297" s="36"/>
      <c r="BY297" s="36"/>
      <c r="BZ297" s="36"/>
      <c r="CA297" s="36"/>
      <c r="CB297" s="36"/>
      <c r="CC297" s="36"/>
      <c r="CD297" s="36"/>
      <c r="CE297" s="36"/>
      <c r="CF297" s="36">
        <v>1</v>
      </c>
      <c r="CG297" s="36">
        <v>3</v>
      </c>
      <c r="CH297" s="36"/>
      <c r="CI297" s="36">
        <v>1</v>
      </c>
      <c r="CK297" s="4" t="b">
        <f t="shared" si="4"/>
        <v>0</v>
      </c>
    </row>
    <row r="298" spans="1:89" ht="60" customHeight="1">
      <c r="A298" s="32" t="s">
        <v>87</v>
      </c>
      <c r="B298" s="32" t="s">
        <v>160</v>
      </c>
      <c r="C298" s="32" t="s">
        <v>450</v>
      </c>
      <c r="D298" s="34">
        <v>100</v>
      </c>
      <c r="E298" s="34">
        <v>100</v>
      </c>
      <c r="F298" s="34">
        <v>100</v>
      </c>
      <c r="G298" s="34">
        <v>100</v>
      </c>
      <c r="H298" s="34"/>
      <c r="I298" s="34"/>
      <c r="J298" s="34"/>
      <c r="K298" s="34">
        <v>100</v>
      </c>
      <c r="L298" s="34"/>
      <c r="M298" s="34"/>
      <c r="N298" s="34">
        <v>100</v>
      </c>
      <c r="O298" s="34"/>
      <c r="P298" s="34">
        <v>100</v>
      </c>
      <c r="Q298" s="34">
        <v>100</v>
      </c>
      <c r="R298" s="34">
        <v>100</v>
      </c>
      <c r="S298" s="34">
        <v>100</v>
      </c>
      <c r="T298" s="34"/>
      <c r="U298" s="34"/>
      <c r="V298" s="34"/>
      <c r="W298" s="34">
        <v>100</v>
      </c>
      <c r="X298" s="34"/>
      <c r="Y298" s="34"/>
      <c r="Z298" s="34">
        <v>100</v>
      </c>
      <c r="AA298" s="34"/>
      <c r="AB298" s="36">
        <v>23</v>
      </c>
      <c r="AC298" s="36">
        <v>22</v>
      </c>
      <c r="AD298" s="36">
        <v>22</v>
      </c>
      <c r="AE298" s="36">
        <v>11</v>
      </c>
      <c r="AF298" s="36">
        <v>23</v>
      </c>
      <c r="AG298" s="36">
        <v>16</v>
      </c>
      <c r="AH298" s="36">
        <v>22</v>
      </c>
      <c r="AI298" s="36">
        <v>24</v>
      </c>
      <c r="AJ298" s="36">
        <v>18</v>
      </c>
      <c r="AK298" s="36">
        <v>20</v>
      </c>
      <c r="AL298" s="36">
        <v>20</v>
      </c>
      <c r="AM298" s="36">
        <v>18</v>
      </c>
      <c r="AN298" s="36">
        <v>19</v>
      </c>
      <c r="AO298" s="36">
        <v>19</v>
      </c>
      <c r="AP298" s="36">
        <v>18</v>
      </c>
      <c r="AQ298" s="36">
        <v>19</v>
      </c>
      <c r="AR298" s="36">
        <v>20</v>
      </c>
      <c r="AS298" s="36">
        <v>15</v>
      </c>
      <c r="AT298" s="36">
        <v>18</v>
      </c>
      <c r="AU298" s="36">
        <v>20</v>
      </c>
      <c r="AV298" s="36">
        <v>21</v>
      </c>
      <c r="AW298" s="36">
        <v>22</v>
      </c>
      <c r="AX298" s="36">
        <v>21</v>
      </c>
      <c r="AY298" s="36">
        <v>18</v>
      </c>
      <c r="AZ298" s="36">
        <v>12</v>
      </c>
      <c r="BA298" s="36">
        <v>9</v>
      </c>
      <c r="BB298" s="36">
        <v>11</v>
      </c>
      <c r="BC298" s="36">
        <v>14</v>
      </c>
      <c r="BD298" s="36">
        <v>13</v>
      </c>
      <c r="BE298" s="36">
        <v>5</v>
      </c>
      <c r="BF298" s="36">
        <v>10</v>
      </c>
      <c r="BG298" s="36">
        <v>13</v>
      </c>
      <c r="BH298" s="36">
        <v>17</v>
      </c>
      <c r="BI298" s="36">
        <v>7</v>
      </c>
      <c r="BJ298" s="36">
        <v>11</v>
      </c>
      <c r="BK298" s="36">
        <v>10</v>
      </c>
      <c r="BL298" s="36">
        <v>8</v>
      </c>
      <c r="BM298" s="36">
        <v>9</v>
      </c>
      <c r="BN298" s="36">
        <v>18</v>
      </c>
      <c r="BO298" s="36">
        <v>6</v>
      </c>
      <c r="BP298" s="36">
        <v>15</v>
      </c>
      <c r="BQ298" s="36">
        <v>4</v>
      </c>
      <c r="BR298" s="36">
        <v>10</v>
      </c>
      <c r="BS298" s="36">
        <v>10</v>
      </c>
      <c r="BT298" s="36">
        <v>15</v>
      </c>
      <c r="BU298" s="36">
        <v>9</v>
      </c>
      <c r="BV298" s="36">
        <v>6</v>
      </c>
      <c r="BW298" s="36">
        <v>10</v>
      </c>
      <c r="BX298" s="36">
        <v>6</v>
      </c>
      <c r="BY298" s="36">
        <v>3</v>
      </c>
      <c r="BZ298" s="36">
        <v>6</v>
      </c>
      <c r="CA298" s="36">
        <v>7</v>
      </c>
      <c r="CB298" s="36">
        <v>4</v>
      </c>
      <c r="CC298" s="36"/>
      <c r="CD298" s="36">
        <v>5</v>
      </c>
      <c r="CE298" s="36">
        <v>5</v>
      </c>
      <c r="CF298" s="36">
        <v>5</v>
      </c>
      <c r="CG298" s="36">
        <v>4</v>
      </c>
      <c r="CH298" s="36">
        <v>4</v>
      </c>
      <c r="CI298" s="36">
        <v>5</v>
      </c>
      <c r="CK298" s="4" t="b">
        <f t="shared" si="4"/>
        <v>1</v>
      </c>
    </row>
    <row r="299" spans="1:89" ht="60" customHeight="1">
      <c r="A299" s="32" t="s">
        <v>92</v>
      </c>
      <c r="B299" s="32" t="s">
        <v>117</v>
      </c>
      <c r="C299" s="32" t="s">
        <v>451</v>
      </c>
      <c r="D299" s="34"/>
      <c r="E299" s="34">
        <v>60</v>
      </c>
      <c r="F299" s="34">
        <v>100</v>
      </c>
      <c r="G299" s="34">
        <v>100</v>
      </c>
      <c r="H299" s="34">
        <v>100</v>
      </c>
      <c r="I299" s="34">
        <v>100</v>
      </c>
      <c r="J299" s="34">
        <v>100</v>
      </c>
      <c r="K299" s="34">
        <v>100</v>
      </c>
      <c r="L299" s="34">
        <v>100</v>
      </c>
      <c r="M299" s="34">
        <v>100</v>
      </c>
      <c r="N299" s="34">
        <v>100</v>
      </c>
      <c r="O299" s="34">
        <v>100</v>
      </c>
      <c r="P299" s="34"/>
      <c r="Q299" s="34"/>
      <c r="R299" s="34">
        <v>100</v>
      </c>
      <c r="S299" s="34">
        <v>100</v>
      </c>
      <c r="T299" s="34">
        <v>60</v>
      </c>
      <c r="U299" s="34">
        <v>100</v>
      </c>
      <c r="V299" s="34">
        <v>80</v>
      </c>
      <c r="W299" s="34">
        <v>100</v>
      </c>
      <c r="X299" s="34">
        <v>100</v>
      </c>
      <c r="Y299" s="34">
        <v>100</v>
      </c>
      <c r="Z299" s="34">
        <v>100</v>
      </c>
      <c r="AA299" s="34">
        <v>100</v>
      </c>
      <c r="AB299" s="36"/>
      <c r="AC299" s="36">
        <v>15</v>
      </c>
      <c r="AD299" s="36">
        <v>15</v>
      </c>
      <c r="AE299" s="36">
        <v>14</v>
      </c>
      <c r="AF299" s="36">
        <v>16</v>
      </c>
      <c r="AG299" s="36">
        <v>15</v>
      </c>
      <c r="AH299" s="36">
        <v>20</v>
      </c>
      <c r="AI299" s="36">
        <v>15</v>
      </c>
      <c r="AJ299" s="36">
        <v>16</v>
      </c>
      <c r="AK299" s="36">
        <v>15</v>
      </c>
      <c r="AL299" s="36">
        <v>16</v>
      </c>
      <c r="AM299" s="36">
        <v>16</v>
      </c>
      <c r="AN299" s="36"/>
      <c r="AO299" s="36">
        <v>16</v>
      </c>
      <c r="AP299" s="36">
        <v>16</v>
      </c>
      <c r="AQ299" s="36">
        <v>16</v>
      </c>
      <c r="AR299" s="36">
        <v>13</v>
      </c>
      <c r="AS299" s="36">
        <v>15</v>
      </c>
      <c r="AT299" s="36">
        <v>15</v>
      </c>
      <c r="AU299" s="36">
        <v>16</v>
      </c>
      <c r="AV299" s="36">
        <v>16</v>
      </c>
      <c r="AW299" s="36">
        <v>14</v>
      </c>
      <c r="AX299" s="36">
        <v>15</v>
      </c>
      <c r="AY299" s="36">
        <v>15</v>
      </c>
      <c r="AZ299" s="36"/>
      <c r="BA299" s="36">
        <v>11</v>
      </c>
      <c r="BB299" s="36">
        <v>10</v>
      </c>
      <c r="BC299" s="36">
        <v>22</v>
      </c>
      <c r="BD299" s="36">
        <v>10</v>
      </c>
      <c r="BE299" s="36">
        <v>5</v>
      </c>
      <c r="BF299" s="36">
        <v>7</v>
      </c>
      <c r="BG299" s="36">
        <v>8</v>
      </c>
      <c r="BH299" s="36">
        <v>4</v>
      </c>
      <c r="BI299" s="36">
        <v>9</v>
      </c>
      <c r="BJ299" s="36">
        <v>11</v>
      </c>
      <c r="BK299" s="36">
        <v>3</v>
      </c>
      <c r="BL299" s="36"/>
      <c r="BM299" s="36">
        <v>5</v>
      </c>
      <c r="BN299" s="36"/>
      <c r="BO299" s="36"/>
      <c r="BP299" s="36">
        <v>5</v>
      </c>
      <c r="BQ299" s="36">
        <v>4</v>
      </c>
      <c r="BR299" s="36">
        <v>3</v>
      </c>
      <c r="BS299" s="36"/>
      <c r="BT299" s="36">
        <v>2</v>
      </c>
      <c r="BU299" s="36">
        <v>5</v>
      </c>
      <c r="BV299" s="36">
        <v>4</v>
      </c>
      <c r="BW299" s="36">
        <v>1</v>
      </c>
      <c r="BX299" s="36"/>
      <c r="BY299" s="36"/>
      <c r="BZ299" s="36"/>
      <c r="CA299" s="36"/>
      <c r="CB299" s="36"/>
      <c r="CC299" s="36"/>
      <c r="CD299" s="36"/>
      <c r="CE299" s="36"/>
      <c r="CF299" s="36"/>
      <c r="CG299" s="36">
        <v>1</v>
      </c>
      <c r="CH299" s="36">
        <v>1</v>
      </c>
      <c r="CI299" s="36"/>
      <c r="CK299" s="4" t="b">
        <f t="shared" si="4"/>
        <v>0</v>
      </c>
    </row>
    <row r="300" spans="1:89" ht="75" customHeight="1">
      <c r="A300" s="32" t="s">
        <v>101</v>
      </c>
      <c r="B300" s="32" t="s">
        <v>192</v>
      </c>
      <c r="C300" s="32" t="s">
        <v>452</v>
      </c>
      <c r="D300" s="34"/>
      <c r="E300" s="34"/>
      <c r="F300" s="34">
        <v>100</v>
      </c>
      <c r="G300" s="34">
        <v>100</v>
      </c>
      <c r="H300" s="34">
        <v>300</v>
      </c>
      <c r="I300" s="34">
        <v>400</v>
      </c>
      <c r="J300" s="34">
        <v>75</v>
      </c>
      <c r="K300" s="34">
        <v>50</v>
      </c>
      <c r="L300" s="34">
        <v>50</v>
      </c>
      <c r="M300" s="34">
        <v>75</v>
      </c>
      <c r="N300" s="34">
        <v>25</v>
      </c>
      <c r="O300" s="34">
        <v>100</v>
      </c>
      <c r="P300" s="34"/>
      <c r="Q300" s="34"/>
      <c r="R300" s="34">
        <v>100</v>
      </c>
      <c r="S300" s="34">
        <v>100</v>
      </c>
      <c r="T300" s="34"/>
      <c r="U300" s="34">
        <v>100</v>
      </c>
      <c r="V300" s="34">
        <v>75</v>
      </c>
      <c r="W300" s="34">
        <v>50</v>
      </c>
      <c r="X300" s="34">
        <v>50</v>
      </c>
      <c r="Y300" s="34">
        <v>75</v>
      </c>
      <c r="Z300" s="34">
        <v>100</v>
      </c>
      <c r="AA300" s="34">
        <v>75</v>
      </c>
      <c r="AB300" s="36"/>
      <c r="AC300" s="36"/>
      <c r="AD300" s="36">
        <v>12</v>
      </c>
      <c r="AE300" s="36">
        <v>15</v>
      </c>
      <c r="AF300" s="36">
        <v>21</v>
      </c>
      <c r="AG300" s="36">
        <v>17</v>
      </c>
      <c r="AH300" s="36">
        <v>15</v>
      </c>
      <c r="AI300" s="36">
        <v>5</v>
      </c>
      <c r="AJ300" s="36">
        <v>10</v>
      </c>
      <c r="AK300" s="36">
        <v>20</v>
      </c>
      <c r="AL300" s="36">
        <v>22</v>
      </c>
      <c r="AM300" s="36">
        <v>17</v>
      </c>
      <c r="AN300" s="36"/>
      <c r="AO300" s="36">
        <v>47</v>
      </c>
      <c r="AP300" s="36">
        <v>12</v>
      </c>
      <c r="AQ300" s="36">
        <v>14</v>
      </c>
      <c r="AR300" s="36">
        <v>17</v>
      </c>
      <c r="AS300" s="36">
        <v>19</v>
      </c>
      <c r="AT300" s="36">
        <v>14</v>
      </c>
      <c r="AU300" s="36">
        <v>4</v>
      </c>
      <c r="AV300" s="36">
        <v>8</v>
      </c>
      <c r="AW300" s="36">
        <v>19</v>
      </c>
      <c r="AX300" s="36">
        <v>17</v>
      </c>
      <c r="AY300" s="36">
        <v>15</v>
      </c>
      <c r="AZ300" s="36"/>
      <c r="BA300" s="36"/>
      <c r="BB300" s="36">
        <v>20</v>
      </c>
      <c r="BC300" s="36">
        <v>4</v>
      </c>
      <c r="BD300" s="36">
        <v>21</v>
      </c>
      <c r="BE300" s="36">
        <v>24</v>
      </c>
      <c r="BF300" s="36">
        <v>3</v>
      </c>
      <c r="BG300" s="36"/>
      <c r="BH300" s="36">
        <v>4</v>
      </c>
      <c r="BI300" s="36">
        <v>14</v>
      </c>
      <c r="BJ300" s="36">
        <v>6</v>
      </c>
      <c r="BK300" s="36">
        <v>5</v>
      </c>
      <c r="BL300" s="36"/>
      <c r="BM300" s="36"/>
      <c r="BN300" s="36"/>
      <c r="BO300" s="36">
        <v>6</v>
      </c>
      <c r="BP300" s="36">
        <v>3</v>
      </c>
      <c r="BQ300" s="36">
        <v>1</v>
      </c>
      <c r="BR300" s="36">
        <v>18</v>
      </c>
      <c r="BS300" s="36"/>
      <c r="BT300" s="36">
        <v>2</v>
      </c>
      <c r="BU300" s="36">
        <v>11</v>
      </c>
      <c r="BV300" s="36">
        <v>1</v>
      </c>
      <c r="BW300" s="36"/>
      <c r="BX300" s="36"/>
      <c r="BY300" s="36"/>
      <c r="BZ300" s="36"/>
      <c r="CA300" s="36"/>
      <c r="CB300" s="36"/>
      <c r="CC300" s="36"/>
      <c r="CD300" s="36"/>
      <c r="CE300" s="36"/>
      <c r="CF300" s="36"/>
      <c r="CG300" s="36"/>
      <c r="CH300" s="36"/>
      <c r="CI300" s="36"/>
      <c r="CK300" s="4" t="b">
        <f t="shared" si="4"/>
        <v>0</v>
      </c>
    </row>
    <row r="301" spans="1:89" ht="90" customHeight="1">
      <c r="A301" s="32" t="s">
        <v>144</v>
      </c>
      <c r="B301" s="32" t="s">
        <v>303</v>
      </c>
      <c r="C301" s="32" t="s">
        <v>453</v>
      </c>
      <c r="D301" s="34"/>
      <c r="E301" s="34">
        <v>25</v>
      </c>
      <c r="F301" s="34">
        <v>50</v>
      </c>
      <c r="G301" s="34">
        <v>50</v>
      </c>
      <c r="H301" s="34"/>
      <c r="I301" s="34">
        <v>50</v>
      </c>
      <c r="J301" s="34">
        <v>25</v>
      </c>
      <c r="K301" s="34">
        <v>50</v>
      </c>
      <c r="L301" s="34">
        <v>50</v>
      </c>
      <c r="M301" s="34">
        <v>50</v>
      </c>
      <c r="N301" s="34">
        <v>33.33</v>
      </c>
      <c r="O301" s="34">
        <v>25</v>
      </c>
      <c r="P301" s="34"/>
      <c r="Q301" s="34">
        <v>100</v>
      </c>
      <c r="R301" s="34">
        <v>100</v>
      </c>
      <c r="S301" s="34">
        <v>100</v>
      </c>
      <c r="T301" s="34">
        <v>100</v>
      </c>
      <c r="U301" s="34">
        <v>100</v>
      </c>
      <c r="V301" s="34">
        <v>100</v>
      </c>
      <c r="W301" s="34">
        <v>50</v>
      </c>
      <c r="X301" s="34">
        <v>50</v>
      </c>
      <c r="Y301" s="34">
        <v>100</v>
      </c>
      <c r="Z301" s="34">
        <v>66.67</v>
      </c>
      <c r="AA301" s="34">
        <v>100</v>
      </c>
      <c r="AB301" s="36"/>
      <c r="AC301" s="36">
        <v>53</v>
      </c>
      <c r="AD301" s="36">
        <v>9</v>
      </c>
      <c r="AE301" s="36">
        <v>8</v>
      </c>
      <c r="AF301" s="36">
        <v>6</v>
      </c>
      <c r="AG301" s="36">
        <v>6</v>
      </c>
      <c r="AH301" s="36">
        <v>5</v>
      </c>
      <c r="AI301" s="36">
        <v>7</v>
      </c>
      <c r="AJ301" s="36">
        <v>11</v>
      </c>
      <c r="AK301" s="36">
        <v>12</v>
      </c>
      <c r="AL301" s="36">
        <v>11</v>
      </c>
      <c r="AM301" s="36">
        <v>11</v>
      </c>
      <c r="AN301" s="36"/>
      <c r="AO301" s="36"/>
      <c r="AP301" s="36">
        <v>9</v>
      </c>
      <c r="AQ301" s="36">
        <v>10</v>
      </c>
      <c r="AR301" s="36">
        <v>6</v>
      </c>
      <c r="AS301" s="36">
        <v>6</v>
      </c>
      <c r="AT301" s="36">
        <v>7</v>
      </c>
      <c r="AU301" s="36">
        <v>8</v>
      </c>
      <c r="AV301" s="36">
        <v>12</v>
      </c>
      <c r="AW301" s="36">
        <v>10</v>
      </c>
      <c r="AX301" s="36">
        <v>12</v>
      </c>
      <c r="AY301" s="36">
        <v>11</v>
      </c>
      <c r="AZ301" s="36"/>
      <c r="BA301" s="36">
        <v>1</v>
      </c>
      <c r="BB301" s="36">
        <v>1</v>
      </c>
      <c r="BC301" s="36">
        <v>1</v>
      </c>
      <c r="BD301" s="36">
        <v>1</v>
      </c>
      <c r="BE301" s="36">
        <v>2</v>
      </c>
      <c r="BF301" s="36">
        <v>1</v>
      </c>
      <c r="BG301" s="36">
        <v>1</v>
      </c>
      <c r="BH301" s="36"/>
      <c r="BI301" s="36">
        <v>1</v>
      </c>
      <c r="BJ301" s="36">
        <v>1</v>
      </c>
      <c r="BK301" s="36"/>
      <c r="BL301" s="36"/>
      <c r="BM301" s="36"/>
      <c r="BN301" s="36"/>
      <c r="BO301" s="36"/>
      <c r="BP301" s="36"/>
      <c r="BQ301" s="36"/>
      <c r="BR301" s="36"/>
      <c r="BS301" s="36"/>
      <c r="BT301" s="36"/>
      <c r="BU301" s="36"/>
      <c r="BV301" s="36"/>
      <c r="BW301" s="36"/>
      <c r="BX301" s="36"/>
      <c r="BY301" s="36"/>
      <c r="BZ301" s="36"/>
      <c r="CA301" s="36"/>
      <c r="CB301" s="36"/>
      <c r="CC301" s="36"/>
      <c r="CD301" s="36"/>
      <c r="CE301" s="36"/>
      <c r="CF301" s="36"/>
      <c r="CG301" s="36"/>
      <c r="CH301" s="36"/>
      <c r="CI301" s="36"/>
      <c r="CK301" s="4" t="b">
        <f t="shared" si="4"/>
        <v>0</v>
      </c>
    </row>
    <row r="302" spans="1:89" ht="75" customHeight="1">
      <c r="A302" s="32" t="s">
        <v>124</v>
      </c>
      <c r="B302" s="32" t="s">
        <v>329</v>
      </c>
      <c r="C302" s="32" t="s">
        <v>454</v>
      </c>
      <c r="D302" s="34"/>
      <c r="E302" s="34"/>
      <c r="F302" s="34">
        <v>100</v>
      </c>
      <c r="G302" s="34">
        <v>100</v>
      </c>
      <c r="H302" s="34">
        <v>100</v>
      </c>
      <c r="I302" s="34">
        <v>100</v>
      </c>
      <c r="J302" s="34">
        <v>100</v>
      </c>
      <c r="K302" s="34">
        <v>100</v>
      </c>
      <c r="L302" s="34"/>
      <c r="M302" s="34">
        <v>100</v>
      </c>
      <c r="N302" s="34">
        <v>100</v>
      </c>
      <c r="O302" s="34">
        <v>100</v>
      </c>
      <c r="P302" s="34"/>
      <c r="Q302" s="34"/>
      <c r="R302" s="34">
        <v>100</v>
      </c>
      <c r="S302" s="34">
        <v>100</v>
      </c>
      <c r="T302" s="34">
        <v>100</v>
      </c>
      <c r="U302" s="34">
        <v>100</v>
      </c>
      <c r="V302" s="34">
        <v>100</v>
      </c>
      <c r="W302" s="34">
        <v>100</v>
      </c>
      <c r="X302" s="34"/>
      <c r="Y302" s="34"/>
      <c r="Z302" s="34">
        <v>100</v>
      </c>
      <c r="AA302" s="34">
        <v>100</v>
      </c>
      <c r="AB302" s="36"/>
      <c r="AC302" s="36">
        <v>29</v>
      </c>
      <c r="AD302" s="36">
        <v>24</v>
      </c>
      <c r="AE302" s="36">
        <v>27</v>
      </c>
      <c r="AF302" s="36">
        <v>34</v>
      </c>
      <c r="AG302" s="36">
        <v>29</v>
      </c>
      <c r="AH302" s="36">
        <v>20</v>
      </c>
      <c r="AI302" s="36">
        <v>21</v>
      </c>
      <c r="AJ302" s="36"/>
      <c r="AK302" s="36">
        <v>25</v>
      </c>
      <c r="AL302" s="36">
        <v>24</v>
      </c>
      <c r="AM302" s="36">
        <v>20</v>
      </c>
      <c r="AN302" s="36"/>
      <c r="AO302" s="36">
        <v>249</v>
      </c>
      <c r="AP302" s="36">
        <v>22</v>
      </c>
      <c r="AQ302" s="36">
        <v>22</v>
      </c>
      <c r="AR302" s="36">
        <v>30</v>
      </c>
      <c r="AS302" s="36">
        <v>24</v>
      </c>
      <c r="AT302" s="36">
        <v>15</v>
      </c>
      <c r="AU302" s="36">
        <v>16</v>
      </c>
      <c r="AV302" s="36"/>
      <c r="AW302" s="36">
        <v>21</v>
      </c>
      <c r="AX302" s="36">
        <v>21</v>
      </c>
      <c r="AY302" s="36">
        <v>23</v>
      </c>
      <c r="AZ302" s="36"/>
      <c r="BA302" s="36">
        <v>2</v>
      </c>
      <c r="BB302" s="36">
        <v>5</v>
      </c>
      <c r="BC302" s="36">
        <v>7</v>
      </c>
      <c r="BD302" s="36">
        <v>7</v>
      </c>
      <c r="BE302" s="36">
        <v>2</v>
      </c>
      <c r="BF302" s="36">
        <v>6</v>
      </c>
      <c r="BG302" s="36">
        <v>3</v>
      </c>
      <c r="BH302" s="36"/>
      <c r="BI302" s="36">
        <v>3</v>
      </c>
      <c r="BJ302" s="36"/>
      <c r="BK302" s="36">
        <v>3</v>
      </c>
      <c r="BL302" s="36"/>
      <c r="BM302" s="36"/>
      <c r="BN302" s="36">
        <v>6</v>
      </c>
      <c r="BO302" s="36">
        <v>8</v>
      </c>
      <c r="BP302" s="36">
        <v>5</v>
      </c>
      <c r="BQ302" s="36">
        <v>4</v>
      </c>
      <c r="BR302" s="36">
        <v>4</v>
      </c>
      <c r="BS302" s="36">
        <v>3</v>
      </c>
      <c r="BT302" s="36"/>
      <c r="BU302" s="36"/>
      <c r="BV302" s="36">
        <v>2</v>
      </c>
      <c r="BW302" s="36">
        <v>3</v>
      </c>
      <c r="BX302" s="36"/>
      <c r="BY302" s="36"/>
      <c r="BZ302" s="36"/>
      <c r="CA302" s="36"/>
      <c r="CB302" s="36"/>
      <c r="CC302" s="36"/>
      <c r="CD302" s="36"/>
      <c r="CE302" s="36"/>
      <c r="CF302" s="36"/>
      <c r="CG302" s="36"/>
      <c r="CH302" s="36"/>
      <c r="CI302" s="36"/>
      <c r="CK302" s="4" t="b">
        <f t="shared" si="4"/>
        <v>0</v>
      </c>
    </row>
    <row r="303" spans="1:89" ht="60" customHeight="1">
      <c r="A303" s="32" t="s">
        <v>87</v>
      </c>
      <c r="B303" s="32" t="s">
        <v>232</v>
      </c>
      <c r="C303" s="32" t="s">
        <v>455</v>
      </c>
      <c r="D303" s="34"/>
      <c r="E303" s="34"/>
      <c r="F303" s="34">
        <v>100</v>
      </c>
      <c r="G303" s="34"/>
      <c r="H303" s="34"/>
      <c r="I303" s="34"/>
      <c r="J303" s="34"/>
      <c r="K303" s="34"/>
      <c r="L303" s="34"/>
      <c r="M303" s="34"/>
      <c r="N303" s="34"/>
      <c r="O303" s="34"/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  <c r="AA303" s="34"/>
      <c r="AB303" s="36"/>
      <c r="AC303" s="36">
        <v>9</v>
      </c>
      <c r="AD303" s="36">
        <v>10</v>
      </c>
      <c r="AE303" s="36">
        <v>5</v>
      </c>
      <c r="AF303" s="36">
        <v>10</v>
      </c>
      <c r="AG303" s="36">
        <v>5</v>
      </c>
      <c r="AH303" s="36">
        <v>4</v>
      </c>
      <c r="AI303" s="36">
        <v>3</v>
      </c>
      <c r="AJ303" s="36">
        <v>3</v>
      </c>
      <c r="AK303" s="36">
        <v>2</v>
      </c>
      <c r="AL303" s="36">
        <v>1</v>
      </c>
      <c r="AM303" s="36"/>
      <c r="AN303" s="36"/>
      <c r="AO303" s="36">
        <v>14</v>
      </c>
      <c r="AP303" s="36">
        <v>12</v>
      </c>
      <c r="AQ303" s="36">
        <v>2</v>
      </c>
      <c r="AR303" s="36">
        <v>10</v>
      </c>
      <c r="AS303" s="36">
        <v>2</v>
      </c>
      <c r="AT303" s="36">
        <v>4</v>
      </c>
      <c r="AU303" s="36">
        <v>4</v>
      </c>
      <c r="AV303" s="36">
        <v>2</v>
      </c>
      <c r="AW303" s="36">
        <v>4</v>
      </c>
      <c r="AX303" s="36">
        <v>4</v>
      </c>
      <c r="AY303" s="36"/>
      <c r="AZ303" s="36"/>
      <c r="BA303" s="36">
        <v>8</v>
      </c>
      <c r="BB303" s="36">
        <v>7</v>
      </c>
      <c r="BC303" s="36">
        <v>25</v>
      </c>
      <c r="BD303" s="36"/>
      <c r="BE303" s="36">
        <v>4</v>
      </c>
      <c r="BF303" s="36">
        <v>4</v>
      </c>
      <c r="BG303" s="36">
        <v>4</v>
      </c>
      <c r="BH303" s="36">
        <v>2</v>
      </c>
      <c r="BI303" s="36">
        <v>4</v>
      </c>
      <c r="BJ303" s="36">
        <v>4</v>
      </c>
      <c r="BK303" s="36"/>
      <c r="BL303" s="36"/>
      <c r="BM303" s="36">
        <v>9</v>
      </c>
      <c r="BN303" s="36">
        <v>14</v>
      </c>
      <c r="BO303" s="36">
        <v>10</v>
      </c>
      <c r="BP303" s="36"/>
      <c r="BQ303" s="36"/>
      <c r="BR303" s="36"/>
      <c r="BS303" s="36">
        <v>4</v>
      </c>
      <c r="BT303" s="36">
        <v>4</v>
      </c>
      <c r="BU303" s="36"/>
      <c r="BV303" s="36">
        <v>6</v>
      </c>
      <c r="BW303" s="36"/>
      <c r="BX303" s="36"/>
      <c r="BY303" s="36">
        <v>5</v>
      </c>
      <c r="BZ303" s="36">
        <v>3</v>
      </c>
      <c r="CA303" s="36">
        <v>2</v>
      </c>
      <c r="CB303" s="36"/>
      <c r="CC303" s="36"/>
      <c r="CD303" s="36"/>
      <c r="CE303" s="36"/>
      <c r="CF303" s="36"/>
      <c r="CG303" s="36"/>
      <c r="CH303" s="36">
        <v>2</v>
      </c>
      <c r="CI303" s="36"/>
      <c r="CK303" s="4" t="b">
        <f t="shared" si="4"/>
        <v>0</v>
      </c>
    </row>
    <row r="304" spans="1:89" ht="60" customHeight="1">
      <c r="A304" s="32" t="s">
        <v>101</v>
      </c>
      <c r="B304" s="32" t="s">
        <v>184</v>
      </c>
      <c r="C304" s="32" t="s">
        <v>456</v>
      </c>
      <c r="D304" s="34"/>
      <c r="E304" s="34">
        <v>50</v>
      </c>
      <c r="F304" s="34">
        <v>100</v>
      </c>
      <c r="G304" s="34">
        <v>200</v>
      </c>
      <c r="H304" s="34">
        <v>100</v>
      </c>
      <c r="I304" s="34">
        <v>100</v>
      </c>
      <c r="J304" s="34">
        <v>75</v>
      </c>
      <c r="K304" s="34"/>
      <c r="L304" s="34">
        <v>75</v>
      </c>
      <c r="M304" s="34">
        <v>100</v>
      </c>
      <c r="N304" s="34">
        <v>100</v>
      </c>
      <c r="O304" s="34">
        <v>75</v>
      </c>
      <c r="P304" s="34"/>
      <c r="Q304" s="34">
        <v>250</v>
      </c>
      <c r="R304" s="34"/>
      <c r="S304" s="34">
        <v>450</v>
      </c>
      <c r="T304" s="34">
        <v>100</v>
      </c>
      <c r="U304" s="34"/>
      <c r="V304" s="34"/>
      <c r="W304" s="34"/>
      <c r="X304" s="34"/>
      <c r="Y304" s="34"/>
      <c r="Z304" s="34">
        <v>25</v>
      </c>
      <c r="AA304" s="34"/>
      <c r="AB304" s="36"/>
      <c r="AC304" s="36">
        <v>22</v>
      </c>
      <c r="AD304" s="36">
        <v>2</v>
      </c>
      <c r="AE304" s="36">
        <v>9</v>
      </c>
      <c r="AF304" s="36">
        <v>10</v>
      </c>
      <c r="AG304" s="36">
        <v>5</v>
      </c>
      <c r="AH304" s="36">
        <v>7</v>
      </c>
      <c r="AI304" s="36">
        <v>6</v>
      </c>
      <c r="AJ304" s="36">
        <v>8</v>
      </c>
      <c r="AK304" s="36">
        <v>5</v>
      </c>
      <c r="AL304" s="36">
        <v>13</v>
      </c>
      <c r="AM304" s="36">
        <v>8</v>
      </c>
      <c r="AN304" s="36"/>
      <c r="AO304" s="36">
        <v>10</v>
      </c>
      <c r="AP304" s="36">
        <v>4</v>
      </c>
      <c r="AQ304" s="36">
        <v>17</v>
      </c>
      <c r="AR304" s="36">
        <v>8</v>
      </c>
      <c r="AS304" s="36">
        <v>8</v>
      </c>
      <c r="AT304" s="36">
        <v>6</v>
      </c>
      <c r="AU304" s="36">
        <v>8</v>
      </c>
      <c r="AV304" s="36">
        <v>5</v>
      </c>
      <c r="AW304" s="36">
        <v>6</v>
      </c>
      <c r="AX304" s="36">
        <v>14</v>
      </c>
      <c r="AY304" s="36">
        <v>7</v>
      </c>
      <c r="AZ304" s="36"/>
      <c r="BA304" s="36">
        <v>3</v>
      </c>
      <c r="BB304" s="36"/>
      <c r="BC304" s="36">
        <v>1</v>
      </c>
      <c r="BD304" s="36">
        <v>1</v>
      </c>
      <c r="BE304" s="36">
        <v>2</v>
      </c>
      <c r="BF304" s="36">
        <v>1</v>
      </c>
      <c r="BG304" s="36">
        <v>4</v>
      </c>
      <c r="BH304" s="36">
        <v>2</v>
      </c>
      <c r="BI304" s="36"/>
      <c r="BJ304" s="36">
        <v>2</v>
      </c>
      <c r="BK304" s="36">
        <v>4</v>
      </c>
      <c r="BL304" s="36"/>
      <c r="BM304" s="36"/>
      <c r="BN304" s="36"/>
      <c r="BO304" s="36"/>
      <c r="BP304" s="36"/>
      <c r="BQ304" s="36"/>
      <c r="BR304" s="36"/>
      <c r="BS304" s="36"/>
      <c r="BT304" s="36"/>
      <c r="BU304" s="36"/>
      <c r="BV304" s="36"/>
      <c r="BW304" s="36"/>
      <c r="BX304" s="36"/>
      <c r="BY304" s="36"/>
      <c r="BZ304" s="36"/>
      <c r="CA304" s="36"/>
      <c r="CB304" s="36"/>
      <c r="CC304" s="36"/>
      <c r="CD304" s="36"/>
      <c r="CE304" s="36"/>
      <c r="CF304" s="36"/>
      <c r="CG304" s="36"/>
      <c r="CH304" s="36"/>
      <c r="CI304" s="36"/>
      <c r="CK304" s="4" t="b">
        <f t="shared" si="4"/>
        <v>0</v>
      </c>
    </row>
    <row r="305" spans="1:89" ht="75" customHeight="1">
      <c r="A305" s="32" t="s">
        <v>124</v>
      </c>
      <c r="B305" s="32" t="s">
        <v>125</v>
      </c>
      <c r="C305" s="32" t="s">
        <v>457</v>
      </c>
      <c r="D305" s="34"/>
      <c r="E305" s="34">
        <v>25</v>
      </c>
      <c r="F305" s="34">
        <v>75</v>
      </c>
      <c r="G305" s="34">
        <v>100</v>
      </c>
      <c r="H305" s="34">
        <v>100</v>
      </c>
      <c r="I305" s="34"/>
      <c r="J305" s="34">
        <v>100</v>
      </c>
      <c r="K305" s="34">
        <v>100</v>
      </c>
      <c r="L305" s="34">
        <v>100</v>
      </c>
      <c r="M305" s="34">
        <v>100</v>
      </c>
      <c r="N305" s="34"/>
      <c r="O305" s="34"/>
      <c r="P305" s="34"/>
      <c r="Q305" s="34"/>
      <c r="R305" s="34">
        <v>50</v>
      </c>
      <c r="S305" s="34">
        <v>100</v>
      </c>
      <c r="T305" s="34">
        <v>50</v>
      </c>
      <c r="U305" s="34"/>
      <c r="V305" s="34"/>
      <c r="W305" s="34">
        <v>100</v>
      </c>
      <c r="X305" s="34">
        <v>100</v>
      </c>
      <c r="Y305" s="34">
        <v>100</v>
      </c>
      <c r="Z305" s="34"/>
      <c r="AA305" s="34">
        <v>100</v>
      </c>
      <c r="AB305" s="36"/>
      <c r="AC305" s="36">
        <v>3</v>
      </c>
      <c r="AD305" s="36">
        <v>4</v>
      </c>
      <c r="AE305" s="36">
        <v>2</v>
      </c>
      <c r="AF305" s="36">
        <v>8</v>
      </c>
      <c r="AG305" s="36">
        <v>4</v>
      </c>
      <c r="AH305" s="36">
        <v>11</v>
      </c>
      <c r="AI305" s="36">
        <v>11</v>
      </c>
      <c r="AJ305" s="36">
        <v>10</v>
      </c>
      <c r="AK305" s="36">
        <v>10</v>
      </c>
      <c r="AL305" s="36">
        <v>11</v>
      </c>
      <c r="AM305" s="36">
        <v>36</v>
      </c>
      <c r="AN305" s="36"/>
      <c r="AO305" s="36">
        <v>1896</v>
      </c>
      <c r="AP305" s="36"/>
      <c r="AQ305" s="36">
        <v>3</v>
      </c>
      <c r="AR305" s="36">
        <v>6</v>
      </c>
      <c r="AS305" s="36">
        <v>5</v>
      </c>
      <c r="AT305" s="36">
        <v>7</v>
      </c>
      <c r="AU305" s="36">
        <v>13</v>
      </c>
      <c r="AV305" s="36">
        <v>10</v>
      </c>
      <c r="AW305" s="36">
        <v>10</v>
      </c>
      <c r="AX305" s="36">
        <v>12</v>
      </c>
      <c r="AY305" s="36">
        <v>32</v>
      </c>
      <c r="AZ305" s="36"/>
      <c r="BA305" s="36">
        <v>5</v>
      </c>
      <c r="BB305" s="36">
        <v>1</v>
      </c>
      <c r="BC305" s="36">
        <v>6</v>
      </c>
      <c r="BD305" s="36">
        <v>11</v>
      </c>
      <c r="BE305" s="36">
        <v>9</v>
      </c>
      <c r="BF305" s="36">
        <v>6</v>
      </c>
      <c r="BG305" s="36">
        <v>4</v>
      </c>
      <c r="BH305" s="36">
        <v>7</v>
      </c>
      <c r="BI305" s="36">
        <v>4</v>
      </c>
      <c r="BJ305" s="36">
        <v>4</v>
      </c>
      <c r="BK305" s="36">
        <v>1</v>
      </c>
      <c r="BL305" s="36"/>
      <c r="BM305" s="36"/>
      <c r="BN305" s="36"/>
      <c r="BO305" s="36"/>
      <c r="BP305" s="36"/>
      <c r="BQ305" s="36">
        <v>2</v>
      </c>
      <c r="BR305" s="36">
        <v>1</v>
      </c>
      <c r="BS305" s="36">
        <v>5</v>
      </c>
      <c r="BT305" s="36">
        <v>2</v>
      </c>
      <c r="BU305" s="36">
        <v>2</v>
      </c>
      <c r="BV305" s="36">
        <v>3</v>
      </c>
      <c r="BW305" s="36">
        <v>2</v>
      </c>
      <c r="BX305" s="36"/>
      <c r="BY305" s="36"/>
      <c r="BZ305" s="36"/>
      <c r="CA305" s="36"/>
      <c r="CB305" s="36"/>
      <c r="CC305" s="36"/>
      <c r="CD305" s="36">
        <v>1</v>
      </c>
      <c r="CE305" s="36"/>
      <c r="CF305" s="36"/>
      <c r="CG305" s="36"/>
      <c r="CH305" s="36">
        <v>1</v>
      </c>
      <c r="CI305" s="36"/>
      <c r="CK305" s="4" t="b">
        <f t="shared" si="4"/>
        <v>0</v>
      </c>
    </row>
    <row r="306" spans="1:89" ht="60" customHeight="1">
      <c r="A306" s="32" t="s">
        <v>87</v>
      </c>
      <c r="B306" s="32" t="s">
        <v>104</v>
      </c>
      <c r="C306" s="32" t="s">
        <v>458</v>
      </c>
      <c r="D306" s="34"/>
      <c r="E306" s="34"/>
      <c r="F306" s="34"/>
      <c r="G306" s="34">
        <v>100</v>
      </c>
      <c r="H306" s="34"/>
      <c r="I306" s="34"/>
      <c r="J306" s="34"/>
      <c r="K306" s="34"/>
      <c r="L306" s="34"/>
      <c r="M306" s="34"/>
      <c r="N306" s="34"/>
      <c r="O306" s="34"/>
      <c r="P306" s="34"/>
      <c r="Q306" s="34"/>
      <c r="R306" s="34"/>
      <c r="S306" s="34">
        <v>40</v>
      </c>
      <c r="T306" s="34"/>
      <c r="U306" s="34"/>
      <c r="V306" s="34"/>
      <c r="W306" s="34"/>
      <c r="X306" s="34"/>
      <c r="Y306" s="34"/>
      <c r="Z306" s="34"/>
      <c r="AA306" s="34"/>
      <c r="AB306" s="36"/>
      <c r="AC306" s="36"/>
      <c r="AD306" s="36"/>
      <c r="AE306" s="36">
        <v>39</v>
      </c>
      <c r="AF306" s="36"/>
      <c r="AG306" s="36"/>
      <c r="AH306" s="36"/>
      <c r="AI306" s="36"/>
      <c r="AJ306" s="36"/>
      <c r="AK306" s="36"/>
      <c r="AL306" s="36"/>
      <c r="AM306" s="36"/>
      <c r="AN306" s="36"/>
      <c r="AO306" s="36"/>
      <c r="AP306" s="36"/>
      <c r="AQ306" s="36">
        <v>33</v>
      </c>
      <c r="AR306" s="36"/>
      <c r="AS306" s="36"/>
      <c r="AT306" s="36"/>
      <c r="AU306" s="36"/>
      <c r="AV306" s="36"/>
      <c r="AW306" s="36"/>
      <c r="AX306" s="36"/>
      <c r="AY306" s="36"/>
      <c r="AZ306" s="36"/>
      <c r="BA306" s="36"/>
      <c r="BB306" s="36"/>
      <c r="BC306" s="36">
        <v>10</v>
      </c>
      <c r="BD306" s="36"/>
      <c r="BE306" s="36"/>
      <c r="BF306" s="36"/>
      <c r="BG306" s="36"/>
      <c r="BH306" s="36"/>
      <c r="BI306" s="36"/>
      <c r="BJ306" s="36"/>
      <c r="BK306" s="36"/>
      <c r="BL306" s="36"/>
      <c r="BM306" s="36"/>
      <c r="BN306" s="36"/>
      <c r="BO306" s="36">
        <v>15</v>
      </c>
      <c r="BP306" s="36"/>
      <c r="BQ306" s="36"/>
      <c r="BR306" s="36"/>
      <c r="BS306" s="36"/>
      <c r="BT306" s="36"/>
      <c r="BU306" s="36"/>
      <c r="BV306" s="36"/>
      <c r="BW306" s="36"/>
      <c r="BX306" s="36"/>
      <c r="BY306" s="36"/>
      <c r="BZ306" s="36"/>
      <c r="CA306" s="36"/>
      <c r="CB306" s="36"/>
      <c r="CC306" s="36"/>
      <c r="CD306" s="36"/>
      <c r="CE306" s="36"/>
      <c r="CF306" s="36"/>
      <c r="CG306" s="36"/>
      <c r="CH306" s="36"/>
      <c r="CI306" s="36"/>
      <c r="CK306" s="4" t="b">
        <f t="shared" si="4"/>
        <v>0</v>
      </c>
    </row>
    <row r="307" spans="1:89" ht="60" customHeight="1">
      <c r="A307" s="32" t="s">
        <v>144</v>
      </c>
      <c r="B307" s="32" t="s">
        <v>225</v>
      </c>
      <c r="C307" s="32" t="s">
        <v>459</v>
      </c>
      <c r="D307" s="34"/>
      <c r="E307" s="34"/>
      <c r="F307" s="34">
        <v>100</v>
      </c>
      <c r="G307" s="34">
        <v>100</v>
      </c>
      <c r="H307" s="34">
        <v>100</v>
      </c>
      <c r="I307" s="34">
        <v>100</v>
      </c>
      <c r="J307" s="34">
        <v>100</v>
      </c>
      <c r="K307" s="34">
        <v>100</v>
      </c>
      <c r="L307" s="34">
        <v>100</v>
      </c>
      <c r="M307" s="34">
        <v>100</v>
      </c>
      <c r="N307" s="34">
        <v>100</v>
      </c>
      <c r="O307" s="34">
        <v>100</v>
      </c>
      <c r="P307" s="34"/>
      <c r="Q307" s="34"/>
      <c r="R307" s="34">
        <v>100</v>
      </c>
      <c r="S307" s="34">
        <v>100</v>
      </c>
      <c r="T307" s="34">
        <v>100</v>
      </c>
      <c r="U307" s="34">
        <v>100</v>
      </c>
      <c r="V307" s="34">
        <v>100</v>
      </c>
      <c r="W307" s="34"/>
      <c r="X307" s="34">
        <v>100</v>
      </c>
      <c r="Y307" s="34">
        <v>100</v>
      </c>
      <c r="Z307" s="34">
        <v>100</v>
      </c>
      <c r="AA307" s="34">
        <v>100</v>
      </c>
      <c r="AB307" s="36"/>
      <c r="AC307" s="36">
        <v>9</v>
      </c>
      <c r="AD307" s="36">
        <v>13</v>
      </c>
      <c r="AE307" s="36">
        <v>10</v>
      </c>
      <c r="AF307" s="36">
        <v>12</v>
      </c>
      <c r="AG307" s="36">
        <v>10</v>
      </c>
      <c r="AH307" s="36">
        <v>9</v>
      </c>
      <c r="AI307" s="36">
        <v>9</v>
      </c>
      <c r="AJ307" s="36">
        <v>10</v>
      </c>
      <c r="AK307" s="36">
        <v>11</v>
      </c>
      <c r="AL307" s="36">
        <v>8</v>
      </c>
      <c r="AM307" s="36">
        <v>10</v>
      </c>
      <c r="AN307" s="36"/>
      <c r="AO307" s="36">
        <v>11</v>
      </c>
      <c r="AP307" s="36">
        <v>6</v>
      </c>
      <c r="AQ307" s="36">
        <v>5</v>
      </c>
      <c r="AR307" s="36">
        <v>5</v>
      </c>
      <c r="AS307" s="36">
        <v>8</v>
      </c>
      <c r="AT307" s="36">
        <v>4</v>
      </c>
      <c r="AU307" s="36">
        <v>5</v>
      </c>
      <c r="AV307" s="36">
        <v>6</v>
      </c>
      <c r="AW307" s="36">
        <v>5</v>
      </c>
      <c r="AX307" s="36">
        <v>9</v>
      </c>
      <c r="AY307" s="36">
        <v>10</v>
      </c>
      <c r="AZ307" s="36"/>
      <c r="BA307" s="36">
        <v>2</v>
      </c>
      <c r="BB307" s="36">
        <v>4</v>
      </c>
      <c r="BC307" s="36"/>
      <c r="BD307" s="36">
        <v>7</v>
      </c>
      <c r="BE307" s="36">
        <v>6</v>
      </c>
      <c r="BF307" s="36"/>
      <c r="BG307" s="36">
        <v>7</v>
      </c>
      <c r="BH307" s="36">
        <v>6</v>
      </c>
      <c r="BI307" s="36">
        <v>3</v>
      </c>
      <c r="BJ307" s="36">
        <v>4</v>
      </c>
      <c r="BK307" s="36">
        <v>4</v>
      </c>
      <c r="BL307" s="36"/>
      <c r="BM307" s="36">
        <v>2</v>
      </c>
      <c r="BN307" s="36">
        <v>3</v>
      </c>
      <c r="BO307" s="36"/>
      <c r="BP307" s="36"/>
      <c r="BQ307" s="36"/>
      <c r="BR307" s="36">
        <v>2</v>
      </c>
      <c r="BS307" s="36"/>
      <c r="BT307" s="36">
        <v>6</v>
      </c>
      <c r="BU307" s="36"/>
      <c r="BV307" s="36"/>
      <c r="BW307" s="36"/>
      <c r="BX307" s="36"/>
      <c r="BY307" s="36"/>
      <c r="BZ307" s="36">
        <v>4</v>
      </c>
      <c r="CA307" s="36"/>
      <c r="CB307" s="36">
        <v>7</v>
      </c>
      <c r="CC307" s="36"/>
      <c r="CD307" s="36">
        <v>4</v>
      </c>
      <c r="CE307" s="36"/>
      <c r="CF307" s="36"/>
      <c r="CG307" s="36"/>
      <c r="CH307" s="36"/>
      <c r="CI307" s="36"/>
      <c r="CK307" s="4" t="b">
        <f t="shared" si="4"/>
        <v>0</v>
      </c>
    </row>
    <row r="308" spans="1:89" ht="60" customHeight="1">
      <c r="A308" s="32" t="s">
        <v>92</v>
      </c>
      <c r="B308" s="32" t="s">
        <v>96</v>
      </c>
      <c r="C308" s="32" t="s">
        <v>460</v>
      </c>
      <c r="D308" s="34"/>
      <c r="E308" s="34">
        <v>100</v>
      </c>
      <c r="F308" s="34">
        <v>100</v>
      </c>
      <c r="G308" s="34"/>
      <c r="H308" s="34">
        <v>100</v>
      </c>
      <c r="I308" s="34">
        <v>100</v>
      </c>
      <c r="J308" s="34">
        <v>100</v>
      </c>
      <c r="K308" s="34">
        <v>75</v>
      </c>
      <c r="L308" s="34">
        <v>100</v>
      </c>
      <c r="M308" s="34">
        <v>100</v>
      </c>
      <c r="N308" s="34">
        <v>100</v>
      </c>
      <c r="O308" s="34">
        <v>100</v>
      </c>
      <c r="P308" s="34"/>
      <c r="Q308" s="34">
        <v>166.67</v>
      </c>
      <c r="R308" s="34">
        <v>100</v>
      </c>
      <c r="S308" s="34"/>
      <c r="T308" s="34">
        <v>100</v>
      </c>
      <c r="U308" s="34">
        <v>100</v>
      </c>
      <c r="V308" s="34">
        <v>100</v>
      </c>
      <c r="W308" s="34">
        <v>75</v>
      </c>
      <c r="X308" s="34">
        <v>100</v>
      </c>
      <c r="Y308" s="34">
        <v>100</v>
      </c>
      <c r="Z308" s="34">
        <v>66.67</v>
      </c>
      <c r="AA308" s="34">
        <v>100</v>
      </c>
      <c r="AB308" s="36"/>
      <c r="AC308" s="36">
        <v>14</v>
      </c>
      <c r="AD308" s="36">
        <v>22</v>
      </c>
      <c r="AE308" s="36"/>
      <c r="AF308" s="36">
        <v>21</v>
      </c>
      <c r="AG308" s="36">
        <v>22</v>
      </c>
      <c r="AH308" s="36">
        <v>23</v>
      </c>
      <c r="AI308" s="36">
        <v>14</v>
      </c>
      <c r="AJ308" s="36">
        <v>1</v>
      </c>
      <c r="AK308" s="36">
        <v>22</v>
      </c>
      <c r="AL308" s="36">
        <v>26</v>
      </c>
      <c r="AM308" s="36">
        <v>29</v>
      </c>
      <c r="AN308" s="36"/>
      <c r="AO308" s="36">
        <v>13</v>
      </c>
      <c r="AP308" s="36">
        <v>20</v>
      </c>
      <c r="AQ308" s="36"/>
      <c r="AR308" s="36">
        <v>19</v>
      </c>
      <c r="AS308" s="36">
        <v>20</v>
      </c>
      <c r="AT308" s="36">
        <v>21</v>
      </c>
      <c r="AU308" s="36">
        <v>11</v>
      </c>
      <c r="AV308" s="36">
        <v>2</v>
      </c>
      <c r="AW308" s="36">
        <v>13</v>
      </c>
      <c r="AX308" s="36">
        <v>18</v>
      </c>
      <c r="AY308" s="36">
        <v>18</v>
      </c>
      <c r="AZ308" s="36"/>
      <c r="BA308" s="36"/>
      <c r="BB308" s="36">
        <v>2</v>
      </c>
      <c r="BC308" s="36"/>
      <c r="BD308" s="36">
        <v>2</v>
      </c>
      <c r="BE308" s="36">
        <v>5</v>
      </c>
      <c r="BF308" s="36"/>
      <c r="BG308" s="36">
        <v>1</v>
      </c>
      <c r="BH308" s="36">
        <v>1</v>
      </c>
      <c r="BI308" s="36">
        <v>4</v>
      </c>
      <c r="BJ308" s="36">
        <v>3</v>
      </c>
      <c r="BK308" s="36">
        <v>1</v>
      </c>
      <c r="BL308" s="36"/>
      <c r="BM308" s="36"/>
      <c r="BN308" s="36"/>
      <c r="BO308" s="36"/>
      <c r="BP308" s="36"/>
      <c r="BQ308" s="36"/>
      <c r="BR308" s="36"/>
      <c r="BS308" s="36"/>
      <c r="BT308" s="36"/>
      <c r="BU308" s="36"/>
      <c r="BV308" s="36"/>
      <c r="BW308" s="36">
        <v>3</v>
      </c>
      <c r="BX308" s="36"/>
      <c r="BY308" s="36"/>
      <c r="BZ308" s="36"/>
      <c r="CA308" s="36"/>
      <c r="CB308" s="36"/>
      <c r="CC308" s="36"/>
      <c r="CD308" s="36"/>
      <c r="CE308" s="36"/>
      <c r="CF308" s="36"/>
      <c r="CG308" s="36"/>
      <c r="CH308" s="36"/>
      <c r="CI308" s="36"/>
      <c r="CK308" s="4" t="b">
        <f t="shared" si="4"/>
        <v>0</v>
      </c>
    </row>
    <row r="309" spans="1:89" ht="60" customHeight="1">
      <c r="A309" s="32" t="s">
        <v>101</v>
      </c>
      <c r="B309" s="32" t="s">
        <v>284</v>
      </c>
      <c r="C309" s="32" t="s">
        <v>461</v>
      </c>
      <c r="D309" s="34"/>
      <c r="E309" s="34"/>
      <c r="F309" s="34">
        <v>100</v>
      </c>
      <c r="G309" s="34">
        <v>100</v>
      </c>
      <c r="H309" s="34">
        <v>100</v>
      </c>
      <c r="I309" s="34">
        <v>100</v>
      </c>
      <c r="J309" s="34">
        <v>100</v>
      </c>
      <c r="K309" s="34">
        <v>100</v>
      </c>
      <c r="L309" s="34">
        <v>100</v>
      </c>
      <c r="M309" s="34">
        <v>83.33</v>
      </c>
      <c r="N309" s="34">
        <v>100</v>
      </c>
      <c r="O309" s="34">
        <v>100</v>
      </c>
      <c r="P309" s="34"/>
      <c r="Q309" s="34"/>
      <c r="R309" s="34">
        <v>75</v>
      </c>
      <c r="S309" s="34">
        <v>75</v>
      </c>
      <c r="T309" s="34">
        <v>100</v>
      </c>
      <c r="U309" s="34">
        <v>100</v>
      </c>
      <c r="V309" s="34">
        <v>75</v>
      </c>
      <c r="W309" s="34">
        <v>100</v>
      </c>
      <c r="X309" s="34">
        <v>50</v>
      </c>
      <c r="Y309" s="34">
        <v>75</v>
      </c>
      <c r="Z309" s="34">
        <v>75</v>
      </c>
      <c r="AA309" s="34">
        <v>100</v>
      </c>
      <c r="AB309" s="36"/>
      <c r="AC309" s="36"/>
      <c r="AD309" s="36">
        <v>30</v>
      </c>
      <c r="AE309" s="36">
        <v>33</v>
      </c>
      <c r="AF309" s="36">
        <v>33</v>
      </c>
      <c r="AG309" s="36">
        <v>33</v>
      </c>
      <c r="AH309" s="36">
        <v>15</v>
      </c>
      <c r="AI309" s="36">
        <v>39</v>
      </c>
      <c r="AJ309" s="36">
        <v>24</v>
      </c>
      <c r="AK309" s="36">
        <v>34</v>
      </c>
      <c r="AL309" s="36">
        <v>34</v>
      </c>
      <c r="AM309" s="36">
        <v>34</v>
      </c>
      <c r="AN309" s="36"/>
      <c r="AO309" s="36"/>
      <c r="AP309" s="36">
        <v>30</v>
      </c>
      <c r="AQ309" s="36">
        <v>32</v>
      </c>
      <c r="AR309" s="36">
        <v>33</v>
      </c>
      <c r="AS309" s="36">
        <v>32</v>
      </c>
      <c r="AT309" s="36">
        <v>15</v>
      </c>
      <c r="AU309" s="36">
        <v>39</v>
      </c>
      <c r="AV309" s="36">
        <v>24</v>
      </c>
      <c r="AW309" s="36">
        <v>34</v>
      </c>
      <c r="AX309" s="36">
        <v>34</v>
      </c>
      <c r="AY309" s="36">
        <v>34</v>
      </c>
      <c r="AZ309" s="36"/>
      <c r="BA309" s="36">
        <v>9</v>
      </c>
      <c r="BB309" s="36">
        <v>4</v>
      </c>
      <c r="BC309" s="36">
        <v>7</v>
      </c>
      <c r="BD309" s="36">
        <v>8</v>
      </c>
      <c r="BE309" s="36">
        <v>7</v>
      </c>
      <c r="BF309" s="36">
        <v>6</v>
      </c>
      <c r="BG309" s="36">
        <v>2</v>
      </c>
      <c r="BH309" s="36">
        <v>8</v>
      </c>
      <c r="BI309" s="36">
        <v>25</v>
      </c>
      <c r="BJ309" s="36">
        <v>4</v>
      </c>
      <c r="BK309" s="36">
        <v>2</v>
      </c>
      <c r="BL309" s="36"/>
      <c r="BM309" s="36"/>
      <c r="BN309" s="36">
        <v>1</v>
      </c>
      <c r="BO309" s="36"/>
      <c r="BP309" s="36">
        <v>4</v>
      </c>
      <c r="BQ309" s="36">
        <v>2</v>
      </c>
      <c r="BR309" s="36">
        <v>3</v>
      </c>
      <c r="BS309" s="36">
        <v>4</v>
      </c>
      <c r="BT309" s="36">
        <v>3</v>
      </c>
      <c r="BU309" s="36">
        <v>4</v>
      </c>
      <c r="BV309" s="36">
        <v>2</v>
      </c>
      <c r="BW309" s="36">
        <v>6</v>
      </c>
      <c r="BX309" s="36"/>
      <c r="BY309" s="36"/>
      <c r="BZ309" s="36"/>
      <c r="CA309" s="36"/>
      <c r="CB309" s="36"/>
      <c r="CC309" s="36"/>
      <c r="CD309" s="36"/>
      <c r="CE309" s="36"/>
      <c r="CF309" s="36">
        <v>2</v>
      </c>
      <c r="CG309" s="36"/>
      <c r="CH309" s="36"/>
      <c r="CI309" s="36"/>
      <c r="CK309" s="4" t="b">
        <f t="shared" si="4"/>
        <v>0</v>
      </c>
    </row>
    <row r="310" spans="1:89" ht="60" customHeight="1">
      <c r="A310" s="32" t="s">
        <v>87</v>
      </c>
      <c r="B310" s="32" t="s">
        <v>232</v>
      </c>
      <c r="C310" s="32" t="s">
        <v>462</v>
      </c>
      <c r="D310" s="34"/>
      <c r="E310" s="34">
        <v>70</v>
      </c>
      <c r="F310" s="34">
        <v>100</v>
      </c>
      <c r="G310" s="34">
        <v>100</v>
      </c>
      <c r="H310" s="34">
        <v>100</v>
      </c>
      <c r="I310" s="34"/>
      <c r="J310" s="34">
        <v>100</v>
      </c>
      <c r="K310" s="34"/>
      <c r="L310" s="34">
        <v>100</v>
      </c>
      <c r="M310" s="34">
        <v>100</v>
      </c>
      <c r="N310" s="34">
        <v>100</v>
      </c>
      <c r="O310" s="34">
        <v>100</v>
      </c>
      <c r="P310" s="34">
        <v>75</v>
      </c>
      <c r="Q310" s="34"/>
      <c r="R310" s="34"/>
      <c r="S310" s="34"/>
      <c r="T310" s="34"/>
      <c r="U310" s="34"/>
      <c r="V310" s="34"/>
      <c r="W310" s="34"/>
      <c r="X310" s="34"/>
      <c r="Y310" s="34"/>
      <c r="Z310" s="34"/>
      <c r="AA310" s="34"/>
      <c r="AB310" s="36">
        <v>20</v>
      </c>
      <c r="AC310" s="36">
        <v>27</v>
      </c>
      <c r="AD310" s="36">
        <v>30</v>
      </c>
      <c r="AE310" s="36">
        <v>36</v>
      </c>
      <c r="AF310" s="36">
        <v>58</v>
      </c>
      <c r="AG310" s="36">
        <v>59</v>
      </c>
      <c r="AH310" s="36">
        <v>50</v>
      </c>
      <c r="AI310" s="36">
        <v>47</v>
      </c>
      <c r="AJ310" s="36">
        <v>24</v>
      </c>
      <c r="AK310" s="36">
        <v>15</v>
      </c>
      <c r="AL310" s="36">
        <v>33</v>
      </c>
      <c r="AM310" s="36">
        <v>30</v>
      </c>
      <c r="AN310" s="36">
        <v>20</v>
      </c>
      <c r="AO310" s="36">
        <v>30</v>
      </c>
      <c r="AP310" s="36">
        <v>41</v>
      </c>
      <c r="AQ310" s="36">
        <v>36</v>
      </c>
      <c r="AR310" s="36">
        <v>32</v>
      </c>
      <c r="AS310" s="36">
        <v>46</v>
      </c>
      <c r="AT310" s="36">
        <v>45</v>
      </c>
      <c r="AU310" s="36">
        <v>35</v>
      </c>
      <c r="AV310" s="36">
        <v>39</v>
      </c>
      <c r="AW310" s="36">
        <v>41</v>
      </c>
      <c r="AX310" s="36">
        <v>29</v>
      </c>
      <c r="AY310" s="36">
        <v>22</v>
      </c>
      <c r="AZ310" s="36"/>
      <c r="BA310" s="36">
        <v>16</v>
      </c>
      <c r="BB310" s="36">
        <v>19</v>
      </c>
      <c r="BC310" s="36">
        <v>17</v>
      </c>
      <c r="BD310" s="36">
        <v>13</v>
      </c>
      <c r="BE310" s="36">
        <v>15</v>
      </c>
      <c r="BF310" s="36">
        <v>12</v>
      </c>
      <c r="BG310" s="36">
        <v>19</v>
      </c>
      <c r="BH310" s="36">
        <v>15</v>
      </c>
      <c r="BI310" s="36">
        <v>18</v>
      </c>
      <c r="BJ310" s="36">
        <v>10</v>
      </c>
      <c r="BK310" s="36">
        <v>15</v>
      </c>
      <c r="BL310" s="36"/>
      <c r="BM310" s="36">
        <v>2</v>
      </c>
      <c r="BN310" s="36">
        <v>2</v>
      </c>
      <c r="BO310" s="36">
        <v>6</v>
      </c>
      <c r="BP310" s="36">
        <v>10</v>
      </c>
      <c r="BQ310" s="36">
        <v>6</v>
      </c>
      <c r="BR310" s="36">
        <v>11</v>
      </c>
      <c r="BS310" s="36">
        <v>7</v>
      </c>
      <c r="BT310" s="36">
        <v>9</v>
      </c>
      <c r="BU310" s="36">
        <v>15</v>
      </c>
      <c r="BV310" s="36">
        <v>4</v>
      </c>
      <c r="BW310" s="36">
        <v>11</v>
      </c>
      <c r="BX310" s="36"/>
      <c r="BY310" s="36"/>
      <c r="BZ310" s="36"/>
      <c r="CA310" s="36"/>
      <c r="CB310" s="36"/>
      <c r="CC310" s="36">
        <v>3</v>
      </c>
      <c r="CD310" s="36">
        <v>1</v>
      </c>
      <c r="CE310" s="36">
        <v>2</v>
      </c>
      <c r="CF310" s="36">
        <v>2</v>
      </c>
      <c r="CG310" s="36">
        <v>4</v>
      </c>
      <c r="CH310" s="36">
        <v>4</v>
      </c>
      <c r="CI310" s="36">
        <v>1</v>
      </c>
      <c r="CK310" s="4" t="b">
        <f t="shared" si="4"/>
        <v>0</v>
      </c>
    </row>
    <row r="311" spans="1:89" ht="75" customHeight="1">
      <c r="A311" s="32" t="s">
        <v>87</v>
      </c>
      <c r="B311" s="32" t="s">
        <v>120</v>
      </c>
      <c r="C311" s="32" t="s">
        <v>463</v>
      </c>
      <c r="D311" s="34"/>
      <c r="E311" s="34">
        <v>75</v>
      </c>
      <c r="F311" s="34">
        <v>100</v>
      </c>
      <c r="G311" s="34">
        <v>100</v>
      </c>
      <c r="H311" s="34">
        <v>100</v>
      </c>
      <c r="I311" s="34">
        <v>100</v>
      </c>
      <c r="J311" s="34">
        <v>100</v>
      </c>
      <c r="K311" s="34">
        <v>100</v>
      </c>
      <c r="L311" s="34">
        <v>100</v>
      </c>
      <c r="M311" s="34">
        <v>100</v>
      </c>
      <c r="N311" s="34">
        <v>100</v>
      </c>
      <c r="O311" s="34">
        <v>100</v>
      </c>
      <c r="P311" s="34"/>
      <c r="Q311" s="34"/>
      <c r="R311" s="34"/>
      <c r="S311" s="34"/>
      <c r="T311" s="34"/>
      <c r="U311" s="34"/>
      <c r="V311" s="34"/>
      <c r="W311" s="34"/>
      <c r="X311" s="34"/>
      <c r="Y311" s="34"/>
      <c r="Z311" s="34"/>
      <c r="AA311" s="34"/>
      <c r="AB311" s="36"/>
      <c r="AC311" s="36">
        <v>30</v>
      </c>
      <c r="AD311" s="36">
        <v>52</v>
      </c>
      <c r="AE311" s="36">
        <v>51</v>
      </c>
      <c r="AF311" s="36">
        <v>57</v>
      </c>
      <c r="AG311" s="36">
        <v>50</v>
      </c>
      <c r="AH311" s="36">
        <v>52</v>
      </c>
      <c r="AI311" s="36">
        <v>50</v>
      </c>
      <c r="AJ311" s="36">
        <v>46</v>
      </c>
      <c r="AK311" s="36">
        <v>55</v>
      </c>
      <c r="AL311" s="36">
        <v>60</v>
      </c>
      <c r="AM311" s="36">
        <v>48</v>
      </c>
      <c r="AN311" s="36"/>
      <c r="AO311" s="36">
        <v>32</v>
      </c>
      <c r="AP311" s="36">
        <v>52</v>
      </c>
      <c r="AQ311" s="36">
        <v>50</v>
      </c>
      <c r="AR311" s="36">
        <v>60</v>
      </c>
      <c r="AS311" s="36">
        <v>52</v>
      </c>
      <c r="AT311" s="36">
        <v>54</v>
      </c>
      <c r="AU311" s="36">
        <v>52</v>
      </c>
      <c r="AV311" s="36">
        <v>37</v>
      </c>
      <c r="AW311" s="36">
        <v>50</v>
      </c>
      <c r="AX311" s="36">
        <v>52</v>
      </c>
      <c r="AY311" s="36">
        <v>43</v>
      </c>
      <c r="AZ311" s="36"/>
      <c r="BA311" s="36">
        <v>20</v>
      </c>
      <c r="BB311" s="36">
        <v>20</v>
      </c>
      <c r="BC311" s="36">
        <v>20</v>
      </c>
      <c r="BD311" s="36">
        <v>24</v>
      </c>
      <c r="BE311" s="36">
        <v>8</v>
      </c>
      <c r="BF311" s="36">
        <v>18</v>
      </c>
      <c r="BG311" s="36">
        <v>18</v>
      </c>
      <c r="BH311" s="36">
        <v>16</v>
      </c>
      <c r="BI311" s="36">
        <v>17</v>
      </c>
      <c r="BJ311" s="36">
        <v>12</v>
      </c>
      <c r="BK311" s="36">
        <v>28</v>
      </c>
      <c r="BL311" s="36"/>
      <c r="BM311" s="36">
        <v>5</v>
      </c>
      <c r="BN311" s="36">
        <v>6</v>
      </c>
      <c r="BO311" s="36">
        <v>5</v>
      </c>
      <c r="BP311" s="36">
        <v>10</v>
      </c>
      <c r="BQ311" s="36">
        <v>14</v>
      </c>
      <c r="BR311" s="36">
        <v>8</v>
      </c>
      <c r="BS311" s="36">
        <v>6</v>
      </c>
      <c r="BT311" s="36">
        <v>8</v>
      </c>
      <c r="BU311" s="36">
        <v>18</v>
      </c>
      <c r="BV311" s="36">
        <v>10</v>
      </c>
      <c r="BW311" s="36">
        <v>6</v>
      </c>
      <c r="BX311" s="36"/>
      <c r="BY311" s="36"/>
      <c r="BZ311" s="36"/>
      <c r="CA311" s="36"/>
      <c r="CB311" s="36"/>
      <c r="CC311" s="36">
        <v>4</v>
      </c>
      <c r="CD311" s="36">
        <v>1</v>
      </c>
      <c r="CE311" s="36">
        <v>4</v>
      </c>
      <c r="CF311" s="36">
        <v>2</v>
      </c>
      <c r="CG311" s="36">
        <v>1</v>
      </c>
      <c r="CH311" s="36">
        <v>1</v>
      </c>
      <c r="CI311" s="36"/>
      <c r="CK311" s="4" t="b">
        <f t="shared" si="4"/>
        <v>0</v>
      </c>
    </row>
    <row r="312" spans="1:89" ht="75" customHeight="1">
      <c r="A312" s="32" t="s">
        <v>87</v>
      </c>
      <c r="B312" s="32" t="s">
        <v>106</v>
      </c>
      <c r="C312" s="32" t="s">
        <v>464</v>
      </c>
      <c r="D312" s="34"/>
      <c r="E312" s="34">
        <v>100</v>
      </c>
      <c r="F312" s="34">
        <v>100</v>
      </c>
      <c r="G312" s="34">
        <v>100</v>
      </c>
      <c r="H312" s="34"/>
      <c r="I312" s="34">
        <v>100</v>
      </c>
      <c r="J312" s="34">
        <v>100</v>
      </c>
      <c r="K312" s="34"/>
      <c r="L312" s="34"/>
      <c r="M312" s="34"/>
      <c r="N312" s="34"/>
      <c r="O312" s="34">
        <v>100</v>
      </c>
      <c r="P312" s="34"/>
      <c r="Q312" s="34"/>
      <c r="R312" s="34"/>
      <c r="S312" s="34"/>
      <c r="T312" s="34"/>
      <c r="U312" s="34"/>
      <c r="V312" s="34"/>
      <c r="W312" s="34"/>
      <c r="X312" s="34"/>
      <c r="Y312" s="34"/>
      <c r="Z312" s="34"/>
      <c r="AA312" s="34"/>
      <c r="AB312" s="36">
        <v>6</v>
      </c>
      <c r="AC312" s="36">
        <v>5</v>
      </c>
      <c r="AD312" s="36">
        <v>8</v>
      </c>
      <c r="AE312" s="36">
        <v>5</v>
      </c>
      <c r="AF312" s="36"/>
      <c r="AG312" s="36">
        <v>6</v>
      </c>
      <c r="AH312" s="36">
        <v>6</v>
      </c>
      <c r="AI312" s="36">
        <v>5</v>
      </c>
      <c r="AJ312" s="36">
        <v>6</v>
      </c>
      <c r="AK312" s="36">
        <v>5</v>
      </c>
      <c r="AL312" s="36">
        <v>6</v>
      </c>
      <c r="AM312" s="36">
        <v>5</v>
      </c>
      <c r="AN312" s="36">
        <v>5</v>
      </c>
      <c r="AO312" s="36">
        <v>5</v>
      </c>
      <c r="AP312" s="36">
        <v>7</v>
      </c>
      <c r="AQ312" s="36">
        <v>5</v>
      </c>
      <c r="AR312" s="36"/>
      <c r="AS312" s="36">
        <v>6</v>
      </c>
      <c r="AT312" s="36">
        <v>6</v>
      </c>
      <c r="AU312" s="36">
        <v>5</v>
      </c>
      <c r="AV312" s="36">
        <v>5</v>
      </c>
      <c r="AW312" s="36">
        <v>5</v>
      </c>
      <c r="AX312" s="36">
        <v>5</v>
      </c>
      <c r="AY312" s="36">
        <v>5</v>
      </c>
      <c r="AZ312" s="36">
        <v>5</v>
      </c>
      <c r="BA312" s="36">
        <v>4</v>
      </c>
      <c r="BB312" s="36">
        <v>5</v>
      </c>
      <c r="BC312" s="36">
        <v>5</v>
      </c>
      <c r="BD312" s="36"/>
      <c r="BE312" s="36">
        <v>2</v>
      </c>
      <c r="BF312" s="36">
        <v>5</v>
      </c>
      <c r="BG312" s="36">
        <v>4</v>
      </c>
      <c r="BH312" s="36">
        <v>6</v>
      </c>
      <c r="BI312" s="36">
        <v>5</v>
      </c>
      <c r="BJ312" s="36">
        <v>4</v>
      </c>
      <c r="BK312" s="36">
        <v>4</v>
      </c>
      <c r="BL312" s="36">
        <v>8</v>
      </c>
      <c r="BM312" s="36">
        <v>5</v>
      </c>
      <c r="BN312" s="36">
        <v>8</v>
      </c>
      <c r="BO312" s="36">
        <v>6</v>
      </c>
      <c r="BP312" s="36"/>
      <c r="BQ312" s="36">
        <v>6</v>
      </c>
      <c r="BR312" s="36">
        <v>8</v>
      </c>
      <c r="BS312" s="36">
        <v>6</v>
      </c>
      <c r="BT312" s="36">
        <v>7</v>
      </c>
      <c r="BU312" s="36">
        <v>6</v>
      </c>
      <c r="BV312" s="36">
        <v>5</v>
      </c>
      <c r="BW312" s="36">
        <v>8</v>
      </c>
      <c r="BX312" s="36">
        <v>7</v>
      </c>
      <c r="BY312" s="36">
        <v>9</v>
      </c>
      <c r="BZ312" s="36">
        <v>8</v>
      </c>
      <c r="CA312" s="36">
        <v>5</v>
      </c>
      <c r="CB312" s="36"/>
      <c r="CC312" s="36">
        <v>8</v>
      </c>
      <c r="CD312" s="36">
        <v>8</v>
      </c>
      <c r="CE312" s="36">
        <v>8</v>
      </c>
      <c r="CF312" s="36">
        <v>5</v>
      </c>
      <c r="CG312" s="36">
        <v>4</v>
      </c>
      <c r="CH312" s="36">
        <v>7</v>
      </c>
      <c r="CI312" s="36">
        <v>10</v>
      </c>
      <c r="CK312" s="4" t="b">
        <f t="shared" si="4"/>
        <v>0</v>
      </c>
    </row>
    <row r="313" spans="1:89" ht="75" customHeight="1">
      <c r="A313" s="32" t="s">
        <v>124</v>
      </c>
      <c r="B313" s="32" t="s">
        <v>139</v>
      </c>
      <c r="C313" s="32" t="s">
        <v>465</v>
      </c>
      <c r="D313" s="34"/>
      <c r="E313" s="34">
        <v>100</v>
      </c>
      <c r="F313" s="34">
        <v>50</v>
      </c>
      <c r="G313" s="34">
        <v>100</v>
      </c>
      <c r="H313" s="34">
        <v>75</v>
      </c>
      <c r="I313" s="34">
        <v>100</v>
      </c>
      <c r="J313" s="34">
        <v>100</v>
      </c>
      <c r="K313" s="34">
        <v>75</v>
      </c>
      <c r="L313" s="34">
        <v>50</v>
      </c>
      <c r="M313" s="34">
        <v>100</v>
      </c>
      <c r="N313" s="34">
        <v>100</v>
      </c>
      <c r="O313" s="34">
        <v>100</v>
      </c>
      <c r="P313" s="34"/>
      <c r="Q313" s="34">
        <v>75</v>
      </c>
      <c r="R313" s="34">
        <v>75</v>
      </c>
      <c r="S313" s="34">
        <v>100</v>
      </c>
      <c r="T313" s="34">
        <v>100</v>
      </c>
      <c r="U313" s="34">
        <v>100</v>
      </c>
      <c r="V313" s="34">
        <v>100</v>
      </c>
      <c r="W313" s="34">
        <v>75</v>
      </c>
      <c r="X313" s="34">
        <v>75</v>
      </c>
      <c r="Y313" s="34">
        <v>75</v>
      </c>
      <c r="Z313" s="34">
        <v>100</v>
      </c>
      <c r="AA313" s="34">
        <v>100</v>
      </c>
      <c r="AB313" s="36"/>
      <c r="AC313" s="36">
        <v>44</v>
      </c>
      <c r="AD313" s="36">
        <v>36</v>
      </c>
      <c r="AE313" s="36">
        <v>43</v>
      </c>
      <c r="AF313" s="36">
        <v>33</v>
      </c>
      <c r="AG313" s="36">
        <v>50</v>
      </c>
      <c r="AH313" s="36">
        <v>47</v>
      </c>
      <c r="AI313" s="36">
        <v>36</v>
      </c>
      <c r="AJ313" s="36">
        <v>29</v>
      </c>
      <c r="AK313" s="36">
        <v>41</v>
      </c>
      <c r="AL313" s="36">
        <v>48</v>
      </c>
      <c r="AM313" s="36">
        <v>86</v>
      </c>
      <c r="AN313" s="36"/>
      <c r="AO313" s="36">
        <v>40</v>
      </c>
      <c r="AP313" s="36">
        <v>36</v>
      </c>
      <c r="AQ313" s="36">
        <v>43</v>
      </c>
      <c r="AR313" s="36">
        <v>33</v>
      </c>
      <c r="AS313" s="36">
        <v>49</v>
      </c>
      <c r="AT313" s="36">
        <v>46</v>
      </c>
      <c r="AU313" s="36">
        <v>35</v>
      </c>
      <c r="AV313" s="36">
        <v>29</v>
      </c>
      <c r="AW313" s="36">
        <v>41</v>
      </c>
      <c r="AX313" s="36">
        <v>47</v>
      </c>
      <c r="AY313" s="36">
        <v>94</v>
      </c>
      <c r="AZ313" s="36"/>
      <c r="BA313" s="36"/>
      <c r="BB313" s="36">
        <v>22</v>
      </c>
      <c r="BC313" s="36">
        <v>8</v>
      </c>
      <c r="BD313" s="36">
        <v>8</v>
      </c>
      <c r="BE313" s="36">
        <v>10</v>
      </c>
      <c r="BF313" s="36">
        <v>4</v>
      </c>
      <c r="BG313" s="36">
        <v>6</v>
      </c>
      <c r="BH313" s="36">
        <v>10</v>
      </c>
      <c r="BI313" s="36">
        <v>10</v>
      </c>
      <c r="BJ313" s="36">
        <v>4</v>
      </c>
      <c r="BK313" s="36">
        <v>6</v>
      </c>
      <c r="BL313" s="36"/>
      <c r="BM313" s="36"/>
      <c r="BN313" s="36"/>
      <c r="BO313" s="36">
        <v>2</v>
      </c>
      <c r="BP313" s="36">
        <v>1</v>
      </c>
      <c r="BQ313" s="36">
        <v>2</v>
      </c>
      <c r="BR313" s="36">
        <v>1</v>
      </c>
      <c r="BS313" s="36">
        <v>2</v>
      </c>
      <c r="BT313" s="36">
        <v>5</v>
      </c>
      <c r="BU313" s="36">
        <v>2</v>
      </c>
      <c r="BV313" s="36">
        <v>2</v>
      </c>
      <c r="BW313" s="36">
        <v>1</v>
      </c>
      <c r="BX313" s="36"/>
      <c r="BY313" s="36"/>
      <c r="BZ313" s="36"/>
      <c r="CA313" s="36"/>
      <c r="CB313" s="36"/>
      <c r="CC313" s="36"/>
      <c r="CD313" s="36"/>
      <c r="CE313" s="36"/>
      <c r="CF313" s="36"/>
      <c r="CG313" s="36"/>
      <c r="CH313" s="36"/>
      <c r="CI313" s="36"/>
      <c r="CK313" s="4" t="b">
        <f t="shared" si="4"/>
        <v>0</v>
      </c>
    </row>
    <row r="314" spans="1:89" ht="75" customHeight="1">
      <c r="A314" s="32" t="s">
        <v>92</v>
      </c>
      <c r="B314" s="32" t="s">
        <v>153</v>
      </c>
      <c r="C314" s="32" t="s">
        <v>466</v>
      </c>
      <c r="D314" s="34"/>
      <c r="E314" s="34">
        <v>125</v>
      </c>
      <c r="F314" s="34">
        <v>100</v>
      </c>
      <c r="G314" s="34"/>
      <c r="H314" s="34">
        <v>100</v>
      </c>
      <c r="I314" s="34">
        <v>100</v>
      </c>
      <c r="J314" s="34">
        <v>100</v>
      </c>
      <c r="K314" s="34">
        <v>100</v>
      </c>
      <c r="L314" s="34">
        <v>100</v>
      </c>
      <c r="M314" s="34">
        <v>100</v>
      </c>
      <c r="N314" s="34">
        <v>100</v>
      </c>
      <c r="O314" s="34">
        <v>100</v>
      </c>
      <c r="P314" s="34"/>
      <c r="Q314" s="34">
        <v>125</v>
      </c>
      <c r="R314" s="34">
        <v>100</v>
      </c>
      <c r="S314" s="34"/>
      <c r="T314" s="34">
        <v>125</v>
      </c>
      <c r="U314" s="34">
        <v>100</v>
      </c>
      <c r="V314" s="34">
        <v>100</v>
      </c>
      <c r="W314" s="34">
        <v>100</v>
      </c>
      <c r="X314" s="34">
        <v>100</v>
      </c>
      <c r="Y314" s="34">
        <v>100</v>
      </c>
      <c r="Z314" s="34">
        <v>100</v>
      </c>
      <c r="AA314" s="34">
        <v>100</v>
      </c>
      <c r="AB314" s="36"/>
      <c r="AC314" s="36">
        <v>41</v>
      </c>
      <c r="AD314" s="36">
        <v>36</v>
      </c>
      <c r="AE314" s="36">
        <v>29</v>
      </c>
      <c r="AF314" s="36">
        <v>32</v>
      </c>
      <c r="AG314" s="36">
        <v>30</v>
      </c>
      <c r="AH314" s="36">
        <v>26</v>
      </c>
      <c r="AI314" s="36">
        <v>29</v>
      </c>
      <c r="AJ314" s="36">
        <v>31</v>
      </c>
      <c r="AK314" s="36">
        <v>34</v>
      </c>
      <c r="AL314" s="36">
        <v>35</v>
      </c>
      <c r="AM314" s="36">
        <v>31</v>
      </c>
      <c r="AN314" s="36"/>
      <c r="AO314" s="36">
        <v>43</v>
      </c>
      <c r="AP314" s="36">
        <v>38</v>
      </c>
      <c r="AQ314" s="36">
        <v>31</v>
      </c>
      <c r="AR314" s="36">
        <v>34</v>
      </c>
      <c r="AS314" s="36">
        <v>29</v>
      </c>
      <c r="AT314" s="36">
        <v>27</v>
      </c>
      <c r="AU314" s="36">
        <v>32</v>
      </c>
      <c r="AV314" s="36">
        <v>33</v>
      </c>
      <c r="AW314" s="36">
        <v>32</v>
      </c>
      <c r="AX314" s="36">
        <v>30</v>
      </c>
      <c r="AY314" s="36">
        <v>33</v>
      </c>
      <c r="AZ314" s="36"/>
      <c r="BA314" s="36">
        <v>47</v>
      </c>
      <c r="BB314" s="36">
        <v>45</v>
      </c>
      <c r="BC314" s="36">
        <v>50</v>
      </c>
      <c r="BD314" s="36">
        <v>35</v>
      </c>
      <c r="BE314" s="36">
        <v>44</v>
      </c>
      <c r="BF314" s="36">
        <v>46</v>
      </c>
      <c r="BG314" s="36">
        <v>47</v>
      </c>
      <c r="BH314" s="36">
        <v>60</v>
      </c>
      <c r="BI314" s="36">
        <v>50</v>
      </c>
      <c r="BJ314" s="36">
        <v>49</v>
      </c>
      <c r="BK314" s="36">
        <v>40</v>
      </c>
      <c r="BL314" s="36"/>
      <c r="BM314" s="36">
        <v>9</v>
      </c>
      <c r="BN314" s="36">
        <v>28</v>
      </c>
      <c r="BO314" s="36">
        <v>12</v>
      </c>
      <c r="BP314" s="36">
        <v>6</v>
      </c>
      <c r="BQ314" s="36">
        <v>10</v>
      </c>
      <c r="BR314" s="36">
        <v>8</v>
      </c>
      <c r="BS314" s="36">
        <v>8</v>
      </c>
      <c r="BT314" s="36">
        <v>10</v>
      </c>
      <c r="BU314" s="36">
        <v>8</v>
      </c>
      <c r="BV314" s="36">
        <v>11</v>
      </c>
      <c r="BW314" s="36">
        <v>8</v>
      </c>
      <c r="BX314" s="36"/>
      <c r="BY314" s="36">
        <v>8</v>
      </c>
      <c r="BZ314" s="36">
        <v>8</v>
      </c>
      <c r="CA314" s="36">
        <v>8</v>
      </c>
      <c r="CB314" s="36">
        <v>9</v>
      </c>
      <c r="CC314" s="36">
        <v>4</v>
      </c>
      <c r="CD314" s="36">
        <v>5</v>
      </c>
      <c r="CE314" s="36">
        <v>6</v>
      </c>
      <c r="CF314" s="36">
        <v>8</v>
      </c>
      <c r="CG314" s="36">
        <v>9</v>
      </c>
      <c r="CH314" s="36">
        <v>8</v>
      </c>
      <c r="CI314" s="36">
        <v>4</v>
      </c>
      <c r="CK314" s="4" t="b">
        <f t="shared" si="4"/>
        <v>0</v>
      </c>
    </row>
    <row r="315" spans="1:89" ht="60" customHeight="1">
      <c r="A315" s="32" t="s">
        <v>101</v>
      </c>
      <c r="B315" s="32" t="s">
        <v>102</v>
      </c>
      <c r="C315" s="32" t="s">
        <v>467</v>
      </c>
      <c r="D315" s="34"/>
      <c r="E315" s="34"/>
      <c r="F315" s="34"/>
      <c r="G315" s="34"/>
      <c r="H315" s="34"/>
      <c r="I315" s="34"/>
      <c r="J315" s="34"/>
      <c r="K315" s="34"/>
      <c r="L315" s="34"/>
      <c r="M315" s="34"/>
      <c r="N315" s="34"/>
      <c r="O315" s="34"/>
      <c r="P315" s="34"/>
      <c r="Q315" s="34"/>
      <c r="R315" s="34"/>
      <c r="S315" s="34"/>
      <c r="T315" s="34"/>
      <c r="U315" s="34"/>
      <c r="V315" s="34"/>
      <c r="W315" s="34"/>
      <c r="X315" s="34"/>
      <c r="Y315" s="34"/>
      <c r="Z315" s="34"/>
      <c r="AA315" s="34"/>
      <c r="AB315" s="36"/>
      <c r="AC315" s="36"/>
      <c r="AD315" s="36"/>
      <c r="AE315" s="36"/>
      <c r="AF315" s="36"/>
      <c r="AG315" s="36"/>
      <c r="AH315" s="36"/>
      <c r="AI315" s="36"/>
      <c r="AJ315" s="36"/>
      <c r="AK315" s="36"/>
      <c r="AL315" s="36"/>
      <c r="AM315" s="36"/>
      <c r="AN315" s="36"/>
      <c r="AO315" s="36"/>
      <c r="AP315" s="36"/>
      <c r="AQ315" s="36"/>
      <c r="AR315" s="36"/>
      <c r="AS315" s="36"/>
      <c r="AT315" s="36"/>
      <c r="AU315" s="36"/>
      <c r="AV315" s="36"/>
      <c r="AW315" s="36"/>
      <c r="AX315" s="36"/>
      <c r="AY315" s="36"/>
      <c r="AZ315" s="36"/>
      <c r="BA315" s="36"/>
      <c r="BB315" s="36"/>
      <c r="BC315" s="36"/>
      <c r="BD315" s="36"/>
      <c r="BE315" s="36"/>
      <c r="BF315" s="36"/>
      <c r="BG315" s="36"/>
      <c r="BH315" s="36"/>
      <c r="BI315" s="36"/>
      <c r="BJ315" s="36"/>
      <c r="BK315" s="36"/>
      <c r="BL315" s="36"/>
      <c r="BM315" s="36"/>
      <c r="BN315" s="36"/>
      <c r="BO315" s="36"/>
      <c r="BP315" s="36"/>
      <c r="BQ315" s="36"/>
      <c r="BR315" s="36"/>
      <c r="BS315" s="36"/>
      <c r="BT315" s="36">
        <v>1</v>
      </c>
      <c r="BU315" s="36">
        <v>2</v>
      </c>
      <c r="BV315" s="36">
        <v>6</v>
      </c>
      <c r="BW315" s="36"/>
      <c r="BX315" s="36"/>
      <c r="BY315" s="36"/>
      <c r="BZ315" s="36">
        <v>16</v>
      </c>
      <c r="CA315" s="36"/>
      <c r="CB315" s="36"/>
      <c r="CC315" s="36"/>
      <c r="CD315" s="36"/>
      <c r="CE315" s="36"/>
      <c r="CF315" s="36"/>
      <c r="CG315" s="36"/>
      <c r="CH315" s="36"/>
      <c r="CI315" s="36"/>
      <c r="CK315" s="4" t="b">
        <f t="shared" si="4"/>
        <v>0</v>
      </c>
    </row>
    <row r="316" spans="1:89" ht="60" customHeight="1">
      <c r="A316" s="32" t="s">
        <v>92</v>
      </c>
      <c r="B316" s="32" t="s">
        <v>230</v>
      </c>
      <c r="C316" s="32" t="s">
        <v>468</v>
      </c>
      <c r="D316" s="34"/>
      <c r="E316" s="34">
        <v>100</v>
      </c>
      <c r="F316" s="34">
        <v>100</v>
      </c>
      <c r="G316" s="34">
        <v>100</v>
      </c>
      <c r="H316" s="34">
        <v>100</v>
      </c>
      <c r="I316" s="34">
        <v>100</v>
      </c>
      <c r="J316" s="34">
        <v>100</v>
      </c>
      <c r="K316" s="34">
        <v>100</v>
      </c>
      <c r="L316" s="34">
        <v>100</v>
      </c>
      <c r="M316" s="34">
        <v>100</v>
      </c>
      <c r="N316" s="34">
        <v>100</v>
      </c>
      <c r="O316" s="34">
        <v>100</v>
      </c>
      <c r="P316" s="34"/>
      <c r="Q316" s="34">
        <v>100</v>
      </c>
      <c r="R316" s="34">
        <v>100</v>
      </c>
      <c r="S316" s="34">
        <v>100</v>
      </c>
      <c r="T316" s="34">
        <v>100</v>
      </c>
      <c r="U316" s="34">
        <v>100</v>
      </c>
      <c r="V316" s="34">
        <v>100</v>
      </c>
      <c r="W316" s="34">
        <v>100</v>
      </c>
      <c r="X316" s="34">
        <v>100</v>
      </c>
      <c r="Y316" s="34">
        <v>100</v>
      </c>
      <c r="Z316" s="34">
        <v>100</v>
      </c>
      <c r="AA316" s="34">
        <v>100</v>
      </c>
      <c r="AB316" s="36"/>
      <c r="AC316" s="36">
        <v>24</v>
      </c>
      <c r="AD316" s="36">
        <v>24</v>
      </c>
      <c r="AE316" s="36">
        <v>24</v>
      </c>
      <c r="AF316" s="36">
        <v>24</v>
      </c>
      <c r="AG316" s="36">
        <v>25</v>
      </c>
      <c r="AH316" s="36">
        <v>24</v>
      </c>
      <c r="AI316" s="36">
        <v>24</v>
      </c>
      <c r="AJ316" s="36">
        <v>27</v>
      </c>
      <c r="AK316" s="36">
        <v>27</v>
      </c>
      <c r="AL316" s="36">
        <v>27</v>
      </c>
      <c r="AM316" s="36">
        <v>27</v>
      </c>
      <c r="AN316" s="36"/>
      <c r="AO316" s="36">
        <v>24</v>
      </c>
      <c r="AP316" s="36">
        <v>24</v>
      </c>
      <c r="AQ316" s="36">
        <v>24</v>
      </c>
      <c r="AR316" s="36">
        <v>24</v>
      </c>
      <c r="AS316" s="36">
        <v>25</v>
      </c>
      <c r="AT316" s="36">
        <v>24</v>
      </c>
      <c r="AU316" s="36">
        <v>24</v>
      </c>
      <c r="AV316" s="36">
        <v>27</v>
      </c>
      <c r="AW316" s="36">
        <v>27</v>
      </c>
      <c r="AX316" s="36">
        <v>27</v>
      </c>
      <c r="AY316" s="36">
        <v>27</v>
      </c>
      <c r="AZ316" s="36"/>
      <c r="BA316" s="36">
        <v>12</v>
      </c>
      <c r="BB316" s="36">
        <v>3</v>
      </c>
      <c r="BC316" s="36">
        <v>15</v>
      </c>
      <c r="BD316" s="36">
        <v>11</v>
      </c>
      <c r="BE316" s="36">
        <v>10</v>
      </c>
      <c r="BF316" s="36">
        <v>15</v>
      </c>
      <c r="BG316" s="36">
        <v>18</v>
      </c>
      <c r="BH316" s="36">
        <v>5</v>
      </c>
      <c r="BI316" s="36">
        <v>7</v>
      </c>
      <c r="BJ316" s="36">
        <v>7</v>
      </c>
      <c r="BK316" s="36">
        <v>20</v>
      </c>
      <c r="BL316" s="36"/>
      <c r="BM316" s="36"/>
      <c r="BN316" s="36">
        <v>2</v>
      </c>
      <c r="BO316" s="36"/>
      <c r="BP316" s="36"/>
      <c r="BQ316" s="36"/>
      <c r="BR316" s="36"/>
      <c r="BS316" s="36"/>
      <c r="BT316" s="36"/>
      <c r="BU316" s="36">
        <v>1</v>
      </c>
      <c r="BV316" s="36"/>
      <c r="BW316" s="36">
        <v>1</v>
      </c>
      <c r="BX316" s="36"/>
      <c r="BY316" s="36"/>
      <c r="BZ316" s="36"/>
      <c r="CA316" s="36"/>
      <c r="CB316" s="36"/>
      <c r="CC316" s="36"/>
      <c r="CD316" s="36"/>
      <c r="CE316" s="36"/>
      <c r="CF316" s="36"/>
      <c r="CG316" s="36"/>
      <c r="CH316" s="36"/>
      <c r="CI316" s="36"/>
      <c r="CK316" s="4" t="b">
        <f t="shared" si="4"/>
        <v>0</v>
      </c>
    </row>
    <row r="317" spans="1:89" ht="75" customHeight="1">
      <c r="A317" s="32" t="s">
        <v>87</v>
      </c>
      <c r="B317" s="32" t="s">
        <v>104</v>
      </c>
      <c r="C317" s="32" t="s">
        <v>469</v>
      </c>
      <c r="D317" s="34"/>
      <c r="E317" s="34"/>
      <c r="F317" s="34">
        <v>100</v>
      </c>
      <c r="G317" s="34">
        <v>100</v>
      </c>
      <c r="H317" s="34">
        <v>100</v>
      </c>
      <c r="I317" s="34">
        <v>100</v>
      </c>
      <c r="J317" s="34">
        <v>100</v>
      </c>
      <c r="K317" s="34">
        <v>100</v>
      </c>
      <c r="L317" s="34">
        <v>100</v>
      </c>
      <c r="M317" s="34">
        <v>100</v>
      </c>
      <c r="N317" s="34">
        <v>100</v>
      </c>
      <c r="O317" s="34"/>
      <c r="P317" s="34"/>
      <c r="Q317" s="34"/>
      <c r="R317" s="34"/>
      <c r="S317" s="34"/>
      <c r="T317" s="34"/>
      <c r="U317" s="34"/>
      <c r="V317" s="34"/>
      <c r="W317" s="34"/>
      <c r="X317" s="34"/>
      <c r="Y317" s="34"/>
      <c r="Z317" s="34"/>
      <c r="AA317" s="34"/>
      <c r="AB317" s="36"/>
      <c r="AC317" s="36"/>
      <c r="AD317" s="36">
        <v>1</v>
      </c>
      <c r="AE317" s="36">
        <v>1</v>
      </c>
      <c r="AF317" s="36">
        <v>1</v>
      </c>
      <c r="AG317" s="36">
        <v>3</v>
      </c>
      <c r="AH317" s="36">
        <v>1</v>
      </c>
      <c r="AI317" s="36">
        <v>3</v>
      </c>
      <c r="AJ317" s="36">
        <v>3</v>
      </c>
      <c r="AK317" s="36">
        <v>1</v>
      </c>
      <c r="AL317" s="36">
        <v>3</v>
      </c>
      <c r="AM317" s="36"/>
      <c r="AN317" s="36"/>
      <c r="AO317" s="36"/>
      <c r="AP317" s="36">
        <v>1</v>
      </c>
      <c r="AQ317" s="36">
        <v>1</v>
      </c>
      <c r="AR317" s="36">
        <v>1</v>
      </c>
      <c r="AS317" s="36">
        <v>3</v>
      </c>
      <c r="AT317" s="36">
        <v>1</v>
      </c>
      <c r="AU317" s="36">
        <v>3</v>
      </c>
      <c r="AV317" s="36">
        <v>3</v>
      </c>
      <c r="AW317" s="36">
        <v>1</v>
      </c>
      <c r="AX317" s="36">
        <v>3</v>
      </c>
      <c r="AY317" s="36"/>
      <c r="AZ317" s="36"/>
      <c r="BA317" s="36"/>
      <c r="BB317" s="36">
        <v>5</v>
      </c>
      <c r="BC317" s="36">
        <v>4</v>
      </c>
      <c r="BD317" s="36">
        <v>5</v>
      </c>
      <c r="BE317" s="36">
        <v>4</v>
      </c>
      <c r="BF317" s="36">
        <v>5</v>
      </c>
      <c r="BG317" s="36">
        <v>1</v>
      </c>
      <c r="BH317" s="36">
        <v>11</v>
      </c>
      <c r="BI317" s="36">
        <v>10</v>
      </c>
      <c r="BJ317" s="36">
        <v>12</v>
      </c>
      <c r="BK317" s="36"/>
      <c r="BL317" s="36"/>
      <c r="BM317" s="36"/>
      <c r="BN317" s="36">
        <v>1</v>
      </c>
      <c r="BO317" s="36">
        <v>3</v>
      </c>
      <c r="BP317" s="36">
        <v>4</v>
      </c>
      <c r="BQ317" s="36">
        <v>3</v>
      </c>
      <c r="BR317" s="36">
        <v>4</v>
      </c>
      <c r="BS317" s="36">
        <v>11</v>
      </c>
      <c r="BT317" s="36"/>
      <c r="BU317" s="36"/>
      <c r="BV317" s="36"/>
      <c r="BW317" s="36"/>
      <c r="BX317" s="36"/>
      <c r="BY317" s="36"/>
      <c r="BZ317" s="36">
        <v>3</v>
      </c>
      <c r="CA317" s="36">
        <v>10</v>
      </c>
      <c r="CB317" s="36">
        <v>3</v>
      </c>
      <c r="CC317" s="36">
        <v>3</v>
      </c>
      <c r="CD317" s="36">
        <v>4</v>
      </c>
      <c r="CE317" s="36">
        <v>5</v>
      </c>
      <c r="CF317" s="36"/>
      <c r="CG317" s="36"/>
      <c r="CH317" s="36"/>
      <c r="CI317" s="36"/>
      <c r="CK317" s="4" t="b">
        <f t="shared" si="4"/>
        <v>0</v>
      </c>
    </row>
    <row r="318" spans="1:89" ht="90" customHeight="1">
      <c r="A318" s="32" t="s">
        <v>87</v>
      </c>
      <c r="B318" s="32" t="s">
        <v>232</v>
      </c>
      <c r="C318" s="32" t="s">
        <v>470</v>
      </c>
      <c r="D318" s="34"/>
      <c r="E318" s="34"/>
      <c r="F318" s="34"/>
      <c r="G318" s="34"/>
      <c r="H318" s="34"/>
      <c r="I318" s="34"/>
      <c r="J318" s="34"/>
      <c r="K318" s="34"/>
      <c r="L318" s="34"/>
      <c r="M318" s="34"/>
      <c r="N318" s="34"/>
      <c r="O318" s="34"/>
      <c r="P318" s="34"/>
      <c r="Q318" s="34"/>
      <c r="R318" s="34"/>
      <c r="S318" s="34"/>
      <c r="T318" s="34"/>
      <c r="U318" s="34"/>
      <c r="V318" s="34"/>
      <c r="W318" s="34"/>
      <c r="X318" s="34"/>
      <c r="Y318" s="34"/>
      <c r="Z318" s="34"/>
      <c r="AA318" s="34"/>
      <c r="AB318" s="36"/>
      <c r="AC318" s="36"/>
      <c r="AD318" s="36"/>
      <c r="AE318" s="36"/>
      <c r="AF318" s="36"/>
      <c r="AG318" s="36"/>
      <c r="AH318" s="36"/>
      <c r="AI318" s="36"/>
      <c r="AJ318" s="36"/>
      <c r="AK318" s="36"/>
      <c r="AL318" s="36"/>
      <c r="AM318" s="36"/>
      <c r="AN318" s="36"/>
      <c r="AO318" s="36"/>
      <c r="AP318" s="36"/>
      <c r="AQ318" s="36"/>
      <c r="AR318" s="36"/>
      <c r="AS318" s="36"/>
      <c r="AT318" s="36"/>
      <c r="AU318" s="36"/>
      <c r="AV318" s="36"/>
      <c r="AW318" s="36"/>
      <c r="AX318" s="36"/>
      <c r="AY318" s="36"/>
      <c r="AZ318" s="36"/>
      <c r="BA318" s="36"/>
      <c r="BB318" s="36">
        <v>8</v>
      </c>
      <c r="BC318" s="36"/>
      <c r="BD318" s="36"/>
      <c r="BE318" s="36"/>
      <c r="BF318" s="36"/>
      <c r="BG318" s="36"/>
      <c r="BH318" s="36"/>
      <c r="BI318" s="36"/>
      <c r="BJ318" s="36"/>
      <c r="BK318" s="36"/>
      <c r="BL318" s="36"/>
      <c r="BM318" s="36"/>
      <c r="BN318" s="36"/>
      <c r="BO318" s="36"/>
      <c r="BP318" s="36"/>
      <c r="BQ318" s="36"/>
      <c r="BR318" s="36"/>
      <c r="BS318" s="36"/>
      <c r="BT318" s="36"/>
      <c r="BU318" s="36"/>
      <c r="BV318" s="36"/>
      <c r="BW318" s="36"/>
      <c r="BX318" s="36"/>
      <c r="BY318" s="36"/>
      <c r="BZ318" s="36"/>
      <c r="CA318" s="36"/>
      <c r="CB318" s="36"/>
      <c r="CC318" s="36"/>
      <c r="CD318" s="36"/>
      <c r="CE318" s="36"/>
      <c r="CF318" s="36"/>
      <c r="CG318" s="36"/>
      <c r="CH318" s="36"/>
      <c r="CI318" s="36"/>
      <c r="CK318" s="4" t="b">
        <f t="shared" si="4"/>
        <v>0</v>
      </c>
    </row>
    <row r="319" spans="1:89" ht="60" customHeight="1">
      <c r="A319" s="32" t="s">
        <v>109</v>
      </c>
      <c r="B319" s="32" t="s">
        <v>372</v>
      </c>
      <c r="C319" s="32" t="s">
        <v>471</v>
      </c>
      <c r="D319" s="34"/>
      <c r="E319" s="34"/>
      <c r="F319" s="34"/>
      <c r="G319" s="34"/>
      <c r="H319" s="34">
        <v>100</v>
      </c>
      <c r="I319" s="34">
        <v>100</v>
      </c>
      <c r="J319" s="34">
        <v>100</v>
      </c>
      <c r="K319" s="34">
        <v>75</v>
      </c>
      <c r="L319" s="34">
        <v>100</v>
      </c>
      <c r="M319" s="34">
        <v>100</v>
      </c>
      <c r="N319" s="34"/>
      <c r="O319" s="34"/>
      <c r="P319" s="34"/>
      <c r="Q319" s="34"/>
      <c r="R319" s="34"/>
      <c r="S319" s="34"/>
      <c r="T319" s="34"/>
      <c r="U319" s="34"/>
      <c r="V319" s="34"/>
      <c r="W319" s="34"/>
      <c r="X319" s="34"/>
      <c r="Y319" s="34"/>
      <c r="Z319" s="34"/>
      <c r="AA319" s="34"/>
      <c r="AB319" s="36">
        <v>5</v>
      </c>
      <c r="AC319" s="36">
        <v>59</v>
      </c>
      <c r="AD319" s="36"/>
      <c r="AE319" s="36">
        <v>6</v>
      </c>
      <c r="AF319" s="36">
        <v>5</v>
      </c>
      <c r="AG319" s="36">
        <v>6</v>
      </c>
      <c r="AH319" s="36">
        <v>11</v>
      </c>
      <c r="AI319" s="36">
        <v>1</v>
      </c>
      <c r="AJ319" s="36">
        <v>5</v>
      </c>
      <c r="AK319" s="36">
        <v>6</v>
      </c>
      <c r="AL319" s="36"/>
      <c r="AM319" s="36"/>
      <c r="AN319" s="36">
        <v>2</v>
      </c>
      <c r="AO319" s="36">
        <v>52</v>
      </c>
      <c r="AP319" s="36">
        <v>4</v>
      </c>
      <c r="AQ319" s="36">
        <v>5</v>
      </c>
      <c r="AR319" s="36">
        <v>4</v>
      </c>
      <c r="AS319" s="36">
        <v>5</v>
      </c>
      <c r="AT319" s="36">
        <v>7</v>
      </c>
      <c r="AU319" s="36">
        <v>3</v>
      </c>
      <c r="AV319" s="36">
        <v>8</v>
      </c>
      <c r="AW319" s="36">
        <v>4</v>
      </c>
      <c r="AX319" s="36"/>
      <c r="AY319" s="36"/>
      <c r="AZ319" s="36"/>
      <c r="BA319" s="36"/>
      <c r="BB319" s="36">
        <v>18</v>
      </c>
      <c r="BC319" s="36">
        <v>13</v>
      </c>
      <c r="BD319" s="36">
        <v>6</v>
      </c>
      <c r="BE319" s="36">
        <v>9</v>
      </c>
      <c r="BF319" s="36">
        <v>4</v>
      </c>
      <c r="BG319" s="36">
        <v>10</v>
      </c>
      <c r="BH319" s="36">
        <v>12</v>
      </c>
      <c r="BI319" s="36">
        <v>10</v>
      </c>
      <c r="BJ319" s="36"/>
      <c r="BK319" s="36"/>
      <c r="BL319" s="36"/>
      <c r="BM319" s="36"/>
      <c r="BN319" s="36">
        <v>2</v>
      </c>
      <c r="BO319" s="36">
        <v>7</v>
      </c>
      <c r="BP319" s="36"/>
      <c r="BQ319" s="36">
        <v>3</v>
      </c>
      <c r="BR319" s="36">
        <v>3</v>
      </c>
      <c r="BS319" s="36">
        <v>4</v>
      </c>
      <c r="BT319" s="36">
        <v>4</v>
      </c>
      <c r="BU319" s="36">
        <v>2</v>
      </c>
      <c r="BV319" s="36"/>
      <c r="BW319" s="36"/>
      <c r="BX319" s="36"/>
      <c r="BY319" s="36"/>
      <c r="BZ319" s="36">
        <v>2</v>
      </c>
      <c r="CA319" s="36"/>
      <c r="CB319" s="36">
        <v>56</v>
      </c>
      <c r="CC319" s="36"/>
      <c r="CD319" s="36">
        <v>1</v>
      </c>
      <c r="CE319" s="36">
        <v>1</v>
      </c>
      <c r="CF319" s="36"/>
      <c r="CG319" s="36">
        <v>3</v>
      </c>
      <c r="CH319" s="36"/>
      <c r="CI319" s="36"/>
      <c r="CK319" s="4" t="b">
        <f t="shared" si="4"/>
        <v>0</v>
      </c>
    </row>
    <row r="320" spans="1:89" ht="60" customHeight="1">
      <c r="A320" s="32" t="s">
        <v>109</v>
      </c>
      <c r="B320" s="32" t="s">
        <v>372</v>
      </c>
      <c r="C320" s="32" t="s">
        <v>472</v>
      </c>
      <c r="D320" s="34"/>
      <c r="E320" s="34">
        <v>100</v>
      </c>
      <c r="F320" s="34">
        <v>100</v>
      </c>
      <c r="G320" s="34">
        <v>100</v>
      </c>
      <c r="H320" s="34">
        <v>100</v>
      </c>
      <c r="I320" s="34">
        <v>100</v>
      </c>
      <c r="J320" s="34">
        <v>100</v>
      </c>
      <c r="K320" s="34">
        <v>100</v>
      </c>
      <c r="L320" s="34">
        <v>100</v>
      </c>
      <c r="M320" s="34">
        <v>100</v>
      </c>
      <c r="N320" s="34">
        <v>100</v>
      </c>
      <c r="O320" s="34">
        <v>75</v>
      </c>
      <c r="P320" s="34"/>
      <c r="Q320" s="34">
        <v>100</v>
      </c>
      <c r="R320" s="34">
        <v>25</v>
      </c>
      <c r="S320" s="34">
        <v>100</v>
      </c>
      <c r="T320" s="34">
        <v>100</v>
      </c>
      <c r="U320" s="34">
        <v>100</v>
      </c>
      <c r="V320" s="34">
        <v>100</v>
      </c>
      <c r="W320" s="34">
        <v>100</v>
      </c>
      <c r="X320" s="34">
        <v>100</v>
      </c>
      <c r="Y320" s="34">
        <v>100</v>
      </c>
      <c r="Z320" s="34">
        <v>100</v>
      </c>
      <c r="AA320" s="34">
        <v>75</v>
      </c>
      <c r="AB320" s="36"/>
      <c r="AC320" s="36">
        <v>98</v>
      </c>
      <c r="AD320" s="36">
        <v>17</v>
      </c>
      <c r="AE320" s="36">
        <v>36</v>
      </c>
      <c r="AF320" s="36">
        <v>30</v>
      </c>
      <c r="AG320" s="36">
        <v>43</v>
      </c>
      <c r="AH320" s="36">
        <v>42</v>
      </c>
      <c r="AI320" s="36">
        <v>44</v>
      </c>
      <c r="AJ320" s="36">
        <v>34</v>
      </c>
      <c r="AK320" s="36">
        <v>35</v>
      </c>
      <c r="AL320" s="36">
        <v>37</v>
      </c>
      <c r="AM320" s="36">
        <v>33</v>
      </c>
      <c r="AN320" s="36"/>
      <c r="AO320" s="36">
        <v>110</v>
      </c>
      <c r="AP320" s="36">
        <v>22</v>
      </c>
      <c r="AQ320" s="36">
        <v>47</v>
      </c>
      <c r="AR320" s="36">
        <v>37</v>
      </c>
      <c r="AS320" s="36">
        <v>44</v>
      </c>
      <c r="AT320" s="36">
        <v>42</v>
      </c>
      <c r="AU320" s="36">
        <v>44</v>
      </c>
      <c r="AV320" s="36">
        <v>35</v>
      </c>
      <c r="AW320" s="36">
        <v>43</v>
      </c>
      <c r="AX320" s="36">
        <v>42</v>
      </c>
      <c r="AY320" s="36">
        <v>25</v>
      </c>
      <c r="AZ320" s="36"/>
      <c r="BA320" s="36">
        <v>3</v>
      </c>
      <c r="BB320" s="36">
        <v>8</v>
      </c>
      <c r="BC320" s="36">
        <v>8</v>
      </c>
      <c r="BD320" s="36">
        <v>21</v>
      </c>
      <c r="BE320" s="36">
        <v>12</v>
      </c>
      <c r="BF320" s="36">
        <v>14</v>
      </c>
      <c r="BG320" s="36">
        <v>7</v>
      </c>
      <c r="BH320" s="36">
        <v>11</v>
      </c>
      <c r="BI320" s="36">
        <v>10</v>
      </c>
      <c r="BJ320" s="36">
        <v>2</v>
      </c>
      <c r="BK320" s="36">
        <v>4</v>
      </c>
      <c r="BL320" s="36"/>
      <c r="BM320" s="36">
        <v>4</v>
      </c>
      <c r="BN320" s="36">
        <v>6</v>
      </c>
      <c r="BO320" s="36">
        <v>3</v>
      </c>
      <c r="BP320" s="36"/>
      <c r="BQ320" s="36">
        <v>1</v>
      </c>
      <c r="BR320" s="36">
        <v>3</v>
      </c>
      <c r="BS320" s="36">
        <v>3</v>
      </c>
      <c r="BT320" s="36">
        <v>4</v>
      </c>
      <c r="BU320" s="36">
        <v>8</v>
      </c>
      <c r="BV320" s="36">
        <v>3</v>
      </c>
      <c r="BW320" s="36">
        <v>5</v>
      </c>
      <c r="BX320" s="36"/>
      <c r="BY320" s="36"/>
      <c r="BZ320" s="36"/>
      <c r="CA320" s="36"/>
      <c r="CB320" s="36">
        <v>42</v>
      </c>
      <c r="CC320" s="36">
        <v>1</v>
      </c>
      <c r="CD320" s="36"/>
      <c r="CE320" s="36"/>
      <c r="CF320" s="36"/>
      <c r="CG320" s="36">
        <v>1</v>
      </c>
      <c r="CH320" s="36">
        <v>1</v>
      </c>
      <c r="CI320" s="36"/>
      <c r="CK320" s="4" t="b">
        <f t="shared" si="4"/>
        <v>0</v>
      </c>
    </row>
    <row r="321" spans="1:89" ht="60" customHeight="1">
      <c r="A321" s="32" t="s">
        <v>109</v>
      </c>
      <c r="B321" s="32" t="s">
        <v>251</v>
      </c>
      <c r="C321" s="32" t="s">
        <v>473</v>
      </c>
      <c r="D321" s="34"/>
      <c r="E321" s="34"/>
      <c r="F321" s="34">
        <v>100</v>
      </c>
      <c r="G321" s="34">
        <v>100</v>
      </c>
      <c r="H321" s="34">
        <v>100</v>
      </c>
      <c r="I321" s="34">
        <v>100</v>
      </c>
      <c r="J321" s="34">
        <v>100</v>
      </c>
      <c r="K321" s="34">
        <v>100</v>
      </c>
      <c r="L321" s="34">
        <v>100</v>
      </c>
      <c r="M321" s="34">
        <v>100</v>
      </c>
      <c r="N321" s="34">
        <v>100</v>
      </c>
      <c r="O321" s="34"/>
      <c r="P321" s="34"/>
      <c r="Q321" s="34"/>
      <c r="R321" s="34">
        <v>100</v>
      </c>
      <c r="S321" s="34">
        <v>100</v>
      </c>
      <c r="T321" s="34">
        <v>100</v>
      </c>
      <c r="U321" s="34">
        <v>100</v>
      </c>
      <c r="V321" s="34">
        <v>100</v>
      </c>
      <c r="W321" s="34">
        <v>100</v>
      </c>
      <c r="X321" s="34">
        <v>100</v>
      </c>
      <c r="Y321" s="34">
        <v>100</v>
      </c>
      <c r="Z321" s="34">
        <v>100</v>
      </c>
      <c r="AA321" s="34"/>
      <c r="AB321" s="36"/>
      <c r="AC321" s="36"/>
      <c r="AD321" s="36">
        <v>15</v>
      </c>
      <c r="AE321" s="36">
        <v>16</v>
      </c>
      <c r="AF321" s="36">
        <v>16</v>
      </c>
      <c r="AG321" s="36">
        <v>16</v>
      </c>
      <c r="AH321" s="36">
        <v>16</v>
      </c>
      <c r="AI321" s="36">
        <v>15</v>
      </c>
      <c r="AJ321" s="36">
        <v>14</v>
      </c>
      <c r="AK321" s="36">
        <v>16</v>
      </c>
      <c r="AL321" s="36">
        <v>16</v>
      </c>
      <c r="AM321" s="36"/>
      <c r="AN321" s="36"/>
      <c r="AO321" s="36"/>
      <c r="AP321" s="36">
        <v>15</v>
      </c>
      <c r="AQ321" s="36">
        <v>16</v>
      </c>
      <c r="AR321" s="36">
        <v>16</v>
      </c>
      <c r="AS321" s="36">
        <v>16</v>
      </c>
      <c r="AT321" s="36">
        <v>16</v>
      </c>
      <c r="AU321" s="36">
        <v>15</v>
      </c>
      <c r="AV321" s="36">
        <v>14</v>
      </c>
      <c r="AW321" s="36">
        <v>16</v>
      </c>
      <c r="AX321" s="36">
        <v>16</v>
      </c>
      <c r="AY321" s="36"/>
      <c r="AZ321" s="36"/>
      <c r="BA321" s="36"/>
      <c r="BB321" s="36">
        <v>16</v>
      </c>
      <c r="BC321" s="36">
        <v>6</v>
      </c>
      <c r="BD321" s="36">
        <v>21</v>
      </c>
      <c r="BE321" s="36">
        <v>19</v>
      </c>
      <c r="BF321" s="36">
        <v>16</v>
      </c>
      <c r="BG321" s="36">
        <v>5</v>
      </c>
      <c r="BH321" s="36">
        <v>4</v>
      </c>
      <c r="BI321" s="36">
        <v>6</v>
      </c>
      <c r="BJ321" s="36">
        <v>4</v>
      </c>
      <c r="BK321" s="36"/>
      <c r="BL321" s="36"/>
      <c r="BM321" s="36"/>
      <c r="BN321" s="36">
        <v>4</v>
      </c>
      <c r="BO321" s="36">
        <v>4</v>
      </c>
      <c r="BP321" s="36">
        <v>6</v>
      </c>
      <c r="BQ321" s="36">
        <v>5</v>
      </c>
      <c r="BR321" s="36">
        <v>3</v>
      </c>
      <c r="BS321" s="36">
        <v>2</v>
      </c>
      <c r="BT321" s="36">
        <v>3</v>
      </c>
      <c r="BU321" s="36">
        <v>6</v>
      </c>
      <c r="BV321" s="36">
        <v>2</v>
      </c>
      <c r="BW321" s="36"/>
      <c r="BX321" s="36"/>
      <c r="BY321" s="36"/>
      <c r="BZ321" s="36">
        <v>16</v>
      </c>
      <c r="CA321" s="36"/>
      <c r="CB321" s="36"/>
      <c r="CC321" s="36"/>
      <c r="CD321" s="36">
        <v>1</v>
      </c>
      <c r="CE321" s="36">
        <v>1</v>
      </c>
      <c r="CF321" s="36">
        <v>1</v>
      </c>
      <c r="CG321" s="36"/>
      <c r="CH321" s="36"/>
      <c r="CI321" s="36"/>
      <c r="CK321" s="4" t="b">
        <f t="shared" si="4"/>
        <v>0</v>
      </c>
    </row>
    <row r="322" spans="1:89" ht="75" customHeight="1">
      <c r="A322" s="32" t="s">
        <v>144</v>
      </c>
      <c r="B322" s="32" t="s">
        <v>167</v>
      </c>
      <c r="C322" s="32" t="s">
        <v>474</v>
      </c>
      <c r="D322" s="34"/>
      <c r="E322" s="34">
        <v>50</v>
      </c>
      <c r="F322" s="34">
        <v>100</v>
      </c>
      <c r="G322" s="34">
        <v>100</v>
      </c>
      <c r="H322" s="34">
        <v>100</v>
      </c>
      <c r="I322" s="34">
        <v>100</v>
      </c>
      <c r="J322" s="34">
        <v>100</v>
      </c>
      <c r="K322" s="34">
        <v>88.89</v>
      </c>
      <c r="L322" s="34">
        <v>100</v>
      </c>
      <c r="M322" s="34">
        <v>100</v>
      </c>
      <c r="N322" s="34">
        <v>100</v>
      </c>
      <c r="O322" s="34">
        <v>100</v>
      </c>
      <c r="P322" s="34"/>
      <c r="Q322" s="34"/>
      <c r="R322" s="34"/>
      <c r="S322" s="34"/>
      <c r="T322" s="34">
        <v>100</v>
      </c>
      <c r="U322" s="34">
        <v>100</v>
      </c>
      <c r="V322" s="34">
        <v>100</v>
      </c>
      <c r="W322" s="34"/>
      <c r="X322" s="34"/>
      <c r="Y322" s="34">
        <v>50</v>
      </c>
      <c r="Z322" s="34">
        <v>50</v>
      </c>
      <c r="AA322" s="34">
        <v>100</v>
      </c>
      <c r="AB322" s="36"/>
      <c r="AC322" s="36">
        <v>31</v>
      </c>
      <c r="AD322" s="36">
        <v>33</v>
      </c>
      <c r="AE322" s="36">
        <v>48</v>
      </c>
      <c r="AF322" s="36">
        <v>38</v>
      </c>
      <c r="AG322" s="36">
        <v>55</v>
      </c>
      <c r="AH322" s="36">
        <v>64</v>
      </c>
      <c r="AI322" s="36">
        <v>54</v>
      </c>
      <c r="AJ322" s="36">
        <v>48</v>
      </c>
      <c r="AK322" s="36">
        <v>47</v>
      </c>
      <c r="AL322" s="36">
        <v>44</v>
      </c>
      <c r="AM322" s="36">
        <v>55</v>
      </c>
      <c r="AN322" s="36"/>
      <c r="AO322" s="36">
        <v>36</v>
      </c>
      <c r="AP322" s="36">
        <v>30</v>
      </c>
      <c r="AQ322" s="36">
        <v>43</v>
      </c>
      <c r="AR322" s="36">
        <v>36</v>
      </c>
      <c r="AS322" s="36">
        <v>55</v>
      </c>
      <c r="AT322" s="36">
        <v>36</v>
      </c>
      <c r="AU322" s="36">
        <v>49</v>
      </c>
      <c r="AV322" s="36">
        <v>61</v>
      </c>
      <c r="AW322" s="36">
        <v>46</v>
      </c>
      <c r="AX322" s="36">
        <v>61</v>
      </c>
      <c r="AY322" s="36">
        <v>60</v>
      </c>
      <c r="AZ322" s="36"/>
      <c r="BA322" s="36">
        <v>23</v>
      </c>
      <c r="BB322" s="36">
        <v>41</v>
      </c>
      <c r="BC322" s="36">
        <v>36</v>
      </c>
      <c r="BD322" s="36">
        <v>15</v>
      </c>
      <c r="BE322" s="36">
        <v>14</v>
      </c>
      <c r="BF322" s="36">
        <v>20</v>
      </c>
      <c r="BG322" s="36">
        <v>29</v>
      </c>
      <c r="BH322" s="36">
        <v>21</v>
      </c>
      <c r="BI322" s="36">
        <v>25</v>
      </c>
      <c r="BJ322" s="36">
        <v>37</v>
      </c>
      <c r="BK322" s="36">
        <v>30</v>
      </c>
      <c r="BL322" s="36"/>
      <c r="BM322" s="36">
        <v>4</v>
      </c>
      <c r="BN322" s="36">
        <v>1</v>
      </c>
      <c r="BO322" s="36"/>
      <c r="BP322" s="36">
        <v>8</v>
      </c>
      <c r="BQ322" s="36">
        <v>20</v>
      </c>
      <c r="BR322" s="36">
        <v>9</v>
      </c>
      <c r="BS322" s="36">
        <v>8</v>
      </c>
      <c r="BT322" s="36">
        <v>6</v>
      </c>
      <c r="BU322" s="36">
        <v>13</v>
      </c>
      <c r="BV322" s="36">
        <v>17</v>
      </c>
      <c r="BW322" s="36">
        <v>15</v>
      </c>
      <c r="BX322" s="36"/>
      <c r="BY322" s="36"/>
      <c r="BZ322" s="36"/>
      <c r="CA322" s="36"/>
      <c r="CB322" s="36"/>
      <c r="CC322" s="36">
        <v>3</v>
      </c>
      <c r="CD322" s="36">
        <v>2</v>
      </c>
      <c r="CE322" s="36">
        <v>70</v>
      </c>
      <c r="CF322" s="36"/>
      <c r="CG322" s="36">
        <v>1</v>
      </c>
      <c r="CH322" s="36">
        <v>1</v>
      </c>
      <c r="CI322" s="36">
        <v>2</v>
      </c>
      <c r="CK322" s="4" t="b">
        <f t="shared" si="4"/>
        <v>0</v>
      </c>
    </row>
    <row r="323" spans="1:89" ht="60" customHeight="1">
      <c r="A323" s="32" t="s">
        <v>87</v>
      </c>
      <c r="B323" s="32" t="s">
        <v>188</v>
      </c>
      <c r="C323" s="32" t="s">
        <v>475</v>
      </c>
      <c r="D323" s="34">
        <v>100</v>
      </c>
      <c r="E323" s="34">
        <v>95.65</v>
      </c>
      <c r="F323" s="34">
        <v>100</v>
      </c>
      <c r="G323" s="34">
        <v>100</v>
      </c>
      <c r="H323" s="34">
        <v>100</v>
      </c>
      <c r="I323" s="34"/>
      <c r="J323" s="34">
        <v>100</v>
      </c>
      <c r="K323" s="34">
        <v>100</v>
      </c>
      <c r="L323" s="34">
        <v>100</v>
      </c>
      <c r="M323" s="34">
        <v>100</v>
      </c>
      <c r="N323" s="34">
        <v>100</v>
      </c>
      <c r="O323" s="34">
        <v>100</v>
      </c>
      <c r="P323" s="34">
        <v>75</v>
      </c>
      <c r="Q323" s="34">
        <v>100</v>
      </c>
      <c r="R323" s="34">
        <v>100</v>
      </c>
      <c r="S323" s="34">
        <v>50</v>
      </c>
      <c r="T323" s="34">
        <v>75</v>
      </c>
      <c r="U323" s="34"/>
      <c r="V323" s="34">
        <v>50</v>
      </c>
      <c r="W323" s="34"/>
      <c r="X323" s="34">
        <v>25</v>
      </c>
      <c r="Y323" s="34"/>
      <c r="Z323" s="34">
        <v>25</v>
      </c>
      <c r="AA323" s="34">
        <v>50</v>
      </c>
      <c r="AB323" s="36">
        <v>126</v>
      </c>
      <c r="AC323" s="36">
        <v>113</v>
      </c>
      <c r="AD323" s="36">
        <v>101</v>
      </c>
      <c r="AE323" s="36">
        <v>77</v>
      </c>
      <c r="AF323" s="36">
        <v>107</v>
      </c>
      <c r="AG323" s="36"/>
      <c r="AH323" s="36">
        <v>80</v>
      </c>
      <c r="AI323" s="36">
        <v>80</v>
      </c>
      <c r="AJ323" s="36">
        <v>61</v>
      </c>
      <c r="AK323" s="36">
        <v>44</v>
      </c>
      <c r="AL323" s="36">
        <v>59</v>
      </c>
      <c r="AM323" s="36">
        <v>60</v>
      </c>
      <c r="AN323" s="36">
        <v>123</v>
      </c>
      <c r="AO323" s="36">
        <v>110</v>
      </c>
      <c r="AP323" s="36">
        <v>101</v>
      </c>
      <c r="AQ323" s="36">
        <v>76</v>
      </c>
      <c r="AR323" s="36">
        <v>101</v>
      </c>
      <c r="AS323" s="36"/>
      <c r="AT323" s="36">
        <v>84</v>
      </c>
      <c r="AU323" s="36">
        <v>85</v>
      </c>
      <c r="AV323" s="36">
        <v>62</v>
      </c>
      <c r="AW323" s="36">
        <v>49</v>
      </c>
      <c r="AX323" s="36">
        <v>58</v>
      </c>
      <c r="AY323" s="36">
        <v>57</v>
      </c>
      <c r="AZ323" s="36">
        <v>27</v>
      </c>
      <c r="BA323" s="36">
        <v>15</v>
      </c>
      <c r="BB323" s="36">
        <v>13</v>
      </c>
      <c r="BC323" s="36">
        <v>17</v>
      </c>
      <c r="BD323" s="36">
        <v>17</v>
      </c>
      <c r="BE323" s="36"/>
      <c r="BF323" s="36">
        <v>10</v>
      </c>
      <c r="BG323" s="36">
        <v>20</v>
      </c>
      <c r="BH323" s="36">
        <v>18</v>
      </c>
      <c r="BI323" s="36">
        <v>24</v>
      </c>
      <c r="BJ323" s="36">
        <v>20</v>
      </c>
      <c r="BK323" s="36">
        <v>13</v>
      </c>
      <c r="BL323" s="36">
        <v>9</v>
      </c>
      <c r="BM323" s="36">
        <v>12</v>
      </c>
      <c r="BN323" s="36">
        <v>4</v>
      </c>
      <c r="BO323" s="36">
        <v>13</v>
      </c>
      <c r="BP323" s="36">
        <v>11</v>
      </c>
      <c r="BQ323" s="36"/>
      <c r="BR323" s="36">
        <v>16</v>
      </c>
      <c r="BS323" s="36">
        <v>18</v>
      </c>
      <c r="BT323" s="36">
        <v>13</v>
      </c>
      <c r="BU323" s="36">
        <v>14</v>
      </c>
      <c r="BV323" s="36">
        <v>13</v>
      </c>
      <c r="BW323" s="36">
        <v>11</v>
      </c>
      <c r="BX323" s="36">
        <v>5</v>
      </c>
      <c r="BY323" s="36">
        <v>3</v>
      </c>
      <c r="BZ323" s="36">
        <v>4</v>
      </c>
      <c r="CA323" s="36">
        <v>2</v>
      </c>
      <c r="CB323" s="36">
        <v>2</v>
      </c>
      <c r="CC323" s="36"/>
      <c r="CD323" s="36">
        <v>1</v>
      </c>
      <c r="CE323" s="36">
        <v>6</v>
      </c>
      <c r="CF323" s="36">
        <v>8</v>
      </c>
      <c r="CG323" s="36">
        <v>5</v>
      </c>
      <c r="CH323" s="36">
        <v>7</v>
      </c>
      <c r="CI323" s="36">
        <v>5</v>
      </c>
      <c r="CK323" s="4" t="b">
        <f t="shared" si="4"/>
        <v>1</v>
      </c>
    </row>
    <row r="324" spans="1:89" ht="60" customHeight="1">
      <c r="A324" s="32" t="s">
        <v>87</v>
      </c>
      <c r="B324" s="32" t="s">
        <v>160</v>
      </c>
      <c r="C324" s="32" t="s">
        <v>476</v>
      </c>
      <c r="D324" s="34"/>
      <c r="E324" s="34"/>
      <c r="F324" s="34"/>
      <c r="G324" s="34"/>
      <c r="H324" s="34"/>
      <c r="I324" s="34">
        <v>100</v>
      </c>
      <c r="J324" s="34"/>
      <c r="K324" s="34">
        <v>100</v>
      </c>
      <c r="L324" s="34">
        <v>100</v>
      </c>
      <c r="M324" s="34">
        <v>100</v>
      </c>
      <c r="N324" s="34">
        <v>100</v>
      </c>
      <c r="O324" s="34">
        <v>100</v>
      </c>
      <c r="P324" s="34"/>
      <c r="Q324" s="34"/>
      <c r="R324" s="34"/>
      <c r="S324" s="34"/>
      <c r="T324" s="34"/>
      <c r="U324" s="34"/>
      <c r="V324" s="34"/>
      <c r="W324" s="34"/>
      <c r="X324" s="34"/>
      <c r="Y324" s="34"/>
      <c r="Z324" s="34"/>
      <c r="AA324" s="34"/>
      <c r="AB324" s="36">
        <v>1</v>
      </c>
      <c r="AC324" s="36">
        <v>1</v>
      </c>
      <c r="AD324" s="36">
        <v>1</v>
      </c>
      <c r="AE324" s="36"/>
      <c r="AF324" s="36">
        <v>3</v>
      </c>
      <c r="AG324" s="36">
        <v>1</v>
      </c>
      <c r="AH324" s="36">
        <v>2</v>
      </c>
      <c r="AI324" s="36"/>
      <c r="AJ324" s="36"/>
      <c r="AK324" s="36">
        <v>2</v>
      </c>
      <c r="AL324" s="36">
        <v>1</v>
      </c>
      <c r="AM324" s="36">
        <v>2</v>
      </c>
      <c r="AN324" s="36">
        <v>1</v>
      </c>
      <c r="AO324" s="36"/>
      <c r="AP324" s="36">
        <v>1</v>
      </c>
      <c r="AQ324" s="36">
        <v>1</v>
      </c>
      <c r="AR324" s="36">
        <v>1</v>
      </c>
      <c r="AS324" s="36"/>
      <c r="AT324" s="36">
        <v>2</v>
      </c>
      <c r="AU324" s="36"/>
      <c r="AV324" s="36"/>
      <c r="AW324" s="36"/>
      <c r="AX324" s="36">
        <v>2</v>
      </c>
      <c r="AY324" s="36"/>
      <c r="AZ324" s="36">
        <v>7</v>
      </c>
      <c r="BA324" s="36">
        <v>6</v>
      </c>
      <c r="BB324" s="36">
        <v>4</v>
      </c>
      <c r="BC324" s="36">
        <v>3</v>
      </c>
      <c r="BD324" s="36">
        <v>3</v>
      </c>
      <c r="BE324" s="36">
        <v>9</v>
      </c>
      <c r="BF324" s="36">
        <v>3</v>
      </c>
      <c r="BG324" s="36">
        <v>10</v>
      </c>
      <c r="BH324" s="36">
        <v>4</v>
      </c>
      <c r="BI324" s="36"/>
      <c r="BJ324" s="36">
        <v>5</v>
      </c>
      <c r="BK324" s="36"/>
      <c r="BL324" s="36">
        <v>1</v>
      </c>
      <c r="BM324" s="36">
        <v>3</v>
      </c>
      <c r="BN324" s="36">
        <v>3</v>
      </c>
      <c r="BO324" s="36">
        <v>1</v>
      </c>
      <c r="BP324" s="36">
        <v>3</v>
      </c>
      <c r="BQ324" s="36"/>
      <c r="BR324" s="36">
        <v>3</v>
      </c>
      <c r="BS324" s="36"/>
      <c r="BT324" s="36"/>
      <c r="BU324" s="36"/>
      <c r="BV324" s="36">
        <v>1</v>
      </c>
      <c r="BW324" s="36"/>
      <c r="BX324" s="36">
        <v>77</v>
      </c>
      <c r="BY324" s="36"/>
      <c r="BZ324" s="36">
        <v>18</v>
      </c>
      <c r="CA324" s="36"/>
      <c r="CB324" s="36"/>
      <c r="CC324" s="36"/>
      <c r="CD324" s="36"/>
      <c r="CE324" s="36"/>
      <c r="CF324" s="36"/>
      <c r="CG324" s="36"/>
      <c r="CH324" s="36">
        <v>1</v>
      </c>
      <c r="CI324" s="36"/>
      <c r="CK324" s="4" t="b">
        <f t="shared" ref="CK324:CK387" si="5">ISNUMBER(D324)</f>
        <v>0</v>
      </c>
    </row>
    <row r="325" spans="1:89" ht="90" customHeight="1">
      <c r="A325" s="32" t="s">
        <v>87</v>
      </c>
      <c r="B325" s="32" t="s">
        <v>106</v>
      </c>
      <c r="C325" s="32" t="s">
        <v>477</v>
      </c>
      <c r="D325" s="34"/>
      <c r="E325" s="34">
        <v>100</v>
      </c>
      <c r="F325" s="34">
        <v>100</v>
      </c>
      <c r="G325" s="34"/>
      <c r="H325" s="34">
        <v>100</v>
      </c>
      <c r="I325" s="34">
        <v>100</v>
      </c>
      <c r="J325" s="34"/>
      <c r="K325" s="34"/>
      <c r="L325" s="34">
        <v>100</v>
      </c>
      <c r="M325" s="34"/>
      <c r="N325" s="34"/>
      <c r="O325" s="34"/>
      <c r="P325" s="34"/>
      <c r="Q325" s="34"/>
      <c r="R325" s="34"/>
      <c r="S325" s="34"/>
      <c r="T325" s="34"/>
      <c r="U325" s="34"/>
      <c r="V325" s="34"/>
      <c r="W325" s="34"/>
      <c r="X325" s="34"/>
      <c r="Y325" s="34"/>
      <c r="Z325" s="34"/>
      <c r="AA325" s="34"/>
      <c r="AB325" s="36"/>
      <c r="AC325" s="36">
        <v>15</v>
      </c>
      <c r="AD325" s="36">
        <v>10</v>
      </c>
      <c r="AE325" s="36">
        <v>20</v>
      </c>
      <c r="AF325" s="36">
        <v>2</v>
      </c>
      <c r="AG325" s="36">
        <v>4</v>
      </c>
      <c r="AH325" s="36"/>
      <c r="AI325" s="36">
        <v>9</v>
      </c>
      <c r="AJ325" s="36">
        <v>3</v>
      </c>
      <c r="AK325" s="36">
        <v>5</v>
      </c>
      <c r="AL325" s="36">
        <v>9</v>
      </c>
      <c r="AM325" s="36">
        <v>7</v>
      </c>
      <c r="AN325" s="36"/>
      <c r="AO325" s="36">
        <v>8</v>
      </c>
      <c r="AP325" s="36">
        <v>5</v>
      </c>
      <c r="AQ325" s="36">
        <v>10</v>
      </c>
      <c r="AR325" s="36">
        <v>12</v>
      </c>
      <c r="AS325" s="36">
        <v>2</v>
      </c>
      <c r="AT325" s="36"/>
      <c r="AU325" s="36">
        <v>4</v>
      </c>
      <c r="AV325" s="36">
        <v>7</v>
      </c>
      <c r="AW325" s="36">
        <v>9</v>
      </c>
      <c r="AX325" s="36">
        <v>5</v>
      </c>
      <c r="AY325" s="36">
        <v>5</v>
      </c>
      <c r="AZ325" s="36"/>
      <c r="BA325" s="36">
        <v>7</v>
      </c>
      <c r="BB325" s="36">
        <v>18</v>
      </c>
      <c r="BC325" s="36">
        <v>18</v>
      </c>
      <c r="BD325" s="36">
        <v>11</v>
      </c>
      <c r="BE325" s="36">
        <v>12</v>
      </c>
      <c r="BF325" s="36"/>
      <c r="BG325" s="36">
        <v>10</v>
      </c>
      <c r="BH325" s="36">
        <v>16</v>
      </c>
      <c r="BI325" s="36">
        <v>12</v>
      </c>
      <c r="BJ325" s="36">
        <v>20</v>
      </c>
      <c r="BK325" s="36">
        <v>11</v>
      </c>
      <c r="BL325" s="36"/>
      <c r="BM325" s="36">
        <v>20</v>
      </c>
      <c r="BN325" s="36">
        <v>28</v>
      </c>
      <c r="BO325" s="36">
        <v>32</v>
      </c>
      <c r="BP325" s="36">
        <v>22</v>
      </c>
      <c r="BQ325" s="36">
        <v>56</v>
      </c>
      <c r="BR325" s="36"/>
      <c r="BS325" s="36">
        <v>55</v>
      </c>
      <c r="BT325" s="36">
        <v>30</v>
      </c>
      <c r="BU325" s="36">
        <v>59</v>
      </c>
      <c r="BV325" s="36"/>
      <c r="BW325" s="36"/>
      <c r="BX325" s="36"/>
      <c r="BY325" s="36">
        <v>4</v>
      </c>
      <c r="BZ325" s="36">
        <v>16</v>
      </c>
      <c r="CA325" s="36">
        <v>18</v>
      </c>
      <c r="CB325" s="36">
        <v>11</v>
      </c>
      <c r="CC325" s="36">
        <v>22</v>
      </c>
      <c r="CD325" s="36"/>
      <c r="CE325" s="36">
        <v>18</v>
      </c>
      <c r="CF325" s="36">
        <v>18</v>
      </c>
      <c r="CG325" s="36">
        <v>41</v>
      </c>
      <c r="CH325" s="36">
        <v>33</v>
      </c>
      <c r="CI325" s="36"/>
      <c r="CK325" s="4" t="b">
        <f t="shared" si="5"/>
        <v>0</v>
      </c>
    </row>
    <row r="326" spans="1:89" ht="90" customHeight="1">
      <c r="A326" s="32" t="s">
        <v>87</v>
      </c>
      <c r="B326" s="32" t="s">
        <v>232</v>
      </c>
      <c r="C326" s="32" t="s">
        <v>478</v>
      </c>
      <c r="D326" s="34"/>
      <c r="E326" s="34"/>
      <c r="F326" s="34"/>
      <c r="G326" s="34"/>
      <c r="H326" s="34"/>
      <c r="I326" s="34"/>
      <c r="J326" s="34"/>
      <c r="K326" s="34"/>
      <c r="L326" s="34"/>
      <c r="M326" s="34"/>
      <c r="N326" s="34"/>
      <c r="O326" s="34"/>
      <c r="P326" s="34"/>
      <c r="Q326" s="34"/>
      <c r="R326" s="34"/>
      <c r="S326" s="34"/>
      <c r="T326" s="34"/>
      <c r="U326" s="34"/>
      <c r="V326" s="34"/>
      <c r="W326" s="34"/>
      <c r="X326" s="34"/>
      <c r="Y326" s="34"/>
      <c r="Z326" s="34"/>
      <c r="AA326" s="34"/>
      <c r="AB326" s="36"/>
      <c r="AC326" s="36"/>
      <c r="AD326" s="36"/>
      <c r="AE326" s="36"/>
      <c r="AF326" s="36">
        <v>2</v>
      </c>
      <c r="AG326" s="36"/>
      <c r="AH326" s="36"/>
      <c r="AI326" s="36"/>
      <c r="AJ326" s="36">
        <v>2</v>
      </c>
      <c r="AK326" s="36"/>
      <c r="AL326" s="36"/>
      <c r="AM326" s="36"/>
      <c r="AN326" s="36"/>
      <c r="AO326" s="36"/>
      <c r="AP326" s="36"/>
      <c r="AQ326" s="36"/>
      <c r="AR326" s="36">
        <v>2</v>
      </c>
      <c r="AS326" s="36"/>
      <c r="AT326" s="36">
        <v>1</v>
      </c>
      <c r="AU326" s="36">
        <v>1</v>
      </c>
      <c r="AV326" s="36"/>
      <c r="AW326" s="36">
        <v>2</v>
      </c>
      <c r="AX326" s="36"/>
      <c r="AY326" s="36"/>
      <c r="AZ326" s="36"/>
      <c r="BA326" s="36"/>
      <c r="BB326" s="36">
        <v>1</v>
      </c>
      <c r="BC326" s="36">
        <v>2</v>
      </c>
      <c r="BD326" s="36">
        <v>2</v>
      </c>
      <c r="BE326" s="36"/>
      <c r="BF326" s="36">
        <v>2</v>
      </c>
      <c r="BG326" s="36"/>
      <c r="BH326" s="36">
        <v>3</v>
      </c>
      <c r="BI326" s="36">
        <v>4</v>
      </c>
      <c r="BJ326" s="36"/>
      <c r="BK326" s="36"/>
      <c r="BL326" s="36"/>
      <c r="BM326" s="36"/>
      <c r="BN326" s="36">
        <v>2</v>
      </c>
      <c r="BO326" s="36"/>
      <c r="BP326" s="36"/>
      <c r="BQ326" s="36"/>
      <c r="BR326" s="36">
        <v>3</v>
      </c>
      <c r="BS326" s="36"/>
      <c r="BT326" s="36">
        <v>2</v>
      </c>
      <c r="BU326" s="36">
        <v>2</v>
      </c>
      <c r="BV326" s="36"/>
      <c r="BW326" s="36"/>
      <c r="BX326" s="36"/>
      <c r="BY326" s="36"/>
      <c r="BZ326" s="36">
        <v>1</v>
      </c>
      <c r="CA326" s="36">
        <v>2</v>
      </c>
      <c r="CB326" s="36">
        <v>4</v>
      </c>
      <c r="CC326" s="36"/>
      <c r="CD326" s="36"/>
      <c r="CE326" s="36"/>
      <c r="CF326" s="36">
        <v>1</v>
      </c>
      <c r="CG326" s="36">
        <v>3</v>
      </c>
      <c r="CH326" s="36"/>
      <c r="CI326" s="36"/>
      <c r="CK326" s="4" t="b">
        <f t="shared" si="5"/>
        <v>0</v>
      </c>
    </row>
    <row r="327" spans="1:89" ht="60" customHeight="1">
      <c r="A327" s="32" t="s">
        <v>87</v>
      </c>
      <c r="B327" s="32" t="s">
        <v>106</v>
      </c>
      <c r="C327" s="32" t="s">
        <v>479</v>
      </c>
      <c r="D327" s="34"/>
      <c r="E327" s="34"/>
      <c r="F327" s="34"/>
      <c r="G327" s="34"/>
      <c r="H327" s="34"/>
      <c r="I327" s="34"/>
      <c r="J327" s="34"/>
      <c r="K327" s="34"/>
      <c r="L327" s="34"/>
      <c r="M327" s="34"/>
      <c r="N327" s="34"/>
      <c r="O327" s="34"/>
      <c r="P327" s="34"/>
      <c r="Q327" s="34"/>
      <c r="R327" s="34"/>
      <c r="S327" s="34"/>
      <c r="T327" s="34"/>
      <c r="U327" s="34"/>
      <c r="V327" s="34"/>
      <c r="W327" s="34"/>
      <c r="X327" s="34"/>
      <c r="Y327" s="34"/>
      <c r="Z327" s="34"/>
      <c r="AA327" s="34"/>
      <c r="AB327" s="36">
        <v>2</v>
      </c>
      <c r="AC327" s="36"/>
      <c r="AD327" s="36">
        <v>2</v>
      </c>
      <c r="AE327" s="36">
        <v>1</v>
      </c>
      <c r="AF327" s="36">
        <v>2</v>
      </c>
      <c r="AG327" s="36">
        <v>2</v>
      </c>
      <c r="AH327" s="36"/>
      <c r="AI327" s="36"/>
      <c r="AJ327" s="36"/>
      <c r="AK327" s="36"/>
      <c r="AL327" s="36"/>
      <c r="AM327" s="36">
        <v>2</v>
      </c>
      <c r="AN327" s="36"/>
      <c r="AO327" s="36"/>
      <c r="AP327" s="36">
        <v>2</v>
      </c>
      <c r="AQ327" s="36">
        <v>1</v>
      </c>
      <c r="AR327" s="36">
        <v>2</v>
      </c>
      <c r="AS327" s="36">
        <v>3</v>
      </c>
      <c r="AT327" s="36">
        <v>3</v>
      </c>
      <c r="AU327" s="36"/>
      <c r="AV327" s="36"/>
      <c r="AW327" s="36"/>
      <c r="AX327" s="36"/>
      <c r="AY327" s="36"/>
      <c r="AZ327" s="36">
        <v>2</v>
      </c>
      <c r="BA327" s="36"/>
      <c r="BB327" s="36">
        <v>1</v>
      </c>
      <c r="BC327" s="36">
        <v>2</v>
      </c>
      <c r="BD327" s="36">
        <v>3</v>
      </c>
      <c r="BE327" s="36">
        <v>1</v>
      </c>
      <c r="BF327" s="36">
        <v>1</v>
      </c>
      <c r="BG327" s="36"/>
      <c r="BH327" s="36">
        <v>2</v>
      </c>
      <c r="BI327" s="36">
        <v>1</v>
      </c>
      <c r="BJ327" s="36">
        <v>10</v>
      </c>
      <c r="BK327" s="36">
        <v>2</v>
      </c>
      <c r="BL327" s="36">
        <v>4</v>
      </c>
      <c r="BM327" s="36"/>
      <c r="BN327" s="36">
        <v>4</v>
      </c>
      <c r="BO327" s="36">
        <v>4</v>
      </c>
      <c r="BP327" s="36">
        <v>6</v>
      </c>
      <c r="BQ327" s="36">
        <v>1</v>
      </c>
      <c r="BR327" s="36">
        <v>3</v>
      </c>
      <c r="BS327" s="36"/>
      <c r="BT327" s="36">
        <v>3</v>
      </c>
      <c r="BU327" s="36">
        <v>3</v>
      </c>
      <c r="BV327" s="36">
        <v>5</v>
      </c>
      <c r="BW327" s="36">
        <v>2</v>
      </c>
      <c r="BX327" s="36">
        <v>2</v>
      </c>
      <c r="BY327" s="36"/>
      <c r="BZ327" s="36">
        <v>3</v>
      </c>
      <c r="CA327" s="36">
        <v>3</v>
      </c>
      <c r="CB327" s="36">
        <v>5</v>
      </c>
      <c r="CC327" s="36">
        <v>2</v>
      </c>
      <c r="CD327" s="36">
        <v>1</v>
      </c>
      <c r="CE327" s="36"/>
      <c r="CF327" s="36">
        <v>2</v>
      </c>
      <c r="CG327" s="36">
        <v>1</v>
      </c>
      <c r="CH327" s="36">
        <v>2</v>
      </c>
      <c r="CI327" s="36">
        <v>1</v>
      </c>
      <c r="CK327" s="4" t="b">
        <f t="shared" si="5"/>
        <v>0</v>
      </c>
    </row>
    <row r="328" spans="1:89" ht="60" customHeight="1">
      <c r="A328" s="32" t="s">
        <v>87</v>
      </c>
      <c r="B328" s="32" t="s">
        <v>106</v>
      </c>
      <c r="C328" s="32" t="s">
        <v>480</v>
      </c>
      <c r="D328" s="34"/>
      <c r="E328" s="34"/>
      <c r="F328" s="34"/>
      <c r="G328" s="34"/>
      <c r="H328" s="34"/>
      <c r="I328" s="34"/>
      <c r="J328" s="34">
        <v>100</v>
      </c>
      <c r="K328" s="34">
        <v>100</v>
      </c>
      <c r="L328" s="34"/>
      <c r="M328" s="34">
        <v>100</v>
      </c>
      <c r="N328" s="34"/>
      <c r="O328" s="34">
        <v>100</v>
      </c>
      <c r="P328" s="34"/>
      <c r="Q328" s="34"/>
      <c r="R328" s="34"/>
      <c r="S328" s="34"/>
      <c r="T328" s="34"/>
      <c r="U328" s="34"/>
      <c r="V328" s="34"/>
      <c r="W328" s="34">
        <v>100</v>
      </c>
      <c r="X328" s="34"/>
      <c r="Y328" s="34"/>
      <c r="Z328" s="34"/>
      <c r="AA328" s="34">
        <v>100</v>
      </c>
      <c r="AB328" s="36"/>
      <c r="AC328" s="36">
        <v>28</v>
      </c>
      <c r="AD328" s="36"/>
      <c r="AE328" s="36"/>
      <c r="AF328" s="36"/>
      <c r="AG328" s="36"/>
      <c r="AH328" s="36">
        <v>15</v>
      </c>
      <c r="AI328" s="36">
        <v>12</v>
      </c>
      <c r="AJ328" s="36"/>
      <c r="AK328" s="36">
        <v>12</v>
      </c>
      <c r="AL328" s="36"/>
      <c r="AM328" s="36">
        <v>14</v>
      </c>
      <c r="AN328" s="36"/>
      <c r="AO328" s="36">
        <v>24</v>
      </c>
      <c r="AP328" s="36"/>
      <c r="AQ328" s="36"/>
      <c r="AR328" s="36"/>
      <c r="AS328" s="36"/>
      <c r="AT328" s="36">
        <v>14</v>
      </c>
      <c r="AU328" s="36">
        <v>12</v>
      </c>
      <c r="AV328" s="36"/>
      <c r="AW328" s="36">
        <v>12</v>
      </c>
      <c r="AX328" s="36"/>
      <c r="AY328" s="36">
        <v>12</v>
      </c>
      <c r="AZ328" s="36"/>
      <c r="BA328" s="36"/>
      <c r="BB328" s="36"/>
      <c r="BC328" s="36"/>
      <c r="BD328" s="36"/>
      <c r="BE328" s="36"/>
      <c r="BF328" s="36">
        <v>5</v>
      </c>
      <c r="BG328" s="36">
        <v>2</v>
      </c>
      <c r="BH328" s="36"/>
      <c r="BI328" s="36">
        <v>2</v>
      </c>
      <c r="BJ328" s="36"/>
      <c r="BK328" s="36">
        <v>6</v>
      </c>
      <c r="BL328" s="36"/>
      <c r="BM328" s="36">
        <v>4</v>
      </c>
      <c r="BN328" s="36"/>
      <c r="BO328" s="36"/>
      <c r="BP328" s="36"/>
      <c r="BQ328" s="36"/>
      <c r="BR328" s="36"/>
      <c r="BS328" s="36"/>
      <c r="BT328" s="36"/>
      <c r="BU328" s="36">
        <v>5</v>
      </c>
      <c r="BV328" s="36"/>
      <c r="BW328" s="36">
        <v>4</v>
      </c>
      <c r="BX328" s="36"/>
      <c r="BY328" s="36">
        <v>3</v>
      </c>
      <c r="BZ328" s="36"/>
      <c r="CA328" s="36"/>
      <c r="CB328" s="36"/>
      <c r="CC328" s="36"/>
      <c r="CD328" s="36"/>
      <c r="CE328" s="36"/>
      <c r="CF328" s="36"/>
      <c r="CG328" s="36">
        <v>5</v>
      </c>
      <c r="CH328" s="36"/>
      <c r="CI328" s="36">
        <v>2</v>
      </c>
      <c r="CK328" s="4" t="b">
        <f t="shared" si="5"/>
        <v>0</v>
      </c>
    </row>
    <row r="329" spans="1:89" ht="60" customHeight="1">
      <c r="A329" s="32" t="s">
        <v>87</v>
      </c>
      <c r="B329" s="32" t="s">
        <v>104</v>
      </c>
      <c r="C329" s="32" t="s">
        <v>481</v>
      </c>
      <c r="D329" s="34"/>
      <c r="E329" s="34"/>
      <c r="F329" s="34"/>
      <c r="G329" s="34"/>
      <c r="H329" s="34"/>
      <c r="I329" s="34"/>
      <c r="J329" s="34"/>
      <c r="K329" s="34"/>
      <c r="L329" s="34"/>
      <c r="M329" s="34"/>
      <c r="N329" s="34"/>
      <c r="O329" s="34"/>
      <c r="P329" s="34"/>
      <c r="Q329" s="34"/>
      <c r="R329" s="34"/>
      <c r="S329" s="34"/>
      <c r="T329" s="34"/>
      <c r="U329" s="34"/>
      <c r="V329" s="34"/>
      <c r="W329" s="34"/>
      <c r="X329" s="34"/>
      <c r="Y329" s="34"/>
      <c r="Z329" s="34"/>
      <c r="AA329" s="34"/>
      <c r="AB329" s="36"/>
      <c r="AC329" s="36"/>
      <c r="AD329" s="36"/>
      <c r="AE329" s="36"/>
      <c r="AF329" s="36"/>
      <c r="AG329" s="36"/>
      <c r="AH329" s="36"/>
      <c r="AI329" s="36"/>
      <c r="AJ329" s="36"/>
      <c r="AK329" s="36"/>
      <c r="AL329" s="36"/>
      <c r="AM329" s="36"/>
      <c r="AN329" s="36"/>
      <c r="AO329" s="36"/>
      <c r="AP329" s="36"/>
      <c r="AQ329" s="36"/>
      <c r="AR329" s="36"/>
      <c r="AS329" s="36"/>
      <c r="AT329" s="36"/>
      <c r="AU329" s="36"/>
      <c r="AV329" s="36"/>
      <c r="AW329" s="36"/>
      <c r="AX329" s="36"/>
      <c r="AY329" s="36"/>
      <c r="AZ329" s="36">
        <v>4</v>
      </c>
      <c r="BA329" s="36"/>
      <c r="BB329" s="36">
        <v>3</v>
      </c>
      <c r="BC329" s="36">
        <v>8</v>
      </c>
      <c r="BD329" s="36">
        <v>1</v>
      </c>
      <c r="BE329" s="36">
        <v>3</v>
      </c>
      <c r="BF329" s="36"/>
      <c r="BG329" s="36">
        <v>7</v>
      </c>
      <c r="BH329" s="36">
        <v>6</v>
      </c>
      <c r="BI329" s="36">
        <v>4</v>
      </c>
      <c r="BJ329" s="36">
        <v>7</v>
      </c>
      <c r="BK329" s="36"/>
      <c r="BL329" s="36">
        <v>2</v>
      </c>
      <c r="BM329" s="36"/>
      <c r="BN329" s="36">
        <v>3</v>
      </c>
      <c r="BO329" s="36">
        <v>5</v>
      </c>
      <c r="BP329" s="36">
        <v>4</v>
      </c>
      <c r="BQ329" s="36">
        <v>2</v>
      </c>
      <c r="BR329" s="36"/>
      <c r="BS329" s="36">
        <v>4</v>
      </c>
      <c r="BT329" s="36">
        <v>3</v>
      </c>
      <c r="BU329" s="36">
        <v>3</v>
      </c>
      <c r="BV329" s="36">
        <v>6</v>
      </c>
      <c r="BW329" s="36"/>
      <c r="BX329" s="36">
        <v>3</v>
      </c>
      <c r="BY329" s="36"/>
      <c r="BZ329" s="36">
        <v>2</v>
      </c>
      <c r="CA329" s="36">
        <v>1</v>
      </c>
      <c r="CB329" s="36">
        <v>1</v>
      </c>
      <c r="CC329" s="36">
        <v>2</v>
      </c>
      <c r="CD329" s="36"/>
      <c r="CE329" s="36">
        <v>1</v>
      </c>
      <c r="CF329" s="36"/>
      <c r="CG329" s="36">
        <v>1</v>
      </c>
      <c r="CH329" s="36">
        <v>1</v>
      </c>
      <c r="CI329" s="36"/>
      <c r="CK329" s="4" t="b">
        <f t="shared" si="5"/>
        <v>0</v>
      </c>
    </row>
    <row r="330" spans="1:89" ht="90" customHeight="1">
      <c r="A330" s="32" t="s">
        <v>101</v>
      </c>
      <c r="B330" s="32" t="s">
        <v>184</v>
      </c>
      <c r="C330" s="32" t="s">
        <v>482</v>
      </c>
      <c r="D330" s="34"/>
      <c r="E330" s="34">
        <v>25</v>
      </c>
      <c r="F330" s="34">
        <v>100</v>
      </c>
      <c r="G330" s="34">
        <v>100</v>
      </c>
      <c r="H330" s="34">
        <v>75</v>
      </c>
      <c r="I330" s="34">
        <v>100</v>
      </c>
      <c r="J330" s="34">
        <v>75</v>
      </c>
      <c r="K330" s="34">
        <v>75</v>
      </c>
      <c r="L330" s="34">
        <v>50</v>
      </c>
      <c r="M330" s="34">
        <v>75</v>
      </c>
      <c r="N330" s="34">
        <v>100</v>
      </c>
      <c r="O330" s="34">
        <v>50</v>
      </c>
      <c r="P330" s="34"/>
      <c r="Q330" s="34"/>
      <c r="R330" s="34"/>
      <c r="S330" s="34"/>
      <c r="T330" s="34"/>
      <c r="U330" s="34">
        <v>100</v>
      </c>
      <c r="V330" s="34"/>
      <c r="W330" s="34"/>
      <c r="X330" s="34"/>
      <c r="Y330" s="34"/>
      <c r="Z330" s="34"/>
      <c r="AA330" s="34"/>
      <c r="AB330" s="36"/>
      <c r="AC330" s="36">
        <v>23</v>
      </c>
      <c r="AD330" s="36">
        <v>4</v>
      </c>
      <c r="AE330" s="36">
        <v>9</v>
      </c>
      <c r="AF330" s="36">
        <v>8</v>
      </c>
      <c r="AG330" s="36"/>
      <c r="AH330" s="36">
        <v>3</v>
      </c>
      <c r="AI330" s="36">
        <v>2</v>
      </c>
      <c r="AJ330" s="36">
        <v>16</v>
      </c>
      <c r="AK330" s="36">
        <v>6</v>
      </c>
      <c r="AL330" s="36">
        <v>11</v>
      </c>
      <c r="AM330" s="36">
        <v>1</v>
      </c>
      <c r="AN330" s="36"/>
      <c r="AO330" s="36">
        <v>56</v>
      </c>
      <c r="AP330" s="36">
        <v>6</v>
      </c>
      <c r="AQ330" s="36">
        <v>5</v>
      </c>
      <c r="AR330" s="36">
        <v>5</v>
      </c>
      <c r="AS330" s="36">
        <v>9</v>
      </c>
      <c r="AT330" s="36">
        <v>4</v>
      </c>
      <c r="AU330" s="36">
        <v>8</v>
      </c>
      <c r="AV330" s="36">
        <v>11</v>
      </c>
      <c r="AW330" s="36">
        <v>1</v>
      </c>
      <c r="AX330" s="36">
        <v>8</v>
      </c>
      <c r="AY330" s="36">
        <v>5</v>
      </c>
      <c r="AZ330" s="36"/>
      <c r="BA330" s="36"/>
      <c r="BB330" s="36">
        <v>4</v>
      </c>
      <c r="BC330" s="36">
        <v>3</v>
      </c>
      <c r="BD330" s="36">
        <v>2</v>
      </c>
      <c r="BE330" s="36">
        <v>2</v>
      </c>
      <c r="BF330" s="36">
        <v>3</v>
      </c>
      <c r="BG330" s="36"/>
      <c r="BH330" s="36">
        <v>4</v>
      </c>
      <c r="BI330" s="36"/>
      <c r="BJ330" s="36"/>
      <c r="BK330" s="36">
        <v>5</v>
      </c>
      <c r="BL330" s="36"/>
      <c r="BM330" s="36"/>
      <c r="BN330" s="36"/>
      <c r="BO330" s="36"/>
      <c r="BP330" s="36"/>
      <c r="BQ330" s="36"/>
      <c r="BR330" s="36">
        <v>1</v>
      </c>
      <c r="BS330" s="36"/>
      <c r="BT330" s="36"/>
      <c r="BU330" s="36"/>
      <c r="BV330" s="36"/>
      <c r="BW330" s="36"/>
      <c r="BX330" s="36"/>
      <c r="BY330" s="36"/>
      <c r="BZ330" s="36"/>
      <c r="CA330" s="36"/>
      <c r="CB330" s="36"/>
      <c r="CC330" s="36"/>
      <c r="CD330" s="36"/>
      <c r="CE330" s="36"/>
      <c r="CF330" s="36"/>
      <c r="CG330" s="36"/>
      <c r="CH330" s="36"/>
      <c r="CI330" s="36"/>
      <c r="CK330" s="4" t="b">
        <f t="shared" si="5"/>
        <v>0</v>
      </c>
    </row>
    <row r="331" spans="1:89" ht="60" customHeight="1">
      <c r="A331" s="32" t="s">
        <v>101</v>
      </c>
      <c r="B331" s="32" t="s">
        <v>184</v>
      </c>
      <c r="C331" s="32" t="s">
        <v>483</v>
      </c>
      <c r="D331" s="34"/>
      <c r="E331" s="34">
        <v>100</v>
      </c>
      <c r="F331" s="34">
        <v>100</v>
      </c>
      <c r="G331" s="34">
        <v>100</v>
      </c>
      <c r="H331" s="34">
        <v>100</v>
      </c>
      <c r="I331" s="34">
        <v>100</v>
      </c>
      <c r="J331" s="34">
        <v>75</v>
      </c>
      <c r="K331" s="34">
        <v>75</v>
      </c>
      <c r="L331" s="34">
        <v>100</v>
      </c>
      <c r="M331" s="34">
        <v>75</v>
      </c>
      <c r="N331" s="34">
        <v>100</v>
      </c>
      <c r="O331" s="34">
        <v>75</v>
      </c>
      <c r="P331" s="34"/>
      <c r="Q331" s="34">
        <v>100</v>
      </c>
      <c r="R331" s="34">
        <v>100</v>
      </c>
      <c r="S331" s="34">
        <v>100</v>
      </c>
      <c r="T331" s="34">
        <v>100</v>
      </c>
      <c r="U331" s="34"/>
      <c r="V331" s="34"/>
      <c r="W331" s="34">
        <v>75</v>
      </c>
      <c r="X331" s="34">
        <v>75</v>
      </c>
      <c r="Y331" s="34">
        <v>50</v>
      </c>
      <c r="Z331" s="34">
        <v>50</v>
      </c>
      <c r="AA331" s="34">
        <v>25</v>
      </c>
      <c r="AB331" s="36"/>
      <c r="AC331" s="36">
        <v>24</v>
      </c>
      <c r="AD331" s="36">
        <v>38</v>
      </c>
      <c r="AE331" s="36">
        <v>39</v>
      </c>
      <c r="AF331" s="36">
        <v>38</v>
      </c>
      <c r="AG331" s="36">
        <v>38</v>
      </c>
      <c r="AH331" s="36">
        <v>32</v>
      </c>
      <c r="AI331" s="36">
        <v>29</v>
      </c>
      <c r="AJ331" s="36">
        <v>40</v>
      </c>
      <c r="AK331" s="36">
        <v>40</v>
      </c>
      <c r="AL331" s="36">
        <v>44</v>
      </c>
      <c r="AM331" s="36">
        <v>41</v>
      </c>
      <c r="AN331" s="36"/>
      <c r="AO331" s="36">
        <v>27</v>
      </c>
      <c r="AP331" s="36">
        <v>28</v>
      </c>
      <c r="AQ331" s="36">
        <v>31</v>
      </c>
      <c r="AR331" s="36">
        <v>31</v>
      </c>
      <c r="AS331" s="36">
        <v>24</v>
      </c>
      <c r="AT331" s="36">
        <v>31</v>
      </c>
      <c r="AU331" s="36">
        <v>19</v>
      </c>
      <c r="AV331" s="36">
        <v>34</v>
      </c>
      <c r="AW331" s="36">
        <v>26</v>
      </c>
      <c r="AX331" s="36">
        <v>24</v>
      </c>
      <c r="AY331" s="36">
        <v>21</v>
      </c>
      <c r="AZ331" s="36"/>
      <c r="BA331" s="36">
        <v>8</v>
      </c>
      <c r="BB331" s="36">
        <v>7</v>
      </c>
      <c r="BC331" s="36">
        <v>6</v>
      </c>
      <c r="BD331" s="36">
        <v>7</v>
      </c>
      <c r="BE331" s="36">
        <v>5</v>
      </c>
      <c r="BF331" s="36">
        <v>6</v>
      </c>
      <c r="BG331" s="36"/>
      <c r="BH331" s="36">
        <v>8</v>
      </c>
      <c r="BI331" s="36">
        <v>6</v>
      </c>
      <c r="BJ331" s="36"/>
      <c r="BK331" s="36">
        <v>6</v>
      </c>
      <c r="BL331" s="36"/>
      <c r="BM331" s="36"/>
      <c r="BN331" s="36"/>
      <c r="BO331" s="36">
        <v>1</v>
      </c>
      <c r="BP331" s="36">
        <v>2</v>
      </c>
      <c r="BQ331" s="36">
        <v>4</v>
      </c>
      <c r="BR331" s="36"/>
      <c r="BS331" s="36">
        <v>5</v>
      </c>
      <c r="BT331" s="36"/>
      <c r="BU331" s="36">
        <v>4</v>
      </c>
      <c r="BV331" s="36">
        <v>5</v>
      </c>
      <c r="BW331" s="36">
        <v>4</v>
      </c>
      <c r="BX331" s="36"/>
      <c r="BY331" s="36"/>
      <c r="BZ331" s="36"/>
      <c r="CA331" s="36"/>
      <c r="CB331" s="36"/>
      <c r="CC331" s="36"/>
      <c r="CD331" s="36">
        <v>1</v>
      </c>
      <c r="CE331" s="36"/>
      <c r="CF331" s="36"/>
      <c r="CG331" s="36">
        <v>2</v>
      </c>
      <c r="CH331" s="36">
        <v>1</v>
      </c>
      <c r="CI331" s="36">
        <v>1</v>
      </c>
      <c r="CK331" s="4" t="b">
        <f t="shared" si="5"/>
        <v>0</v>
      </c>
    </row>
    <row r="332" spans="1:89" ht="75" customHeight="1">
      <c r="A332" s="32" t="s">
        <v>124</v>
      </c>
      <c r="B332" s="32" t="s">
        <v>133</v>
      </c>
      <c r="C332" s="32" t="s">
        <v>484</v>
      </c>
      <c r="D332" s="34"/>
      <c r="E332" s="34"/>
      <c r="F332" s="34"/>
      <c r="G332" s="34"/>
      <c r="H332" s="34"/>
      <c r="I332" s="34"/>
      <c r="J332" s="34"/>
      <c r="K332" s="34"/>
      <c r="L332" s="34">
        <v>100</v>
      </c>
      <c r="M332" s="34"/>
      <c r="N332" s="34"/>
      <c r="O332" s="34"/>
      <c r="P332" s="34"/>
      <c r="Q332" s="34"/>
      <c r="R332" s="34"/>
      <c r="S332" s="34"/>
      <c r="T332" s="34"/>
      <c r="U332" s="34"/>
      <c r="V332" s="34"/>
      <c r="W332" s="34"/>
      <c r="X332" s="34">
        <v>75</v>
      </c>
      <c r="Y332" s="34"/>
      <c r="Z332" s="34"/>
      <c r="AA332" s="34"/>
      <c r="AB332" s="36"/>
      <c r="AC332" s="36"/>
      <c r="AD332" s="36"/>
      <c r="AE332" s="36">
        <v>17</v>
      </c>
      <c r="AF332" s="36">
        <v>17</v>
      </c>
      <c r="AG332" s="36"/>
      <c r="AH332" s="36">
        <v>3</v>
      </c>
      <c r="AI332" s="36">
        <v>3</v>
      </c>
      <c r="AJ332" s="36">
        <v>9</v>
      </c>
      <c r="AK332" s="36"/>
      <c r="AL332" s="36"/>
      <c r="AM332" s="36"/>
      <c r="AN332" s="36"/>
      <c r="AO332" s="36"/>
      <c r="AP332" s="36"/>
      <c r="AQ332" s="36">
        <v>6</v>
      </c>
      <c r="AR332" s="36">
        <v>6</v>
      </c>
      <c r="AS332" s="36"/>
      <c r="AT332" s="36">
        <v>1</v>
      </c>
      <c r="AU332" s="36"/>
      <c r="AV332" s="36">
        <v>5</v>
      </c>
      <c r="AW332" s="36"/>
      <c r="AX332" s="36"/>
      <c r="AY332" s="36"/>
      <c r="AZ332" s="36"/>
      <c r="BA332" s="36"/>
      <c r="BB332" s="36"/>
      <c r="BC332" s="36">
        <v>8</v>
      </c>
      <c r="BD332" s="36">
        <v>12</v>
      </c>
      <c r="BE332" s="36"/>
      <c r="BF332" s="36">
        <v>7</v>
      </c>
      <c r="BG332" s="36">
        <v>10</v>
      </c>
      <c r="BH332" s="36">
        <v>9</v>
      </c>
      <c r="BI332" s="36"/>
      <c r="BJ332" s="36"/>
      <c r="BK332" s="36"/>
      <c r="BL332" s="36"/>
      <c r="BM332" s="36"/>
      <c r="BN332" s="36"/>
      <c r="BO332" s="36"/>
      <c r="BP332" s="36"/>
      <c r="BQ332" s="36"/>
      <c r="BR332" s="36">
        <v>5</v>
      </c>
      <c r="BS332" s="36">
        <v>3</v>
      </c>
      <c r="BT332" s="36"/>
      <c r="BU332" s="36"/>
      <c r="BV332" s="36"/>
      <c r="BW332" s="36"/>
      <c r="BX332" s="36"/>
      <c r="BY332" s="36"/>
      <c r="BZ332" s="36"/>
      <c r="CA332" s="36"/>
      <c r="CB332" s="36"/>
      <c r="CC332" s="36"/>
      <c r="CD332" s="36"/>
      <c r="CE332" s="36"/>
      <c r="CF332" s="36"/>
      <c r="CG332" s="36"/>
      <c r="CH332" s="36"/>
      <c r="CI332" s="36"/>
      <c r="CK332" s="4" t="b">
        <f t="shared" si="5"/>
        <v>0</v>
      </c>
    </row>
    <row r="333" spans="1:89" ht="60" customHeight="1">
      <c r="A333" s="32" t="s">
        <v>144</v>
      </c>
      <c r="B333" s="32" t="s">
        <v>225</v>
      </c>
      <c r="C333" s="32" t="s">
        <v>485</v>
      </c>
      <c r="D333" s="34"/>
      <c r="E333" s="34">
        <v>75</v>
      </c>
      <c r="F333" s="34">
        <v>100</v>
      </c>
      <c r="G333" s="34">
        <v>100</v>
      </c>
      <c r="H333" s="34">
        <v>100</v>
      </c>
      <c r="I333" s="34">
        <v>100</v>
      </c>
      <c r="J333" s="34">
        <v>100</v>
      </c>
      <c r="K333" s="34">
        <v>100</v>
      </c>
      <c r="L333" s="34">
        <v>75</v>
      </c>
      <c r="M333" s="34">
        <v>75</v>
      </c>
      <c r="N333" s="34">
        <v>100</v>
      </c>
      <c r="O333" s="34">
        <v>100</v>
      </c>
      <c r="P333" s="34"/>
      <c r="Q333" s="34"/>
      <c r="R333" s="34">
        <v>25</v>
      </c>
      <c r="S333" s="34">
        <v>50</v>
      </c>
      <c r="T333" s="34">
        <v>25</v>
      </c>
      <c r="U333" s="34"/>
      <c r="V333" s="34">
        <v>33.33</v>
      </c>
      <c r="W333" s="34">
        <v>100</v>
      </c>
      <c r="X333" s="34">
        <v>50</v>
      </c>
      <c r="Y333" s="34">
        <v>50</v>
      </c>
      <c r="Z333" s="34"/>
      <c r="AA333" s="34">
        <v>100</v>
      </c>
      <c r="AB333" s="36"/>
      <c r="AC333" s="36">
        <v>47</v>
      </c>
      <c r="AD333" s="36">
        <v>7</v>
      </c>
      <c r="AE333" s="36">
        <v>8</v>
      </c>
      <c r="AF333" s="36">
        <v>14</v>
      </c>
      <c r="AG333" s="36">
        <v>12</v>
      </c>
      <c r="AH333" s="36">
        <v>12</v>
      </c>
      <c r="AI333" s="36">
        <v>12</v>
      </c>
      <c r="AJ333" s="36">
        <v>14</v>
      </c>
      <c r="AK333" s="36">
        <v>10</v>
      </c>
      <c r="AL333" s="36">
        <v>15</v>
      </c>
      <c r="AM333" s="36">
        <v>15</v>
      </c>
      <c r="AN333" s="36"/>
      <c r="AO333" s="36">
        <v>48</v>
      </c>
      <c r="AP333" s="36">
        <v>13</v>
      </c>
      <c r="AQ333" s="36">
        <v>10</v>
      </c>
      <c r="AR333" s="36">
        <v>7</v>
      </c>
      <c r="AS333" s="36">
        <v>8</v>
      </c>
      <c r="AT333" s="36">
        <v>12</v>
      </c>
      <c r="AU333" s="36">
        <v>13</v>
      </c>
      <c r="AV333" s="36">
        <v>11</v>
      </c>
      <c r="AW333" s="36">
        <v>9</v>
      </c>
      <c r="AX333" s="36">
        <v>18</v>
      </c>
      <c r="AY333" s="36">
        <v>11</v>
      </c>
      <c r="AZ333" s="36"/>
      <c r="BA333" s="36">
        <v>15</v>
      </c>
      <c r="BB333" s="36">
        <v>11</v>
      </c>
      <c r="BC333" s="36">
        <v>16</v>
      </c>
      <c r="BD333" s="36">
        <v>14</v>
      </c>
      <c r="BE333" s="36">
        <v>10</v>
      </c>
      <c r="BF333" s="36">
        <v>13</v>
      </c>
      <c r="BG333" s="36">
        <v>14</v>
      </c>
      <c r="BH333" s="36">
        <v>10</v>
      </c>
      <c r="BI333" s="36">
        <v>10</v>
      </c>
      <c r="BJ333" s="36">
        <v>15</v>
      </c>
      <c r="BK333" s="36">
        <v>8</v>
      </c>
      <c r="BL333" s="36"/>
      <c r="BM333" s="36">
        <v>4</v>
      </c>
      <c r="BN333" s="36">
        <v>4</v>
      </c>
      <c r="BO333" s="36">
        <v>6</v>
      </c>
      <c r="BP333" s="36">
        <v>4</v>
      </c>
      <c r="BQ333" s="36">
        <v>5</v>
      </c>
      <c r="BR333" s="36">
        <v>10</v>
      </c>
      <c r="BS333" s="36">
        <v>3</v>
      </c>
      <c r="BT333" s="36">
        <v>10</v>
      </c>
      <c r="BU333" s="36">
        <v>8</v>
      </c>
      <c r="BV333" s="36">
        <v>7</v>
      </c>
      <c r="BW333" s="36">
        <v>6</v>
      </c>
      <c r="BX333" s="36"/>
      <c r="BY333" s="36"/>
      <c r="BZ333" s="36"/>
      <c r="CA333" s="36"/>
      <c r="CB333" s="36"/>
      <c r="CC333" s="36"/>
      <c r="CD333" s="36">
        <v>1</v>
      </c>
      <c r="CE333" s="36"/>
      <c r="CF333" s="36"/>
      <c r="CG333" s="36">
        <v>3</v>
      </c>
      <c r="CH333" s="36">
        <v>1</v>
      </c>
      <c r="CI333" s="36">
        <v>1</v>
      </c>
      <c r="CK333" s="4" t="b">
        <f t="shared" si="5"/>
        <v>0</v>
      </c>
    </row>
    <row r="334" spans="1:89" ht="60" customHeight="1">
      <c r="A334" s="32" t="s">
        <v>144</v>
      </c>
      <c r="B334" s="32" t="s">
        <v>225</v>
      </c>
      <c r="C334" s="32" t="s">
        <v>486</v>
      </c>
      <c r="D334" s="34"/>
      <c r="E334" s="34"/>
      <c r="F334" s="34">
        <v>100</v>
      </c>
      <c r="G334" s="34">
        <v>100</v>
      </c>
      <c r="H334" s="34">
        <v>100</v>
      </c>
      <c r="I334" s="34">
        <v>100</v>
      </c>
      <c r="J334" s="34">
        <v>100</v>
      </c>
      <c r="K334" s="34">
        <v>100</v>
      </c>
      <c r="L334" s="34">
        <v>100</v>
      </c>
      <c r="M334" s="34">
        <v>100</v>
      </c>
      <c r="N334" s="34">
        <v>100</v>
      </c>
      <c r="O334" s="34">
        <v>100</v>
      </c>
      <c r="P334" s="34"/>
      <c r="Q334" s="34"/>
      <c r="R334" s="34">
        <v>50</v>
      </c>
      <c r="S334" s="34">
        <v>100</v>
      </c>
      <c r="T334" s="34">
        <v>50</v>
      </c>
      <c r="U334" s="34">
        <v>100</v>
      </c>
      <c r="V334" s="34">
        <v>100</v>
      </c>
      <c r="W334" s="34">
        <v>50</v>
      </c>
      <c r="X334" s="34">
        <v>50</v>
      </c>
      <c r="Y334" s="34">
        <v>100</v>
      </c>
      <c r="Z334" s="34">
        <v>50</v>
      </c>
      <c r="AA334" s="34">
        <v>50</v>
      </c>
      <c r="AB334" s="36"/>
      <c r="AC334" s="36">
        <v>2</v>
      </c>
      <c r="AD334" s="36">
        <v>1</v>
      </c>
      <c r="AE334" s="36">
        <v>5</v>
      </c>
      <c r="AF334" s="36">
        <v>2</v>
      </c>
      <c r="AG334" s="36">
        <v>4</v>
      </c>
      <c r="AH334" s="36">
        <v>5</v>
      </c>
      <c r="AI334" s="36">
        <v>5</v>
      </c>
      <c r="AJ334" s="36">
        <v>8</v>
      </c>
      <c r="AK334" s="36">
        <v>11</v>
      </c>
      <c r="AL334" s="36">
        <v>6</v>
      </c>
      <c r="AM334" s="36">
        <v>1</v>
      </c>
      <c r="AN334" s="36"/>
      <c r="AO334" s="36">
        <v>6</v>
      </c>
      <c r="AP334" s="36">
        <v>4</v>
      </c>
      <c r="AQ334" s="36">
        <v>5</v>
      </c>
      <c r="AR334" s="36">
        <v>8</v>
      </c>
      <c r="AS334" s="36">
        <v>5</v>
      </c>
      <c r="AT334" s="36">
        <v>2</v>
      </c>
      <c r="AU334" s="36">
        <v>6</v>
      </c>
      <c r="AV334" s="36">
        <v>10</v>
      </c>
      <c r="AW334" s="36">
        <v>6</v>
      </c>
      <c r="AX334" s="36">
        <v>7</v>
      </c>
      <c r="AY334" s="36">
        <v>7</v>
      </c>
      <c r="AZ334" s="36"/>
      <c r="BA334" s="36"/>
      <c r="BB334" s="36">
        <v>3</v>
      </c>
      <c r="BC334" s="36">
        <v>1</v>
      </c>
      <c r="BD334" s="36"/>
      <c r="BE334" s="36"/>
      <c r="BF334" s="36">
        <v>1</v>
      </c>
      <c r="BG334" s="36"/>
      <c r="BH334" s="36">
        <v>2</v>
      </c>
      <c r="BI334" s="36"/>
      <c r="BJ334" s="36"/>
      <c r="BK334" s="36"/>
      <c r="BL334" s="36"/>
      <c r="BM334" s="36"/>
      <c r="BN334" s="36"/>
      <c r="BO334" s="36"/>
      <c r="BP334" s="36"/>
      <c r="BQ334" s="36"/>
      <c r="BR334" s="36"/>
      <c r="BS334" s="36"/>
      <c r="BT334" s="36"/>
      <c r="BU334" s="36"/>
      <c r="BV334" s="36"/>
      <c r="BW334" s="36"/>
      <c r="BX334" s="36"/>
      <c r="BY334" s="36"/>
      <c r="BZ334" s="36"/>
      <c r="CA334" s="36"/>
      <c r="CB334" s="36"/>
      <c r="CC334" s="36"/>
      <c r="CD334" s="36"/>
      <c r="CE334" s="36"/>
      <c r="CF334" s="36"/>
      <c r="CG334" s="36"/>
      <c r="CH334" s="36"/>
      <c r="CI334" s="36"/>
      <c r="CK334" s="4" t="b">
        <f t="shared" si="5"/>
        <v>0</v>
      </c>
    </row>
    <row r="335" spans="1:89" ht="60" customHeight="1">
      <c r="A335" s="32" t="s">
        <v>87</v>
      </c>
      <c r="B335" s="32" t="s">
        <v>120</v>
      </c>
      <c r="C335" s="32" t="s">
        <v>487</v>
      </c>
      <c r="D335" s="34"/>
      <c r="E335" s="34">
        <v>100</v>
      </c>
      <c r="F335" s="34">
        <v>100</v>
      </c>
      <c r="G335" s="34">
        <v>100</v>
      </c>
      <c r="H335" s="34">
        <v>100</v>
      </c>
      <c r="I335" s="34">
        <v>100</v>
      </c>
      <c r="J335" s="34">
        <v>100</v>
      </c>
      <c r="K335" s="34">
        <v>100</v>
      </c>
      <c r="L335" s="34">
        <v>100</v>
      </c>
      <c r="M335" s="34">
        <v>100</v>
      </c>
      <c r="N335" s="34">
        <v>100</v>
      </c>
      <c r="O335" s="34">
        <v>100</v>
      </c>
      <c r="P335" s="34"/>
      <c r="Q335" s="34"/>
      <c r="R335" s="34"/>
      <c r="S335" s="34"/>
      <c r="T335" s="34"/>
      <c r="U335" s="34"/>
      <c r="V335" s="34"/>
      <c r="W335" s="34"/>
      <c r="X335" s="34"/>
      <c r="Y335" s="34"/>
      <c r="Z335" s="34"/>
      <c r="AA335" s="34"/>
      <c r="AB335" s="36"/>
      <c r="AC335" s="36">
        <v>60</v>
      </c>
      <c r="AD335" s="36">
        <v>102</v>
      </c>
      <c r="AE335" s="36">
        <v>73</v>
      </c>
      <c r="AF335" s="36">
        <v>72</v>
      </c>
      <c r="AG335" s="36">
        <v>96</v>
      </c>
      <c r="AH335" s="36">
        <v>71</v>
      </c>
      <c r="AI335" s="36">
        <v>103</v>
      </c>
      <c r="AJ335" s="36">
        <v>103</v>
      </c>
      <c r="AK335" s="36">
        <v>56</v>
      </c>
      <c r="AL335" s="36">
        <v>89</v>
      </c>
      <c r="AM335" s="36">
        <v>43</v>
      </c>
      <c r="AN335" s="36"/>
      <c r="AO335" s="36">
        <v>43</v>
      </c>
      <c r="AP335" s="36">
        <v>71</v>
      </c>
      <c r="AQ335" s="36">
        <v>86</v>
      </c>
      <c r="AR335" s="36">
        <v>108</v>
      </c>
      <c r="AS335" s="36">
        <v>81</v>
      </c>
      <c r="AT335" s="36">
        <v>65</v>
      </c>
      <c r="AU335" s="36">
        <v>70</v>
      </c>
      <c r="AV335" s="36">
        <v>108</v>
      </c>
      <c r="AW335" s="36">
        <v>79</v>
      </c>
      <c r="AX335" s="36">
        <v>93</v>
      </c>
      <c r="AY335" s="36">
        <v>41</v>
      </c>
      <c r="AZ335" s="36"/>
      <c r="BA335" s="36">
        <v>20</v>
      </c>
      <c r="BB335" s="36">
        <v>25</v>
      </c>
      <c r="BC335" s="36">
        <v>51</v>
      </c>
      <c r="BD335" s="36">
        <v>46</v>
      </c>
      <c r="BE335" s="36">
        <v>34</v>
      </c>
      <c r="BF335" s="36">
        <v>26</v>
      </c>
      <c r="BG335" s="36">
        <v>52</v>
      </c>
      <c r="BH335" s="36">
        <v>43</v>
      </c>
      <c r="BI335" s="36">
        <v>65</v>
      </c>
      <c r="BJ335" s="36">
        <v>48</v>
      </c>
      <c r="BK335" s="36">
        <v>41</v>
      </c>
      <c r="BL335" s="36"/>
      <c r="BM335" s="36">
        <v>9</v>
      </c>
      <c r="BN335" s="36">
        <v>20</v>
      </c>
      <c r="BO335" s="36">
        <v>16</v>
      </c>
      <c r="BP335" s="36">
        <v>12</v>
      </c>
      <c r="BQ335" s="36">
        <v>20</v>
      </c>
      <c r="BR335" s="36">
        <v>11</v>
      </c>
      <c r="BS335" s="36">
        <v>15</v>
      </c>
      <c r="BT335" s="36">
        <v>18</v>
      </c>
      <c r="BU335" s="36">
        <v>20</v>
      </c>
      <c r="BV335" s="36">
        <v>8</v>
      </c>
      <c r="BW335" s="36">
        <v>10</v>
      </c>
      <c r="BX335" s="36"/>
      <c r="BY335" s="36">
        <v>3</v>
      </c>
      <c r="BZ335" s="36">
        <v>5</v>
      </c>
      <c r="CA335" s="36">
        <v>10</v>
      </c>
      <c r="CB335" s="36">
        <v>5</v>
      </c>
      <c r="CC335" s="36">
        <v>5</v>
      </c>
      <c r="CD335" s="36">
        <v>4</v>
      </c>
      <c r="CE335" s="36">
        <v>7</v>
      </c>
      <c r="CF335" s="36">
        <v>4</v>
      </c>
      <c r="CG335" s="36">
        <v>5</v>
      </c>
      <c r="CH335" s="36">
        <v>2</v>
      </c>
      <c r="CI335" s="36">
        <v>3</v>
      </c>
      <c r="CK335" s="4" t="b">
        <f t="shared" si="5"/>
        <v>0</v>
      </c>
    </row>
    <row r="336" spans="1:89" ht="60" customHeight="1">
      <c r="A336" s="32" t="s">
        <v>144</v>
      </c>
      <c r="B336" s="32" t="s">
        <v>145</v>
      </c>
      <c r="C336" s="32" t="s">
        <v>488</v>
      </c>
      <c r="D336" s="34"/>
      <c r="E336" s="34">
        <v>75</v>
      </c>
      <c r="F336" s="34">
        <v>100</v>
      </c>
      <c r="G336" s="34">
        <v>100</v>
      </c>
      <c r="H336" s="34">
        <v>100</v>
      </c>
      <c r="I336" s="34">
        <v>100</v>
      </c>
      <c r="J336" s="34">
        <v>100</v>
      </c>
      <c r="K336" s="34">
        <v>100</v>
      </c>
      <c r="L336" s="34">
        <v>100</v>
      </c>
      <c r="M336" s="34">
        <v>75</v>
      </c>
      <c r="N336" s="34">
        <v>80</v>
      </c>
      <c r="O336" s="34">
        <v>75</v>
      </c>
      <c r="P336" s="34"/>
      <c r="Q336" s="34">
        <v>75</v>
      </c>
      <c r="R336" s="34">
        <v>100</v>
      </c>
      <c r="S336" s="34">
        <v>100</v>
      </c>
      <c r="T336" s="34"/>
      <c r="U336" s="34"/>
      <c r="V336" s="34"/>
      <c r="W336" s="34"/>
      <c r="X336" s="34">
        <v>100</v>
      </c>
      <c r="Y336" s="34">
        <v>75</v>
      </c>
      <c r="Z336" s="34">
        <v>50</v>
      </c>
      <c r="AA336" s="34">
        <v>100</v>
      </c>
      <c r="AB336" s="36"/>
      <c r="AC336" s="36">
        <v>15</v>
      </c>
      <c r="AD336" s="36">
        <v>5</v>
      </c>
      <c r="AE336" s="36">
        <v>7</v>
      </c>
      <c r="AF336" s="36">
        <v>8</v>
      </c>
      <c r="AG336" s="36">
        <v>2</v>
      </c>
      <c r="AH336" s="36">
        <v>6</v>
      </c>
      <c r="AI336" s="36">
        <v>7</v>
      </c>
      <c r="AJ336" s="36">
        <v>10</v>
      </c>
      <c r="AK336" s="36">
        <v>8</v>
      </c>
      <c r="AL336" s="36">
        <v>4</v>
      </c>
      <c r="AM336" s="36">
        <v>6</v>
      </c>
      <c r="AN336" s="36"/>
      <c r="AO336" s="36">
        <v>11</v>
      </c>
      <c r="AP336" s="36">
        <v>3</v>
      </c>
      <c r="AQ336" s="36">
        <v>8</v>
      </c>
      <c r="AR336" s="36">
        <v>4</v>
      </c>
      <c r="AS336" s="36">
        <v>3</v>
      </c>
      <c r="AT336" s="36">
        <v>3</v>
      </c>
      <c r="AU336" s="36">
        <v>9</v>
      </c>
      <c r="AV336" s="36">
        <v>15</v>
      </c>
      <c r="AW336" s="36">
        <v>6</v>
      </c>
      <c r="AX336" s="36">
        <v>6</v>
      </c>
      <c r="AY336" s="36">
        <v>16</v>
      </c>
      <c r="AZ336" s="36"/>
      <c r="BA336" s="36"/>
      <c r="BB336" s="36">
        <v>9</v>
      </c>
      <c r="BC336" s="36">
        <v>1</v>
      </c>
      <c r="BD336" s="36">
        <v>6</v>
      </c>
      <c r="BE336" s="36">
        <v>3</v>
      </c>
      <c r="BF336" s="36"/>
      <c r="BG336" s="36"/>
      <c r="BH336" s="36">
        <v>15</v>
      </c>
      <c r="BI336" s="36">
        <v>1</v>
      </c>
      <c r="BJ336" s="36">
        <v>1</v>
      </c>
      <c r="BK336" s="36">
        <v>2</v>
      </c>
      <c r="BL336" s="36"/>
      <c r="BM336" s="36">
        <v>8</v>
      </c>
      <c r="BN336" s="36">
        <v>1</v>
      </c>
      <c r="BO336" s="36">
        <v>1</v>
      </c>
      <c r="BP336" s="36"/>
      <c r="BQ336" s="36">
        <v>2</v>
      </c>
      <c r="BR336" s="36"/>
      <c r="BS336" s="36">
        <v>3</v>
      </c>
      <c r="BT336" s="36">
        <v>2</v>
      </c>
      <c r="BU336" s="36"/>
      <c r="BV336" s="36">
        <v>3</v>
      </c>
      <c r="BW336" s="36">
        <v>1</v>
      </c>
      <c r="BX336" s="36"/>
      <c r="BY336" s="36"/>
      <c r="BZ336" s="36">
        <v>8</v>
      </c>
      <c r="CA336" s="36"/>
      <c r="CB336" s="36"/>
      <c r="CC336" s="36"/>
      <c r="CD336" s="36">
        <v>8</v>
      </c>
      <c r="CE336" s="36"/>
      <c r="CF336" s="36">
        <v>2</v>
      </c>
      <c r="CG336" s="36"/>
      <c r="CH336" s="36">
        <v>1</v>
      </c>
      <c r="CI336" s="36">
        <v>2</v>
      </c>
      <c r="CK336" s="4" t="b">
        <f t="shared" si="5"/>
        <v>0</v>
      </c>
    </row>
    <row r="337" spans="1:89" ht="60" customHeight="1">
      <c r="A337" s="32" t="s">
        <v>87</v>
      </c>
      <c r="B337" s="32" t="s">
        <v>232</v>
      </c>
      <c r="C337" s="32" t="s">
        <v>489</v>
      </c>
      <c r="D337" s="34"/>
      <c r="E337" s="34"/>
      <c r="F337" s="34"/>
      <c r="G337" s="34"/>
      <c r="H337" s="34"/>
      <c r="I337" s="34"/>
      <c r="J337" s="34"/>
      <c r="K337" s="34"/>
      <c r="L337" s="34"/>
      <c r="M337" s="34"/>
      <c r="N337" s="34"/>
      <c r="O337" s="34"/>
      <c r="P337" s="34"/>
      <c r="Q337" s="34"/>
      <c r="R337" s="34"/>
      <c r="S337" s="34"/>
      <c r="T337" s="34"/>
      <c r="U337" s="34"/>
      <c r="V337" s="34"/>
      <c r="W337" s="34"/>
      <c r="X337" s="34"/>
      <c r="Y337" s="34"/>
      <c r="Z337" s="34"/>
      <c r="AA337" s="34"/>
      <c r="AB337" s="36"/>
      <c r="AC337" s="36"/>
      <c r="AD337" s="36"/>
      <c r="AE337" s="36"/>
      <c r="AF337" s="36"/>
      <c r="AG337" s="36"/>
      <c r="AH337" s="36"/>
      <c r="AI337" s="36"/>
      <c r="AJ337" s="36"/>
      <c r="AK337" s="36"/>
      <c r="AL337" s="36"/>
      <c r="AM337" s="36"/>
      <c r="AN337" s="36"/>
      <c r="AO337" s="36"/>
      <c r="AP337" s="36"/>
      <c r="AQ337" s="36"/>
      <c r="AR337" s="36"/>
      <c r="AS337" s="36"/>
      <c r="AT337" s="36"/>
      <c r="AU337" s="36"/>
      <c r="AV337" s="36"/>
      <c r="AW337" s="36"/>
      <c r="AX337" s="36"/>
      <c r="AY337" s="36"/>
      <c r="AZ337" s="36">
        <v>3</v>
      </c>
      <c r="BA337" s="36"/>
      <c r="BB337" s="36"/>
      <c r="BC337" s="36"/>
      <c r="BD337" s="36"/>
      <c r="BE337" s="36"/>
      <c r="BF337" s="36"/>
      <c r="BG337" s="36"/>
      <c r="BH337" s="36"/>
      <c r="BI337" s="36"/>
      <c r="BJ337" s="36"/>
      <c r="BK337" s="36"/>
      <c r="BL337" s="36">
        <v>3</v>
      </c>
      <c r="BM337" s="36">
        <v>2</v>
      </c>
      <c r="BN337" s="36"/>
      <c r="BO337" s="36"/>
      <c r="BP337" s="36"/>
      <c r="BQ337" s="36"/>
      <c r="BR337" s="36"/>
      <c r="BS337" s="36"/>
      <c r="BT337" s="36"/>
      <c r="BU337" s="36"/>
      <c r="BV337" s="36"/>
      <c r="BW337" s="36"/>
      <c r="BX337" s="36"/>
      <c r="BY337" s="36"/>
      <c r="BZ337" s="36"/>
      <c r="CA337" s="36"/>
      <c r="CB337" s="36"/>
      <c r="CC337" s="36"/>
      <c r="CD337" s="36"/>
      <c r="CE337" s="36"/>
      <c r="CF337" s="36"/>
      <c r="CG337" s="36"/>
      <c r="CH337" s="36"/>
      <c r="CI337" s="36"/>
      <c r="CK337" s="4" t="b">
        <f t="shared" si="5"/>
        <v>0</v>
      </c>
    </row>
    <row r="338" spans="1:89" ht="60" customHeight="1">
      <c r="A338" s="32" t="s">
        <v>87</v>
      </c>
      <c r="B338" s="32" t="s">
        <v>131</v>
      </c>
      <c r="C338" s="32" t="s">
        <v>490</v>
      </c>
      <c r="D338" s="34"/>
      <c r="E338" s="34"/>
      <c r="F338" s="34"/>
      <c r="G338" s="34"/>
      <c r="H338" s="34"/>
      <c r="I338" s="34"/>
      <c r="J338" s="34"/>
      <c r="K338" s="34"/>
      <c r="L338" s="34"/>
      <c r="M338" s="34"/>
      <c r="N338" s="34"/>
      <c r="O338" s="34">
        <v>100</v>
      </c>
      <c r="P338" s="34"/>
      <c r="Q338" s="34"/>
      <c r="R338" s="34"/>
      <c r="S338" s="34"/>
      <c r="T338" s="34"/>
      <c r="U338" s="34"/>
      <c r="V338" s="34"/>
      <c r="W338" s="34"/>
      <c r="X338" s="34"/>
      <c r="Y338" s="34"/>
      <c r="Z338" s="34"/>
      <c r="AA338" s="34"/>
      <c r="AB338" s="36">
        <v>37</v>
      </c>
      <c r="AC338" s="36"/>
      <c r="AD338" s="36">
        <v>38</v>
      </c>
      <c r="AE338" s="36">
        <v>36</v>
      </c>
      <c r="AF338" s="36">
        <v>41</v>
      </c>
      <c r="AG338" s="36"/>
      <c r="AH338" s="36"/>
      <c r="AI338" s="36">
        <v>51</v>
      </c>
      <c r="AJ338" s="36">
        <v>35</v>
      </c>
      <c r="AK338" s="36"/>
      <c r="AL338" s="36"/>
      <c r="AM338" s="36"/>
      <c r="AN338" s="36">
        <v>37</v>
      </c>
      <c r="AO338" s="36"/>
      <c r="AP338" s="36">
        <v>36</v>
      </c>
      <c r="AQ338" s="36">
        <v>25</v>
      </c>
      <c r="AR338" s="36">
        <v>32</v>
      </c>
      <c r="AS338" s="36"/>
      <c r="AT338" s="36"/>
      <c r="AU338" s="36">
        <v>24</v>
      </c>
      <c r="AV338" s="36">
        <v>32</v>
      </c>
      <c r="AW338" s="36"/>
      <c r="AX338" s="36"/>
      <c r="AY338" s="36"/>
      <c r="AZ338" s="36">
        <v>45</v>
      </c>
      <c r="BA338" s="36">
        <v>45</v>
      </c>
      <c r="BB338" s="36">
        <v>46</v>
      </c>
      <c r="BC338" s="36">
        <v>32</v>
      </c>
      <c r="BD338" s="36">
        <v>51</v>
      </c>
      <c r="BE338" s="36">
        <v>50</v>
      </c>
      <c r="BF338" s="36"/>
      <c r="BG338" s="36">
        <v>68</v>
      </c>
      <c r="BH338" s="36">
        <v>51</v>
      </c>
      <c r="BI338" s="36">
        <v>57</v>
      </c>
      <c r="BJ338" s="36"/>
      <c r="BK338" s="36">
        <v>46</v>
      </c>
      <c r="BL338" s="36">
        <v>39</v>
      </c>
      <c r="BM338" s="36">
        <v>56</v>
      </c>
      <c r="BN338" s="36">
        <v>40</v>
      </c>
      <c r="BO338" s="36">
        <v>44</v>
      </c>
      <c r="BP338" s="36">
        <v>42</v>
      </c>
      <c r="BQ338" s="36">
        <v>28</v>
      </c>
      <c r="BR338" s="36"/>
      <c r="BS338" s="36">
        <v>29</v>
      </c>
      <c r="BT338" s="36">
        <v>23</v>
      </c>
      <c r="BU338" s="36">
        <v>27</v>
      </c>
      <c r="BV338" s="36"/>
      <c r="BW338" s="36">
        <v>9</v>
      </c>
      <c r="BX338" s="36">
        <v>12</v>
      </c>
      <c r="BY338" s="36">
        <v>35</v>
      </c>
      <c r="BZ338" s="36">
        <v>21</v>
      </c>
      <c r="CA338" s="36">
        <v>26</v>
      </c>
      <c r="CB338" s="36">
        <v>21</v>
      </c>
      <c r="CC338" s="36">
        <v>18</v>
      </c>
      <c r="CD338" s="36"/>
      <c r="CE338" s="36">
        <v>8</v>
      </c>
      <c r="CF338" s="36">
        <v>17</v>
      </c>
      <c r="CG338" s="36">
        <v>13</v>
      </c>
      <c r="CH338" s="36"/>
      <c r="CI338" s="36">
        <v>11</v>
      </c>
      <c r="CK338" s="4" t="b">
        <f t="shared" si="5"/>
        <v>0</v>
      </c>
    </row>
    <row r="339" spans="1:89" ht="90" customHeight="1">
      <c r="A339" s="32" t="s">
        <v>92</v>
      </c>
      <c r="B339" s="32" t="s">
        <v>405</v>
      </c>
      <c r="C339" s="32" t="s">
        <v>491</v>
      </c>
      <c r="D339" s="34"/>
      <c r="E339" s="34">
        <v>75</v>
      </c>
      <c r="F339" s="34">
        <v>100</v>
      </c>
      <c r="G339" s="34">
        <v>100</v>
      </c>
      <c r="H339" s="34"/>
      <c r="I339" s="34">
        <v>100</v>
      </c>
      <c r="J339" s="34">
        <v>100</v>
      </c>
      <c r="K339" s="34">
        <v>100</v>
      </c>
      <c r="L339" s="34">
        <v>100</v>
      </c>
      <c r="M339" s="34">
        <v>100</v>
      </c>
      <c r="N339" s="34">
        <v>100</v>
      </c>
      <c r="O339" s="34">
        <v>100</v>
      </c>
      <c r="P339" s="34"/>
      <c r="Q339" s="34">
        <v>50</v>
      </c>
      <c r="R339" s="34">
        <v>25</v>
      </c>
      <c r="S339" s="34">
        <v>50</v>
      </c>
      <c r="T339" s="34"/>
      <c r="U339" s="34">
        <v>50</v>
      </c>
      <c r="V339" s="34">
        <v>100</v>
      </c>
      <c r="W339" s="34">
        <v>50</v>
      </c>
      <c r="X339" s="34">
        <v>75</v>
      </c>
      <c r="Y339" s="34">
        <v>50</v>
      </c>
      <c r="Z339" s="34">
        <v>75</v>
      </c>
      <c r="AA339" s="34">
        <v>50</v>
      </c>
      <c r="AB339" s="36"/>
      <c r="AC339" s="36">
        <v>6</v>
      </c>
      <c r="AD339" s="36">
        <v>15</v>
      </c>
      <c r="AE339" s="36">
        <v>14</v>
      </c>
      <c r="AF339" s="36"/>
      <c r="AG339" s="36">
        <v>16</v>
      </c>
      <c r="AH339" s="36">
        <v>17</v>
      </c>
      <c r="AI339" s="36">
        <v>17</v>
      </c>
      <c r="AJ339" s="36">
        <v>15</v>
      </c>
      <c r="AK339" s="36">
        <v>15</v>
      </c>
      <c r="AL339" s="36">
        <v>17</v>
      </c>
      <c r="AM339" s="36">
        <v>16</v>
      </c>
      <c r="AN339" s="36"/>
      <c r="AO339" s="36">
        <v>10</v>
      </c>
      <c r="AP339" s="36">
        <v>16</v>
      </c>
      <c r="AQ339" s="36">
        <v>16</v>
      </c>
      <c r="AR339" s="36"/>
      <c r="AS339" s="36">
        <v>18</v>
      </c>
      <c r="AT339" s="36">
        <v>18</v>
      </c>
      <c r="AU339" s="36">
        <v>17</v>
      </c>
      <c r="AV339" s="36">
        <v>14</v>
      </c>
      <c r="AW339" s="36"/>
      <c r="AX339" s="36">
        <v>14</v>
      </c>
      <c r="AY339" s="36">
        <v>16</v>
      </c>
      <c r="AZ339" s="36"/>
      <c r="BA339" s="36">
        <v>5</v>
      </c>
      <c r="BB339" s="36"/>
      <c r="BC339" s="36">
        <v>2</v>
      </c>
      <c r="BD339" s="36"/>
      <c r="BE339" s="36">
        <v>1</v>
      </c>
      <c r="BF339" s="36">
        <v>4</v>
      </c>
      <c r="BG339" s="36">
        <v>2</v>
      </c>
      <c r="BH339" s="36">
        <v>6</v>
      </c>
      <c r="BI339" s="36">
        <v>2</v>
      </c>
      <c r="BJ339" s="36">
        <v>2</v>
      </c>
      <c r="BK339" s="36">
        <v>4</v>
      </c>
      <c r="BL339" s="36"/>
      <c r="BM339" s="36"/>
      <c r="BN339" s="36">
        <v>2</v>
      </c>
      <c r="BO339" s="36">
        <v>2</v>
      </c>
      <c r="BP339" s="36"/>
      <c r="BQ339" s="36">
        <v>4</v>
      </c>
      <c r="BR339" s="36">
        <v>2</v>
      </c>
      <c r="BS339" s="36">
        <v>1</v>
      </c>
      <c r="BT339" s="36">
        <v>1</v>
      </c>
      <c r="BU339" s="36">
        <v>4</v>
      </c>
      <c r="BV339" s="36">
        <v>1</v>
      </c>
      <c r="BW339" s="36"/>
      <c r="BX339" s="36"/>
      <c r="BY339" s="36"/>
      <c r="BZ339" s="36"/>
      <c r="CA339" s="36"/>
      <c r="CB339" s="36"/>
      <c r="CC339" s="36"/>
      <c r="CD339" s="36"/>
      <c r="CE339" s="36"/>
      <c r="CF339" s="36"/>
      <c r="CG339" s="36"/>
      <c r="CH339" s="36"/>
      <c r="CI339" s="36"/>
      <c r="CK339" s="4" t="b">
        <f t="shared" si="5"/>
        <v>0</v>
      </c>
    </row>
    <row r="340" spans="1:89" ht="75" customHeight="1">
      <c r="A340" s="32" t="s">
        <v>124</v>
      </c>
      <c r="B340" s="32" t="s">
        <v>289</v>
      </c>
      <c r="C340" s="32" t="s">
        <v>492</v>
      </c>
      <c r="D340" s="34"/>
      <c r="E340" s="34"/>
      <c r="F340" s="34"/>
      <c r="G340" s="34"/>
      <c r="H340" s="34"/>
      <c r="I340" s="34"/>
      <c r="J340" s="34"/>
      <c r="K340" s="34"/>
      <c r="L340" s="34"/>
      <c r="M340" s="34"/>
      <c r="N340" s="34"/>
      <c r="O340" s="34">
        <v>100</v>
      </c>
      <c r="P340" s="34"/>
      <c r="Q340" s="34"/>
      <c r="R340" s="34"/>
      <c r="S340" s="34"/>
      <c r="T340" s="34"/>
      <c r="U340" s="34"/>
      <c r="V340" s="34"/>
      <c r="W340" s="34"/>
      <c r="X340" s="34"/>
      <c r="Y340" s="34"/>
      <c r="Z340" s="34"/>
      <c r="AA340" s="34"/>
      <c r="AB340" s="36"/>
      <c r="AC340" s="36"/>
      <c r="AD340" s="36"/>
      <c r="AE340" s="36"/>
      <c r="AF340" s="36"/>
      <c r="AG340" s="36"/>
      <c r="AH340" s="36"/>
      <c r="AI340" s="36">
        <v>27</v>
      </c>
      <c r="AJ340" s="36">
        <v>69</v>
      </c>
      <c r="AK340" s="36">
        <v>63</v>
      </c>
      <c r="AL340" s="36">
        <v>33</v>
      </c>
      <c r="AM340" s="36">
        <v>36</v>
      </c>
      <c r="AN340" s="36"/>
      <c r="AO340" s="36"/>
      <c r="AP340" s="36"/>
      <c r="AQ340" s="36"/>
      <c r="AR340" s="36"/>
      <c r="AS340" s="36"/>
      <c r="AT340" s="36"/>
      <c r="AU340" s="36">
        <v>36</v>
      </c>
      <c r="AV340" s="36">
        <v>56</v>
      </c>
      <c r="AW340" s="36">
        <v>48</v>
      </c>
      <c r="AX340" s="36">
        <v>27</v>
      </c>
      <c r="AY340" s="36">
        <v>31</v>
      </c>
      <c r="AZ340" s="36"/>
      <c r="BA340" s="36"/>
      <c r="BB340" s="36"/>
      <c r="BC340" s="36"/>
      <c r="BD340" s="36"/>
      <c r="BE340" s="36"/>
      <c r="BF340" s="36"/>
      <c r="BG340" s="36"/>
      <c r="BH340" s="36">
        <v>53</v>
      </c>
      <c r="BI340" s="36">
        <v>52</v>
      </c>
      <c r="BJ340" s="36">
        <v>44</v>
      </c>
      <c r="BK340" s="36">
        <v>234</v>
      </c>
      <c r="BL340" s="36"/>
      <c r="BM340" s="36"/>
      <c r="BN340" s="36"/>
      <c r="BO340" s="36"/>
      <c r="BP340" s="36"/>
      <c r="BQ340" s="36"/>
      <c r="BR340" s="36"/>
      <c r="BS340" s="36">
        <v>52</v>
      </c>
      <c r="BT340" s="36">
        <v>59</v>
      </c>
      <c r="BU340" s="36">
        <v>61</v>
      </c>
      <c r="BV340" s="36">
        <v>20</v>
      </c>
      <c r="BW340" s="36">
        <v>41</v>
      </c>
      <c r="BX340" s="36"/>
      <c r="BY340" s="36"/>
      <c r="BZ340" s="36"/>
      <c r="CA340" s="36"/>
      <c r="CB340" s="36"/>
      <c r="CC340" s="36"/>
      <c r="CD340" s="36"/>
      <c r="CE340" s="36">
        <v>46</v>
      </c>
      <c r="CF340" s="36">
        <v>41</v>
      </c>
      <c r="CG340" s="36">
        <v>52</v>
      </c>
      <c r="CH340" s="36">
        <v>35</v>
      </c>
      <c r="CI340" s="36">
        <v>22</v>
      </c>
      <c r="CK340" s="4" t="b">
        <f t="shared" si="5"/>
        <v>0</v>
      </c>
    </row>
    <row r="341" spans="1:89" ht="75" customHeight="1">
      <c r="A341" s="32" t="s">
        <v>87</v>
      </c>
      <c r="B341" s="32" t="s">
        <v>106</v>
      </c>
      <c r="C341" s="32" t="s">
        <v>493</v>
      </c>
      <c r="D341" s="34"/>
      <c r="E341" s="34"/>
      <c r="F341" s="34"/>
      <c r="G341" s="34"/>
      <c r="H341" s="34"/>
      <c r="I341" s="34"/>
      <c r="J341" s="34">
        <v>100</v>
      </c>
      <c r="K341" s="34"/>
      <c r="L341" s="34">
        <v>100</v>
      </c>
      <c r="M341" s="34"/>
      <c r="N341" s="34">
        <v>100</v>
      </c>
      <c r="O341" s="34">
        <v>100</v>
      </c>
      <c r="P341" s="34"/>
      <c r="Q341" s="34"/>
      <c r="R341" s="34"/>
      <c r="S341" s="34"/>
      <c r="T341" s="34"/>
      <c r="U341" s="34"/>
      <c r="V341" s="34"/>
      <c r="W341" s="34"/>
      <c r="X341" s="34"/>
      <c r="Y341" s="34"/>
      <c r="Z341" s="34"/>
      <c r="AA341" s="34"/>
      <c r="AB341" s="36"/>
      <c r="AC341" s="36"/>
      <c r="AD341" s="36"/>
      <c r="AE341" s="36">
        <v>6</v>
      </c>
      <c r="AF341" s="36"/>
      <c r="AG341" s="36"/>
      <c r="AH341" s="36">
        <v>8</v>
      </c>
      <c r="AI341" s="36">
        <v>17</v>
      </c>
      <c r="AJ341" s="36">
        <v>11</v>
      </c>
      <c r="AK341" s="36">
        <v>9</v>
      </c>
      <c r="AL341" s="36">
        <v>4</v>
      </c>
      <c r="AM341" s="36">
        <v>2</v>
      </c>
      <c r="AN341" s="36"/>
      <c r="AO341" s="36"/>
      <c r="AP341" s="36"/>
      <c r="AQ341" s="36">
        <v>7</v>
      </c>
      <c r="AR341" s="36"/>
      <c r="AS341" s="36"/>
      <c r="AT341" s="36">
        <v>3</v>
      </c>
      <c r="AU341" s="36">
        <v>12</v>
      </c>
      <c r="AV341" s="36">
        <v>5</v>
      </c>
      <c r="AW341" s="36">
        <v>10</v>
      </c>
      <c r="AX341" s="36">
        <v>13</v>
      </c>
      <c r="AY341" s="36">
        <v>3</v>
      </c>
      <c r="AZ341" s="36"/>
      <c r="BA341" s="36"/>
      <c r="BB341" s="36"/>
      <c r="BC341" s="36">
        <v>10</v>
      </c>
      <c r="BD341" s="36"/>
      <c r="BE341" s="36"/>
      <c r="BF341" s="36">
        <v>1</v>
      </c>
      <c r="BG341" s="36"/>
      <c r="BH341" s="36">
        <v>12</v>
      </c>
      <c r="BI341" s="36">
        <v>10</v>
      </c>
      <c r="BJ341" s="36">
        <v>16</v>
      </c>
      <c r="BK341" s="36">
        <v>9</v>
      </c>
      <c r="BL341" s="36"/>
      <c r="BM341" s="36"/>
      <c r="BN341" s="36"/>
      <c r="BO341" s="36">
        <v>7</v>
      </c>
      <c r="BP341" s="36"/>
      <c r="BQ341" s="36"/>
      <c r="BR341" s="36">
        <v>12</v>
      </c>
      <c r="BS341" s="36">
        <v>9</v>
      </c>
      <c r="BT341" s="36">
        <v>12</v>
      </c>
      <c r="BU341" s="36">
        <v>8</v>
      </c>
      <c r="BV341" s="36">
        <v>13</v>
      </c>
      <c r="BW341" s="36">
        <v>8</v>
      </c>
      <c r="BX341" s="36"/>
      <c r="BY341" s="36"/>
      <c r="BZ341" s="36"/>
      <c r="CA341" s="36">
        <v>9</v>
      </c>
      <c r="CB341" s="36"/>
      <c r="CC341" s="36"/>
      <c r="CD341" s="36">
        <v>5</v>
      </c>
      <c r="CE341" s="36">
        <v>6</v>
      </c>
      <c r="CF341" s="36">
        <v>10</v>
      </c>
      <c r="CG341" s="36">
        <v>3</v>
      </c>
      <c r="CH341" s="36">
        <v>7</v>
      </c>
      <c r="CI341" s="36">
        <v>3</v>
      </c>
      <c r="CK341" s="4" t="b">
        <f t="shared" si="5"/>
        <v>0</v>
      </c>
    </row>
    <row r="342" spans="1:89" ht="60" customHeight="1">
      <c r="A342" s="32" t="s">
        <v>101</v>
      </c>
      <c r="B342" s="32" t="s">
        <v>305</v>
      </c>
      <c r="C342" s="32" t="s">
        <v>494</v>
      </c>
      <c r="D342" s="34"/>
      <c r="E342" s="34">
        <v>200</v>
      </c>
      <c r="F342" s="34">
        <v>100</v>
      </c>
      <c r="G342" s="34">
        <v>100</v>
      </c>
      <c r="H342" s="34">
        <v>100</v>
      </c>
      <c r="I342" s="34">
        <v>100</v>
      </c>
      <c r="J342" s="34">
        <v>100</v>
      </c>
      <c r="K342" s="34">
        <v>100</v>
      </c>
      <c r="L342" s="34"/>
      <c r="M342" s="34">
        <v>100</v>
      </c>
      <c r="N342" s="34">
        <v>100</v>
      </c>
      <c r="O342" s="34">
        <v>50</v>
      </c>
      <c r="P342" s="34"/>
      <c r="Q342" s="34">
        <v>150</v>
      </c>
      <c r="R342" s="34">
        <v>100</v>
      </c>
      <c r="S342" s="34">
        <v>100</v>
      </c>
      <c r="T342" s="34">
        <v>100</v>
      </c>
      <c r="U342" s="34">
        <v>100</v>
      </c>
      <c r="V342" s="34">
        <v>100</v>
      </c>
      <c r="W342" s="34">
        <v>100</v>
      </c>
      <c r="X342" s="34"/>
      <c r="Y342" s="34">
        <v>50</v>
      </c>
      <c r="Z342" s="34">
        <v>50</v>
      </c>
      <c r="AA342" s="34">
        <v>50</v>
      </c>
      <c r="AB342" s="36"/>
      <c r="AC342" s="36">
        <v>22</v>
      </c>
      <c r="AD342" s="36">
        <v>18</v>
      </c>
      <c r="AE342" s="36">
        <v>18</v>
      </c>
      <c r="AF342" s="36">
        <v>18</v>
      </c>
      <c r="AG342" s="36">
        <v>19</v>
      </c>
      <c r="AH342" s="36">
        <v>18</v>
      </c>
      <c r="AI342" s="36">
        <v>18</v>
      </c>
      <c r="AJ342" s="36">
        <v>21</v>
      </c>
      <c r="AK342" s="36">
        <v>17</v>
      </c>
      <c r="AL342" s="36">
        <v>13</v>
      </c>
      <c r="AM342" s="36">
        <v>18</v>
      </c>
      <c r="AN342" s="36"/>
      <c r="AO342" s="36">
        <v>22</v>
      </c>
      <c r="AP342" s="36">
        <v>18</v>
      </c>
      <c r="AQ342" s="36">
        <v>18</v>
      </c>
      <c r="AR342" s="36">
        <v>18</v>
      </c>
      <c r="AS342" s="36">
        <v>19</v>
      </c>
      <c r="AT342" s="36">
        <v>18</v>
      </c>
      <c r="AU342" s="36">
        <v>18</v>
      </c>
      <c r="AV342" s="36">
        <v>21</v>
      </c>
      <c r="AW342" s="36">
        <v>17</v>
      </c>
      <c r="AX342" s="36">
        <v>18</v>
      </c>
      <c r="AY342" s="36">
        <v>18</v>
      </c>
      <c r="AZ342" s="36"/>
      <c r="BA342" s="36">
        <v>3</v>
      </c>
      <c r="BB342" s="36"/>
      <c r="BC342" s="36">
        <v>4</v>
      </c>
      <c r="BD342" s="36">
        <v>5</v>
      </c>
      <c r="BE342" s="36">
        <v>5</v>
      </c>
      <c r="BF342" s="36">
        <v>5</v>
      </c>
      <c r="BG342" s="36">
        <v>3</v>
      </c>
      <c r="BH342" s="36">
        <v>4</v>
      </c>
      <c r="BI342" s="36">
        <v>22</v>
      </c>
      <c r="BJ342" s="36">
        <v>19</v>
      </c>
      <c r="BK342" s="36">
        <v>18</v>
      </c>
      <c r="BL342" s="36"/>
      <c r="BM342" s="36"/>
      <c r="BN342" s="36">
        <v>1</v>
      </c>
      <c r="BO342" s="36"/>
      <c r="BP342" s="36"/>
      <c r="BQ342" s="36"/>
      <c r="BR342" s="36">
        <v>3</v>
      </c>
      <c r="BS342" s="36"/>
      <c r="BT342" s="36"/>
      <c r="BU342" s="36">
        <v>2</v>
      </c>
      <c r="BV342" s="36">
        <v>4</v>
      </c>
      <c r="BW342" s="36">
        <v>4</v>
      </c>
      <c r="BX342" s="36"/>
      <c r="BY342" s="36"/>
      <c r="BZ342" s="36"/>
      <c r="CA342" s="36"/>
      <c r="CB342" s="36"/>
      <c r="CC342" s="36"/>
      <c r="CD342" s="36"/>
      <c r="CE342" s="36"/>
      <c r="CF342" s="36"/>
      <c r="CG342" s="36"/>
      <c r="CH342" s="36"/>
      <c r="CI342" s="36"/>
      <c r="CK342" s="4" t="b">
        <f t="shared" si="5"/>
        <v>0</v>
      </c>
    </row>
    <row r="343" spans="1:89" ht="60" customHeight="1">
      <c r="A343" s="32" t="s">
        <v>144</v>
      </c>
      <c r="B343" s="32" t="s">
        <v>225</v>
      </c>
      <c r="C343" s="32" t="s">
        <v>495</v>
      </c>
      <c r="D343" s="34"/>
      <c r="E343" s="34">
        <v>100</v>
      </c>
      <c r="F343" s="34">
        <v>100</v>
      </c>
      <c r="G343" s="34">
        <v>100</v>
      </c>
      <c r="H343" s="34">
        <v>100</v>
      </c>
      <c r="I343" s="34">
        <v>100</v>
      </c>
      <c r="J343" s="34">
        <v>100</v>
      </c>
      <c r="K343" s="34">
        <v>100</v>
      </c>
      <c r="L343" s="34">
        <v>50</v>
      </c>
      <c r="M343" s="34">
        <v>50</v>
      </c>
      <c r="N343" s="34">
        <v>50</v>
      </c>
      <c r="O343" s="34">
        <v>100</v>
      </c>
      <c r="P343" s="34"/>
      <c r="Q343" s="34"/>
      <c r="R343" s="34">
        <v>50</v>
      </c>
      <c r="S343" s="34">
        <v>100</v>
      </c>
      <c r="T343" s="34">
        <v>50</v>
      </c>
      <c r="U343" s="34">
        <v>50</v>
      </c>
      <c r="V343" s="34">
        <v>50</v>
      </c>
      <c r="W343" s="34">
        <v>50</v>
      </c>
      <c r="X343" s="34">
        <v>50</v>
      </c>
      <c r="Y343" s="34">
        <v>50</v>
      </c>
      <c r="Z343" s="34">
        <v>100</v>
      </c>
      <c r="AA343" s="34">
        <v>100</v>
      </c>
      <c r="AB343" s="36"/>
      <c r="AC343" s="36">
        <v>6</v>
      </c>
      <c r="AD343" s="36">
        <v>5</v>
      </c>
      <c r="AE343" s="36">
        <v>5</v>
      </c>
      <c r="AF343" s="36">
        <v>6</v>
      </c>
      <c r="AG343" s="36">
        <v>6</v>
      </c>
      <c r="AH343" s="36">
        <v>5</v>
      </c>
      <c r="AI343" s="36">
        <v>6</v>
      </c>
      <c r="AJ343" s="36">
        <v>6</v>
      </c>
      <c r="AK343" s="36">
        <v>4</v>
      </c>
      <c r="AL343" s="36">
        <v>8</v>
      </c>
      <c r="AM343" s="36">
        <v>6</v>
      </c>
      <c r="AN343" s="36"/>
      <c r="AO343" s="36">
        <v>5</v>
      </c>
      <c r="AP343" s="36">
        <v>4</v>
      </c>
      <c r="AQ343" s="36">
        <v>6</v>
      </c>
      <c r="AR343" s="36">
        <v>5</v>
      </c>
      <c r="AS343" s="36">
        <v>7</v>
      </c>
      <c r="AT343" s="36">
        <v>6</v>
      </c>
      <c r="AU343" s="36">
        <v>6</v>
      </c>
      <c r="AV343" s="36">
        <v>6</v>
      </c>
      <c r="AW343" s="36">
        <v>4</v>
      </c>
      <c r="AX343" s="36">
        <v>6</v>
      </c>
      <c r="AY343" s="36">
        <v>7</v>
      </c>
      <c r="AZ343" s="36"/>
      <c r="BA343" s="36"/>
      <c r="BB343" s="36">
        <v>1</v>
      </c>
      <c r="BC343" s="36">
        <v>1</v>
      </c>
      <c r="BD343" s="36">
        <v>3</v>
      </c>
      <c r="BE343" s="36">
        <v>2</v>
      </c>
      <c r="BF343" s="36">
        <v>3</v>
      </c>
      <c r="BG343" s="36">
        <v>2</v>
      </c>
      <c r="BH343" s="36">
        <v>2</v>
      </c>
      <c r="BI343" s="36">
        <v>1</v>
      </c>
      <c r="BJ343" s="36">
        <v>2</v>
      </c>
      <c r="BK343" s="36">
        <v>2</v>
      </c>
      <c r="BL343" s="36"/>
      <c r="BM343" s="36">
        <v>1</v>
      </c>
      <c r="BN343" s="36">
        <v>1</v>
      </c>
      <c r="BO343" s="36"/>
      <c r="BP343" s="36"/>
      <c r="BQ343" s="36"/>
      <c r="BR343" s="36">
        <v>1</v>
      </c>
      <c r="BS343" s="36">
        <v>1</v>
      </c>
      <c r="BT343" s="36">
        <v>2</v>
      </c>
      <c r="BU343" s="36">
        <v>2</v>
      </c>
      <c r="BV343" s="36">
        <v>3</v>
      </c>
      <c r="BW343" s="36">
        <v>3</v>
      </c>
      <c r="BX343" s="36"/>
      <c r="BY343" s="36"/>
      <c r="BZ343" s="36"/>
      <c r="CA343" s="36">
        <v>5</v>
      </c>
      <c r="CB343" s="36"/>
      <c r="CC343" s="36"/>
      <c r="CD343" s="36"/>
      <c r="CE343" s="36"/>
      <c r="CF343" s="36"/>
      <c r="CG343" s="36"/>
      <c r="CH343" s="36"/>
      <c r="CI343" s="36">
        <v>1</v>
      </c>
      <c r="CK343" s="4" t="b">
        <f t="shared" si="5"/>
        <v>0</v>
      </c>
    </row>
    <row r="344" spans="1:89" ht="75" customHeight="1">
      <c r="A344" s="32" t="s">
        <v>87</v>
      </c>
      <c r="B344" s="32" t="s">
        <v>90</v>
      </c>
      <c r="C344" s="32" t="s">
        <v>496</v>
      </c>
      <c r="D344" s="34"/>
      <c r="E344" s="34"/>
      <c r="F344" s="34"/>
      <c r="G344" s="34"/>
      <c r="H344" s="34"/>
      <c r="I344" s="34"/>
      <c r="J344" s="34"/>
      <c r="K344" s="34"/>
      <c r="L344" s="34"/>
      <c r="M344" s="34"/>
      <c r="N344" s="34">
        <v>125</v>
      </c>
      <c r="O344" s="34">
        <v>100</v>
      </c>
      <c r="P344" s="34"/>
      <c r="Q344" s="34"/>
      <c r="R344" s="34"/>
      <c r="S344" s="34"/>
      <c r="T344" s="34"/>
      <c r="U344" s="34"/>
      <c r="V344" s="34"/>
      <c r="W344" s="34"/>
      <c r="X344" s="34"/>
      <c r="Y344" s="34"/>
      <c r="Z344" s="34"/>
      <c r="AA344" s="34"/>
      <c r="AB344" s="36"/>
      <c r="AC344" s="36"/>
      <c r="AD344" s="36"/>
      <c r="AE344" s="36"/>
      <c r="AF344" s="36"/>
      <c r="AG344" s="36">
        <v>2</v>
      </c>
      <c r="AH344" s="36">
        <v>1</v>
      </c>
      <c r="AI344" s="36">
        <v>2</v>
      </c>
      <c r="AJ344" s="36">
        <v>2</v>
      </c>
      <c r="AK344" s="36">
        <v>1</v>
      </c>
      <c r="AL344" s="36">
        <v>3</v>
      </c>
      <c r="AM344" s="36"/>
      <c r="AN344" s="36"/>
      <c r="AO344" s="36">
        <v>2</v>
      </c>
      <c r="AP344" s="36"/>
      <c r="AQ344" s="36"/>
      <c r="AR344" s="36"/>
      <c r="AS344" s="36">
        <v>1</v>
      </c>
      <c r="AT344" s="36">
        <v>1</v>
      </c>
      <c r="AU344" s="36">
        <v>2</v>
      </c>
      <c r="AV344" s="36">
        <v>1</v>
      </c>
      <c r="AW344" s="36">
        <v>4</v>
      </c>
      <c r="AX344" s="36">
        <v>1</v>
      </c>
      <c r="AY344" s="36">
        <v>3</v>
      </c>
      <c r="AZ344" s="36"/>
      <c r="BA344" s="36"/>
      <c r="BB344" s="36"/>
      <c r="BC344" s="36"/>
      <c r="BD344" s="36"/>
      <c r="BE344" s="36"/>
      <c r="BF344" s="36"/>
      <c r="BG344" s="36"/>
      <c r="BH344" s="36">
        <v>1</v>
      </c>
      <c r="BI344" s="36"/>
      <c r="BJ344" s="36"/>
      <c r="BK344" s="36">
        <v>1</v>
      </c>
      <c r="BL344" s="36"/>
      <c r="BM344" s="36"/>
      <c r="BN344" s="36"/>
      <c r="BO344" s="36"/>
      <c r="BP344" s="36"/>
      <c r="BQ344" s="36"/>
      <c r="BR344" s="36"/>
      <c r="BS344" s="36"/>
      <c r="BT344" s="36"/>
      <c r="BU344" s="36"/>
      <c r="BV344" s="36"/>
      <c r="BW344" s="36"/>
      <c r="BX344" s="36"/>
      <c r="BY344" s="36"/>
      <c r="BZ344" s="36"/>
      <c r="CA344" s="36"/>
      <c r="CB344" s="36"/>
      <c r="CC344" s="36"/>
      <c r="CD344" s="36"/>
      <c r="CE344" s="36"/>
      <c r="CF344" s="36"/>
      <c r="CG344" s="36"/>
      <c r="CH344" s="36"/>
      <c r="CI344" s="36"/>
      <c r="CK344" s="4" t="b">
        <f t="shared" si="5"/>
        <v>0</v>
      </c>
    </row>
    <row r="345" spans="1:89" ht="90" customHeight="1">
      <c r="A345" s="32" t="s">
        <v>87</v>
      </c>
      <c r="B345" s="32" t="s">
        <v>120</v>
      </c>
      <c r="C345" s="32" t="s">
        <v>497</v>
      </c>
      <c r="D345" s="34"/>
      <c r="E345" s="34">
        <v>100</v>
      </c>
      <c r="F345" s="34">
        <v>100</v>
      </c>
      <c r="G345" s="34"/>
      <c r="H345" s="34">
        <v>75</v>
      </c>
      <c r="I345" s="34">
        <v>100</v>
      </c>
      <c r="J345" s="34">
        <v>100</v>
      </c>
      <c r="K345" s="34">
        <v>75</v>
      </c>
      <c r="L345" s="34">
        <v>100</v>
      </c>
      <c r="M345" s="34">
        <v>100</v>
      </c>
      <c r="N345" s="34">
        <v>75</v>
      </c>
      <c r="O345" s="34">
        <v>100</v>
      </c>
      <c r="P345" s="34"/>
      <c r="Q345" s="34"/>
      <c r="R345" s="34"/>
      <c r="S345" s="34"/>
      <c r="T345" s="34"/>
      <c r="U345" s="34"/>
      <c r="V345" s="34"/>
      <c r="W345" s="34"/>
      <c r="X345" s="34"/>
      <c r="Y345" s="34"/>
      <c r="Z345" s="34">
        <v>25</v>
      </c>
      <c r="AA345" s="34"/>
      <c r="AB345" s="36"/>
      <c r="AC345" s="36">
        <v>40</v>
      </c>
      <c r="AD345" s="36">
        <v>23</v>
      </c>
      <c r="AE345" s="36"/>
      <c r="AF345" s="36">
        <v>7</v>
      </c>
      <c r="AG345" s="36">
        <v>10</v>
      </c>
      <c r="AH345" s="36">
        <v>10</v>
      </c>
      <c r="AI345" s="36">
        <v>15</v>
      </c>
      <c r="AJ345" s="36">
        <v>8</v>
      </c>
      <c r="AK345" s="36">
        <v>21</v>
      </c>
      <c r="AL345" s="36">
        <v>10</v>
      </c>
      <c r="AM345" s="36">
        <v>10</v>
      </c>
      <c r="AN345" s="36"/>
      <c r="AO345" s="36">
        <v>7</v>
      </c>
      <c r="AP345" s="36">
        <v>9</v>
      </c>
      <c r="AQ345" s="36"/>
      <c r="AR345" s="36">
        <v>12</v>
      </c>
      <c r="AS345" s="36">
        <v>12</v>
      </c>
      <c r="AT345" s="36">
        <v>3</v>
      </c>
      <c r="AU345" s="36">
        <v>16</v>
      </c>
      <c r="AV345" s="36">
        <v>12</v>
      </c>
      <c r="AW345" s="36">
        <v>15</v>
      </c>
      <c r="AX345" s="36">
        <v>9</v>
      </c>
      <c r="AY345" s="36">
        <v>15</v>
      </c>
      <c r="AZ345" s="36"/>
      <c r="BA345" s="36">
        <v>23</v>
      </c>
      <c r="BB345" s="36">
        <v>4</v>
      </c>
      <c r="BC345" s="36"/>
      <c r="BD345" s="36">
        <v>8</v>
      </c>
      <c r="BE345" s="36">
        <v>15</v>
      </c>
      <c r="BF345" s="36">
        <v>40</v>
      </c>
      <c r="BG345" s="36">
        <v>42</v>
      </c>
      <c r="BH345" s="36">
        <v>7</v>
      </c>
      <c r="BI345" s="36">
        <v>9</v>
      </c>
      <c r="BJ345" s="36">
        <v>11</v>
      </c>
      <c r="BK345" s="36">
        <v>8</v>
      </c>
      <c r="BL345" s="36"/>
      <c r="BM345" s="36">
        <v>2</v>
      </c>
      <c r="BN345" s="36">
        <v>2</v>
      </c>
      <c r="BO345" s="36"/>
      <c r="BP345" s="36">
        <v>7</v>
      </c>
      <c r="BQ345" s="36">
        <v>7</v>
      </c>
      <c r="BR345" s="36"/>
      <c r="BS345" s="36">
        <v>8</v>
      </c>
      <c r="BT345" s="36">
        <v>3</v>
      </c>
      <c r="BU345" s="36">
        <v>8</v>
      </c>
      <c r="BV345" s="36">
        <v>8</v>
      </c>
      <c r="BW345" s="36">
        <v>6</v>
      </c>
      <c r="BX345" s="36"/>
      <c r="BY345" s="36"/>
      <c r="BZ345" s="36"/>
      <c r="CA345" s="36"/>
      <c r="CB345" s="36"/>
      <c r="CC345" s="36"/>
      <c r="CD345" s="36"/>
      <c r="CE345" s="36"/>
      <c r="CF345" s="36">
        <v>2</v>
      </c>
      <c r="CG345" s="36">
        <v>2</v>
      </c>
      <c r="CH345" s="36">
        <v>2</v>
      </c>
      <c r="CI345" s="36">
        <v>1</v>
      </c>
      <c r="CK345" s="4" t="b">
        <f t="shared" si="5"/>
        <v>0</v>
      </c>
    </row>
    <row r="346" spans="1:89" ht="60" customHeight="1">
      <c r="A346" s="32" t="s">
        <v>87</v>
      </c>
      <c r="B346" s="32" t="s">
        <v>120</v>
      </c>
      <c r="C346" s="32" t="s">
        <v>498</v>
      </c>
      <c r="D346" s="34"/>
      <c r="E346" s="34"/>
      <c r="F346" s="34"/>
      <c r="G346" s="34"/>
      <c r="H346" s="34"/>
      <c r="I346" s="34"/>
      <c r="J346" s="34"/>
      <c r="K346" s="34"/>
      <c r="L346" s="34"/>
      <c r="M346" s="34"/>
      <c r="N346" s="34"/>
      <c r="O346" s="34"/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  <c r="AA346" s="34"/>
      <c r="AB346" s="36"/>
      <c r="AC346" s="36"/>
      <c r="AD346" s="36">
        <v>15</v>
      </c>
      <c r="AE346" s="36">
        <v>14</v>
      </c>
      <c r="AF346" s="36">
        <v>15</v>
      </c>
      <c r="AG346" s="36">
        <v>27</v>
      </c>
      <c r="AH346" s="36">
        <v>30</v>
      </c>
      <c r="AI346" s="36">
        <v>10</v>
      </c>
      <c r="AJ346" s="36">
        <v>45</v>
      </c>
      <c r="AK346" s="36"/>
      <c r="AL346" s="36">
        <v>25</v>
      </c>
      <c r="AM346" s="36">
        <v>21</v>
      </c>
      <c r="AN346" s="36"/>
      <c r="AO346" s="36"/>
      <c r="AP346" s="36">
        <v>15</v>
      </c>
      <c r="AQ346" s="36">
        <v>16</v>
      </c>
      <c r="AR346" s="36">
        <v>16</v>
      </c>
      <c r="AS346" s="36">
        <v>20</v>
      </c>
      <c r="AT346" s="36">
        <v>35</v>
      </c>
      <c r="AU346" s="36">
        <v>20</v>
      </c>
      <c r="AV346" s="36">
        <v>36</v>
      </c>
      <c r="AW346" s="36"/>
      <c r="AX346" s="36">
        <v>30</v>
      </c>
      <c r="AY346" s="36">
        <v>19</v>
      </c>
      <c r="AZ346" s="36"/>
      <c r="BA346" s="36"/>
      <c r="BB346" s="36">
        <v>6</v>
      </c>
      <c r="BC346" s="36">
        <v>5</v>
      </c>
      <c r="BD346" s="36">
        <v>2</v>
      </c>
      <c r="BE346" s="36">
        <v>7</v>
      </c>
      <c r="BF346" s="36">
        <v>8</v>
      </c>
      <c r="BG346" s="36">
        <v>13</v>
      </c>
      <c r="BH346" s="36">
        <v>18</v>
      </c>
      <c r="BI346" s="36"/>
      <c r="BJ346" s="36">
        <v>5</v>
      </c>
      <c r="BK346" s="36">
        <v>4</v>
      </c>
      <c r="BL346" s="36"/>
      <c r="BM346" s="36"/>
      <c r="BN346" s="36">
        <v>3</v>
      </c>
      <c r="BO346" s="36">
        <v>2</v>
      </c>
      <c r="BP346" s="36">
        <v>5</v>
      </c>
      <c r="BQ346" s="36">
        <v>3</v>
      </c>
      <c r="BR346" s="36">
        <v>3</v>
      </c>
      <c r="BS346" s="36"/>
      <c r="BT346" s="36"/>
      <c r="BU346" s="36"/>
      <c r="BV346" s="36">
        <v>7</v>
      </c>
      <c r="BW346" s="36">
        <v>2</v>
      </c>
      <c r="BX346" s="36"/>
      <c r="BY346" s="36"/>
      <c r="BZ346" s="36">
        <v>4</v>
      </c>
      <c r="CA346" s="36">
        <v>2</v>
      </c>
      <c r="CB346" s="36">
        <v>6</v>
      </c>
      <c r="CC346" s="36">
        <v>2</v>
      </c>
      <c r="CD346" s="36">
        <v>4</v>
      </c>
      <c r="CE346" s="36">
        <v>3</v>
      </c>
      <c r="CF346" s="36"/>
      <c r="CG346" s="36"/>
      <c r="CH346" s="36">
        <v>4</v>
      </c>
      <c r="CI346" s="36">
        <v>1</v>
      </c>
      <c r="CK346" s="4" t="b">
        <f t="shared" si="5"/>
        <v>0</v>
      </c>
    </row>
    <row r="347" spans="1:89" ht="75" customHeight="1">
      <c r="A347" s="32" t="s">
        <v>87</v>
      </c>
      <c r="B347" s="32" t="s">
        <v>120</v>
      </c>
      <c r="C347" s="32" t="s">
        <v>499</v>
      </c>
      <c r="D347" s="34"/>
      <c r="E347" s="34"/>
      <c r="F347" s="34"/>
      <c r="G347" s="34"/>
      <c r="H347" s="34">
        <v>50</v>
      </c>
      <c r="I347" s="34"/>
      <c r="J347" s="34"/>
      <c r="K347" s="34"/>
      <c r="L347" s="34"/>
      <c r="M347" s="34"/>
      <c r="N347" s="34"/>
      <c r="O347" s="34"/>
      <c r="P347" s="34"/>
      <c r="Q347" s="34"/>
      <c r="R347" s="34"/>
      <c r="S347" s="34"/>
      <c r="T347" s="34"/>
      <c r="U347" s="34"/>
      <c r="V347" s="34"/>
      <c r="W347" s="34"/>
      <c r="X347" s="34"/>
      <c r="Y347" s="34"/>
      <c r="Z347" s="34"/>
      <c r="AA347" s="34"/>
      <c r="AB347" s="36"/>
      <c r="AC347" s="36"/>
      <c r="AD347" s="36"/>
      <c r="AE347" s="36"/>
      <c r="AF347" s="36"/>
      <c r="AG347" s="36"/>
      <c r="AH347" s="36"/>
      <c r="AI347" s="36"/>
      <c r="AJ347" s="36"/>
      <c r="AK347" s="36"/>
      <c r="AL347" s="36"/>
      <c r="AM347" s="36"/>
      <c r="AN347" s="36"/>
      <c r="AO347" s="36"/>
      <c r="AP347" s="36"/>
      <c r="AQ347" s="36"/>
      <c r="AR347" s="36"/>
      <c r="AS347" s="36"/>
      <c r="AT347" s="36"/>
      <c r="AU347" s="36"/>
      <c r="AV347" s="36"/>
      <c r="AW347" s="36"/>
      <c r="AX347" s="36"/>
      <c r="AY347" s="36"/>
      <c r="AZ347" s="36"/>
      <c r="BA347" s="36"/>
      <c r="BB347" s="36"/>
      <c r="BC347" s="36"/>
      <c r="BD347" s="36"/>
      <c r="BE347" s="36"/>
      <c r="BF347" s="36"/>
      <c r="BG347" s="36"/>
      <c r="BH347" s="36"/>
      <c r="BI347" s="36"/>
      <c r="BJ347" s="36"/>
      <c r="BK347" s="36"/>
      <c r="BL347" s="36"/>
      <c r="BM347" s="36"/>
      <c r="BN347" s="36"/>
      <c r="BO347" s="36"/>
      <c r="BP347" s="36"/>
      <c r="BQ347" s="36"/>
      <c r="BR347" s="36"/>
      <c r="BS347" s="36"/>
      <c r="BT347" s="36"/>
      <c r="BU347" s="36"/>
      <c r="BV347" s="36"/>
      <c r="BW347" s="36"/>
      <c r="BX347" s="36"/>
      <c r="BY347" s="36"/>
      <c r="BZ347" s="36"/>
      <c r="CA347" s="36"/>
      <c r="CB347" s="36"/>
      <c r="CC347" s="36"/>
      <c r="CD347" s="36"/>
      <c r="CE347" s="36"/>
      <c r="CF347" s="36"/>
      <c r="CG347" s="36"/>
      <c r="CH347" s="36"/>
      <c r="CI347" s="36"/>
      <c r="CK347" s="4" t="b">
        <f t="shared" si="5"/>
        <v>0</v>
      </c>
    </row>
    <row r="348" spans="1:89" ht="60" customHeight="1">
      <c r="A348" s="32" t="s">
        <v>109</v>
      </c>
      <c r="B348" s="32" t="s">
        <v>205</v>
      </c>
      <c r="C348" s="32" t="s">
        <v>500</v>
      </c>
      <c r="D348" s="34"/>
      <c r="E348" s="34"/>
      <c r="F348" s="34">
        <v>50</v>
      </c>
      <c r="G348" s="34"/>
      <c r="H348" s="34">
        <v>100</v>
      </c>
      <c r="I348" s="34">
        <v>100</v>
      </c>
      <c r="J348" s="34">
        <v>100</v>
      </c>
      <c r="K348" s="34">
        <v>50</v>
      </c>
      <c r="L348" s="34">
        <v>50</v>
      </c>
      <c r="M348" s="34"/>
      <c r="N348" s="34">
        <v>100</v>
      </c>
      <c r="O348" s="34"/>
      <c r="P348" s="34"/>
      <c r="Q348" s="34"/>
      <c r="R348" s="34">
        <v>50</v>
      </c>
      <c r="S348" s="34">
        <v>50</v>
      </c>
      <c r="T348" s="34"/>
      <c r="U348" s="34"/>
      <c r="V348" s="34">
        <v>100</v>
      </c>
      <c r="W348" s="34"/>
      <c r="X348" s="34"/>
      <c r="Y348" s="34"/>
      <c r="Z348" s="34"/>
      <c r="AA348" s="34"/>
      <c r="AB348" s="36"/>
      <c r="AC348" s="36">
        <v>16</v>
      </c>
      <c r="AD348" s="36">
        <v>5</v>
      </c>
      <c r="AE348" s="36">
        <v>2</v>
      </c>
      <c r="AF348" s="36">
        <v>5</v>
      </c>
      <c r="AG348" s="36">
        <v>6</v>
      </c>
      <c r="AH348" s="36">
        <v>10</v>
      </c>
      <c r="AI348" s="36">
        <v>7</v>
      </c>
      <c r="AJ348" s="36">
        <v>6</v>
      </c>
      <c r="AK348" s="36"/>
      <c r="AL348" s="36">
        <v>3</v>
      </c>
      <c r="AM348" s="36"/>
      <c r="AN348" s="36"/>
      <c r="AO348" s="36">
        <v>16</v>
      </c>
      <c r="AP348" s="36">
        <v>9</v>
      </c>
      <c r="AQ348" s="36">
        <v>3</v>
      </c>
      <c r="AR348" s="36">
        <v>7</v>
      </c>
      <c r="AS348" s="36">
        <v>10</v>
      </c>
      <c r="AT348" s="36">
        <v>9</v>
      </c>
      <c r="AU348" s="36">
        <v>5</v>
      </c>
      <c r="AV348" s="36">
        <v>5</v>
      </c>
      <c r="AW348" s="36"/>
      <c r="AX348" s="36">
        <v>4</v>
      </c>
      <c r="AY348" s="36"/>
      <c r="AZ348" s="36"/>
      <c r="BA348" s="36">
        <v>11</v>
      </c>
      <c r="BB348" s="36">
        <v>8</v>
      </c>
      <c r="BC348" s="36">
        <v>6</v>
      </c>
      <c r="BD348" s="36">
        <v>10</v>
      </c>
      <c r="BE348" s="36">
        <v>8</v>
      </c>
      <c r="BF348" s="36">
        <v>7</v>
      </c>
      <c r="BG348" s="36">
        <v>8</v>
      </c>
      <c r="BH348" s="36">
        <v>17</v>
      </c>
      <c r="BI348" s="36"/>
      <c r="BJ348" s="36">
        <v>12</v>
      </c>
      <c r="BK348" s="36"/>
      <c r="BL348" s="36"/>
      <c r="BM348" s="36">
        <v>3</v>
      </c>
      <c r="BN348" s="36"/>
      <c r="BO348" s="36"/>
      <c r="BP348" s="36"/>
      <c r="BQ348" s="36"/>
      <c r="BR348" s="36"/>
      <c r="BS348" s="36"/>
      <c r="BT348" s="36"/>
      <c r="BU348" s="36"/>
      <c r="BV348" s="36">
        <v>1</v>
      </c>
      <c r="BW348" s="36"/>
      <c r="BX348" s="36"/>
      <c r="BY348" s="36"/>
      <c r="BZ348" s="36"/>
      <c r="CA348" s="36"/>
      <c r="CB348" s="36"/>
      <c r="CC348" s="36"/>
      <c r="CD348" s="36"/>
      <c r="CE348" s="36"/>
      <c r="CF348" s="36"/>
      <c r="CG348" s="36"/>
      <c r="CH348" s="36"/>
      <c r="CI348" s="36"/>
      <c r="CK348" s="4" t="b">
        <f t="shared" si="5"/>
        <v>0</v>
      </c>
    </row>
    <row r="349" spans="1:89" ht="60" customHeight="1">
      <c r="A349" s="32" t="s">
        <v>87</v>
      </c>
      <c r="B349" s="32" t="s">
        <v>120</v>
      </c>
      <c r="C349" s="32" t="s">
        <v>501</v>
      </c>
      <c r="D349" s="34"/>
      <c r="E349" s="34"/>
      <c r="F349" s="34"/>
      <c r="G349" s="34"/>
      <c r="H349" s="34">
        <v>100</v>
      </c>
      <c r="I349" s="34">
        <v>100</v>
      </c>
      <c r="J349" s="34"/>
      <c r="K349" s="34">
        <v>100</v>
      </c>
      <c r="L349" s="34">
        <v>100</v>
      </c>
      <c r="M349" s="34">
        <v>100</v>
      </c>
      <c r="N349" s="34">
        <v>100</v>
      </c>
      <c r="O349" s="34"/>
      <c r="P349" s="34"/>
      <c r="Q349" s="34"/>
      <c r="R349" s="34"/>
      <c r="S349" s="34"/>
      <c r="T349" s="34"/>
      <c r="U349" s="34"/>
      <c r="V349" s="34"/>
      <c r="W349" s="34"/>
      <c r="X349" s="34"/>
      <c r="Y349" s="34"/>
      <c r="Z349" s="34"/>
      <c r="AA349" s="34"/>
      <c r="AB349" s="36"/>
      <c r="AC349" s="36"/>
      <c r="AD349" s="36"/>
      <c r="AE349" s="36"/>
      <c r="AF349" s="36">
        <v>6</v>
      </c>
      <c r="AG349" s="36">
        <v>1</v>
      </c>
      <c r="AH349" s="36">
        <v>2</v>
      </c>
      <c r="AI349" s="36">
        <v>2</v>
      </c>
      <c r="AJ349" s="36">
        <v>28</v>
      </c>
      <c r="AK349" s="36">
        <v>4</v>
      </c>
      <c r="AL349" s="36"/>
      <c r="AM349" s="36"/>
      <c r="AN349" s="36"/>
      <c r="AO349" s="36"/>
      <c r="AP349" s="36"/>
      <c r="AQ349" s="36"/>
      <c r="AR349" s="36">
        <v>3</v>
      </c>
      <c r="AS349" s="36">
        <v>1</v>
      </c>
      <c r="AT349" s="36">
        <v>3</v>
      </c>
      <c r="AU349" s="36">
        <v>3</v>
      </c>
      <c r="AV349" s="36">
        <v>31</v>
      </c>
      <c r="AW349" s="36">
        <v>3</v>
      </c>
      <c r="AX349" s="36">
        <v>1</v>
      </c>
      <c r="AY349" s="36"/>
      <c r="AZ349" s="36"/>
      <c r="BA349" s="36"/>
      <c r="BB349" s="36"/>
      <c r="BC349" s="36"/>
      <c r="BD349" s="36">
        <v>4</v>
      </c>
      <c r="BE349" s="36">
        <v>1</v>
      </c>
      <c r="BF349" s="36">
        <v>2</v>
      </c>
      <c r="BG349" s="36">
        <v>11</v>
      </c>
      <c r="BH349" s="36">
        <v>5</v>
      </c>
      <c r="BI349" s="36">
        <v>5</v>
      </c>
      <c r="BJ349" s="36">
        <v>6</v>
      </c>
      <c r="BK349" s="36"/>
      <c r="BL349" s="36"/>
      <c r="BM349" s="36"/>
      <c r="BN349" s="36"/>
      <c r="BO349" s="36"/>
      <c r="BP349" s="36">
        <v>6</v>
      </c>
      <c r="BQ349" s="36">
        <v>6</v>
      </c>
      <c r="BR349" s="36">
        <v>3</v>
      </c>
      <c r="BS349" s="36">
        <v>9</v>
      </c>
      <c r="BT349" s="36">
        <v>3</v>
      </c>
      <c r="BU349" s="36">
        <v>4</v>
      </c>
      <c r="BV349" s="36">
        <v>4</v>
      </c>
      <c r="BW349" s="36"/>
      <c r="BX349" s="36"/>
      <c r="BY349" s="36"/>
      <c r="BZ349" s="36"/>
      <c r="CA349" s="36"/>
      <c r="CB349" s="36">
        <v>5</v>
      </c>
      <c r="CC349" s="36"/>
      <c r="CD349" s="36">
        <v>2</v>
      </c>
      <c r="CE349" s="36">
        <v>6</v>
      </c>
      <c r="CF349" s="36">
        <v>5</v>
      </c>
      <c r="CG349" s="36">
        <v>5</v>
      </c>
      <c r="CH349" s="36">
        <v>5</v>
      </c>
      <c r="CI349" s="36"/>
      <c r="CK349" s="4" t="b">
        <f t="shared" si="5"/>
        <v>0</v>
      </c>
    </row>
    <row r="350" spans="1:89" ht="90" customHeight="1">
      <c r="A350" s="32" t="s">
        <v>87</v>
      </c>
      <c r="B350" s="32" t="s">
        <v>188</v>
      </c>
      <c r="C350" s="32" t="s">
        <v>502</v>
      </c>
      <c r="D350" s="34"/>
      <c r="E350" s="34"/>
      <c r="F350" s="34"/>
      <c r="G350" s="34"/>
      <c r="H350" s="34"/>
      <c r="I350" s="34"/>
      <c r="J350" s="34"/>
      <c r="K350" s="34"/>
      <c r="L350" s="34"/>
      <c r="M350" s="34"/>
      <c r="N350" s="34"/>
      <c r="O350" s="34"/>
      <c r="P350" s="34"/>
      <c r="Q350" s="34"/>
      <c r="R350" s="34"/>
      <c r="S350" s="34"/>
      <c r="T350" s="34"/>
      <c r="U350" s="34"/>
      <c r="V350" s="34"/>
      <c r="W350" s="34"/>
      <c r="X350" s="34"/>
      <c r="Y350" s="34"/>
      <c r="Z350" s="34"/>
      <c r="AA350" s="34"/>
      <c r="AB350" s="36"/>
      <c r="AC350" s="36"/>
      <c r="AD350" s="36"/>
      <c r="AE350" s="36"/>
      <c r="AF350" s="36"/>
      <c r="AG350" s="36"/>
      <c r="AH350" s="36"/>
      <c r="AI350" s="36"/>
      <c r="AJ350" s="36"/>
      <c r="AK350" s="36"/>
      <c r="AL350" s="36"/>
      <c r="AM350" s="36"/>
      <c r="AN350" s="36"/>
      <c r="AO350" s="36"/>
      <c r="AP350" s="36"/>
      <c r="AQ350" s="36"/>
      <c r="AR350" s="36"/>
      <c r="AS350" s="36"/>
      <c r="AT350" s="36"/>
      <c r="AU350" s="36"/>
      <c r="AV350" s="36"/>
      <c r="AW350" s="36"/>
      <c r="AX350" s="36"/>
      <c r="AY350" s="36"/>
      <c r="AZ350" s="36"/>
      <c r="BA350" s="36"/>
      <c r="BB350" s="36">
        <v>22</v>
      </c>
      <c r="BC350" s="36">
        <v>35</v>
      </c>
      <c r="BD350" s="36">
        <v>37</v>
      </c>
      <c r="BE350" s="36">
        <v>36</v>
      </c>
      <c r="BF350" s="36">
        <v>29</v>
      </c>
      <c r="BG350" s="36">
        <v>40</v>
      </c>
      <c r="BH350" s="36">
        <v>27</v>
      </c>
      <c r="BI350" s="36">
        <v>27</v>
      </c>
      <c r="BJ350" s="36">
        <v>24</v>
      </c>
      <c r="BK350" s="36">
        <v>27</v>
      </c>
      <c r="BL350" s="36"/>
      <c r="BM350" s="36"/>
      <c r="BN350" s="36">
        <v>8</v>
      </c>
      <c r="BO350" s="36">
        <v>6</v>
      </c>
      <c r="BP350" s="36">
        <v>8</v>
      </c>
      <c r="BQ350" s="36">
        <v>5</v>
      </c>
      <c r="BR350" s="36">
        <v>12</v>
      </c>
      <c r="BS350" s="36">
        <v>7</v>
      </c>
      <c r="BT350" s="36">
        <v>16</v>
      </c>
      <c r="BU350" s="36">
        <v>9</v>
      </c>
      <c r="BV350" s="36">
        <v>12</v>
      </c>
      <c r="BW350" s="36">
        <v>7</v>
      </c>
      <c r="BX350" s="36"/>
      <c r="BY350" s="36"/>
      <c r="BZ350" s="36">
        <v>4</v>
      </c>
      <c r="CA350" s="36">
        <v>6</v>
      </c>
      <c r="CB350" s="36">
        <v>4</v>
      </c>
      <c r="CC350" s="36">
        <v>2</v>
      </c>
      <c r="CD350" s="36">
        <v>6</v>
      </c>
      <c r="CE350" s="36">
        <v>2</v>
      </c>
      <c r="CF350" s="36">
        <v>4</v>
      </c>
      <c r="CG350" s="36">
        <v>3</v>
      </c>
      <c r="CH350" s="36">
        <v>2</v>
      </c>
      <c r="CI350" s="36">
        <v>3</v>
      </c>
      <c r="CK350" s="4" t="b">
        <f t="shared" si="5"/>
        <v>0</v>
      </c>
    </row>
    <row r="351" spans="1:89" ht="60" customHeight="1">
      <c r="A351" s="32" t="s">
        <v>144</v>
      </c>
      <c r="B351" s="32" t="s">
        <v>303</v>
      </c>
      <c r="C351" s="32" t="s">
        <v>503</v>
      </c>
      <c r="D351" s="34"/>
      <c r="E351" s="34">
        <v>100</v>
      </c>
      <c r="F351" s="34">
        <v>100</v>
      </c>
      <c r="G351" s="34">
        <v>100</v>
      </c>
      <c r="H351" s="34">
        <v>100</v>
      </c>
      <c r="I351" s="34">
        <v>75</v>
      </c>
      <c r="J351" s="34">
        <v>25</v>
      </c>
      <c r="K351" s="34">
        <v>75</v>
      </c>
      <c r="L351" s="34">
        <v>100</v>
      </c>
      <c r="M351" s="34">
        <v>100</v>
      </c>
      <c r="N351" s="34">
        <v>100</v>
      </c>
      <c r="O351" s="34">
        <v>100</v>
      </c>
      <c r="P351" s="34"/>
      <c r="Q351" s="34">
        <v>100</v>
      </c>
      <c r="R351" s="34">
        <v>100</v>
      </c>
      <c r="S351" s="34">
        <v>100</v>
      </c>
      <c r="T351" s="34">
        <v>33.33</v>
      </c>
      <c r="U351" s="34">
        <v>33.33</v>
      </c>
      <c r="V351" s="34">
        <v>33.33</v>
      </c>
      <c r="W351" s="34">
        <v>66.67</v>
      </c>
      <c r="X351" s="34">
        <v>100</v>
      </c>
      <c r="Y351" s="34">
        <v>100</v>
      </c>
      <c r="Z351" s="34">
        <v>50</v>
      </c>
      <c r="AA351" s="34">
        <v>100</v>
      </c>
      <c r="AB351" s="36"/>
      <c r="AC351" s="36">
        <v>5</v>
      </c>
      <c r="AD351" s="36">
        <v>5</v>
      </c>
      <c r="AE351" s="36"/>
      <c r="AF351" s="36">
        <v>9</v>
      </c>
      <c r="AG351" s="36">
        <v>5</v>
      </c>
      <c r="AH351" s="36">
        <v>7</v>
      </c>
      <c r="AI351" s="36">
        <v>22</v>
      </c>
      <c r="AJ351" s="36">
        <v>7</v>
      </c>
      <c r="AK351" s="36">
        <v>11</v>
      </c>
      <c r="AL351" s="36">
        <v>16</v>
      </c>
      <c r="AM351" s="36">
        <v>20</v>
      </c>
      <c r="AN351" s="36"/>
      <c r="AO351" s="36">
        <v>21</v>
      </c>
      <c r="AP351" s="36">
        <v>11</v>
      </c>
      <c r="AQ351" s="36">
        <v>2</v>
      </c>
      <c r="AR351" s="36">
        <v>5</v>
      </c>
      <c r="AS351" s="36"/>
      <c r="AT351" s="36">
        <v>9</v>
      </c>
      <c r="AU351" s="36">
        <v>5</v>
      </c>
      <c r="AV351" s="36">
        <v>7</v>
      </c>
      <c r="AW351" s="36">
        <v>22</v>
      </c>
      <c r="AX351" s="36">
        <v>7</v>
      </c>
      <c r="AY351" s="36">
        <v>11</v>
      </c>
      <c r="AZ351" s="36"/>
      <c r="BA351" s="36">
        <v>2</v>
      </c>
      <c r="BB351" s="36">
        <v>2</v>
      </c>
      <c r="BC351" s="36">
        <v>2</v>
      </c>
      <c r="BD351" s="36"/>
      <c r="BE351" s="36">
        <v>2</v>
      </c>
      <c r="BF351" s="36"/>
      <c r="BG351" s="36">
        <v>3</v>
      </c>
      <c r="BH351" s="36">
        <v>3</v>
      </c>
      <c r="BI351" s="36">
        <v>3</v>
      </c>
      <c r="BJ351" s="36">
        <v>3</v>
      </c>
      <c r="BK351" s="36"/>
      <c r="BL351" s="36"/>
      <c r="BM351" s="36">
        <v>6</v>
      </c>
      <c r="BN351" s="36">
        <v>2</v>
      </c>
      <c r="BO351" s="36"/>
      <c r="BP351" s="36"/>
      <c r="BQ351" s="36">
        <v>2</v>
      </c>
      <c r="BR351" s="36">
        <v>2</v>
      </c>
      <c r="BS351" s="36"/>
      <c r="BT351" s="36">
        <v>3</v>
      </c>
      <c r="BU351" s="36">
        <v>3</v>
      </c>
      <c r="BV351" s="36"/>
      <c r="BW351" s="36"/>
      <c r="BX351" s="36"/>
      <c r="BY351" s="36"/>
      <c r="BZ351" s="36"/>
      <c r="CA351" s="36"/>
      <c r="CB351" s="36"/>
      <c r="CC351" s="36"/>
      <c r="CD351" s="36"/>
      <c r="CE351" s="36"/>
      <c r="CF351" s="36"/>
      <c r="CG351" s="36">
        <v>3</v>
      </c>
      <c r="CH351" s="36"/>
      <c r="CI351" s="36"/>
      <c r="CK351" s="4" t="b">
        <f t="shared" si="5"/>
        <v>0</v>
      </c>
    </row>
    <row r="352" spans="1:89" ht="60" customHeight="1">
      <c r="A352" s="32" t="s">
        <v>87</v>
      </c>
      <c r="B352" s="32" t="s">
        <v>104</v>
      </c>
      <c r="C352" s="32" t="s">
        <v>504</v>
      </c>
      <c r="D352" s="34"/>
      <c r="E352" s="34"/>
      <c r="F352" s="34"/>
      <c r="G352" s="34"/>
      <c r="H352" s="34"/>
      <c r="I352" s="34">
        <v>100</v>
      </c>
      <c r="J352" s="34">
        <v>100</v>
      </c>
      <c r="K352" s="34"/>
      <c r="L352" s="34">
        <v>100</v>
      </c>
      <c r="M352" s="34"/>
      <c r="N352" s="34"/>
      <c r="O352" s="34">
        <v>100</v>
      </c>
      <c r="P352" s="34"/>
      <c r="Q352" s="34"/>
      <c r="R352" s="34"/>
      <c r="S352" s="34"/>
      <c r="T352" s="34"/>
      <c r="U352" s="34"/>
      <c r="V352" s="34"/>
      <c r="W352" s="34"/>
      <c r="X352" s="34"/>
      <c r="Y352" s="34"/>
      <c r="Z352" s="34"/>
      <c r="AA352" s="34"/>
      <c r="AB352" s="36"/>
      <c r="AC352" s="36">
        <v>3</v>
      </c>
      <c r="AD352" s="36">
        <v>2</v>
      </c>
      <c r="AE352" s="36">
        <v>3</v>
      </c>
      <c r="AF352" s="36">
        <v>9</v>
      </c>
      <c r="AG352" s="36">
        <v>8</v>
      </c>
      <c r="AH352" s="36">
        <v>7</v>
      </c>
      <c r="AI352" s="36">
        <v>8</v>
      </c>
      <c r="AJ352" s="36">
        <v>5</v>
      </c>
      <c r="AK352" s="36"/>
      <c r="AL352" s="36">
        <v>1</v>
      </c>
      <c r="AM352" s="36">
        <v>2</v>
      </c>
      <c r="AN352" s="36"/>
      <c r="AO352" s="36">
        <v>4</v>
      </c>
      <c r="AP352" s="36">
        <v>6</v>
      </c>
      <c r="AQ352" s="36">
        <v>3</v>
      </c>
      <c r="AR352" s="36">
        <v>1</v>
      </c>
      <c r="AS352" s="36">
        <v>3</v>
      </c>
      <c r="AT352" s="36">
        <v>8</v>
      </c>
      <c r="AU352" s="36">
        <v>5</v>
      </c>
      <c r="AV352" s="36">
        <v>3</v>
      </c>
      <c r="AW352" s="36"/>
      <c r="AX352" s="36">
        <v>3</v>
      </c>
      <c r="AY352" s="36">
        <v>4</v>
      </c>
      <c r="AZ352" s="36"/>
      <c r="BA352" s="36">
        <v>85</v>
      </c>
      <c r="BB352" s="36">
        <v>6</v>
      </c>
      <c r="BC352" s="36">
        <v>4</v>
      </c>
      <c r="BD352" s="36">
        <v>7</v>
      </c>
      <c r="BE352" s="36">
        <v>5</v>
      </c>
      <c r="BF352" s="36">
        <v>5</v>
      </c>
      <c r="BG352" s="36">
        <v>7</v>
      </c>
      <c r="BH352" s="36">
        <v>11</v>
      </c>
      <c r="BI352" s="36"/>
      <c r="BJ352" s="36">
        <v>13</v>
      </c>
      <c r="BK352" s="36">
        <v>6</v>
      </c>
      <c r="BL352" s="36"/>
      <c r="BM352" s="36">
        <v>85</v>
      </c>
      <c r="BN352" s="36">
        <v>49</v>
      </c>
      <c r="BO352" s="36">
        <v>12</v>
      </c>
      <c r="BP352" s="36">
        <v>9</v>
      </c>
      <c r="BQ352" s="36">
        <v>3</v>
      </c>
      <c r="BR352" s="36">
        <v>2</v>
      </c>
      <c r="BS352" s="36">
        <v>6</v>
      </c>
      <c r="BT352" s="36">
        <v>6</v>
      </c>
      <c r="BU352" s="36"/>
      <c r="BV352" s="36">
        <v>8</v>
      </c>
      <c r="BW352" s="36">
        <v>5</v>
      </c>
      <c r="BX352" s="36"/>
      <c r="BY352" s="36">
        <v>9</v>
      </c>
      <c r="BZ352" s="36">
        <v>19</v>
      </c>
      <c r="CA352" s="36">
        <v>16</v>
      </c>
      <c r="CB352" s="36">
        <v>2</v>
      </c>
      <c r="CC352" s="36">
        <v>5</v>
      </c>
      <c r="CD352" s="36">
        <v>5</v>
      </c>
      <c r="CE352" s="36">
        <v>4</v>
      </c>
      <c r="CF352" s="36">
        <v>1</v>
      </c>
      <c r="CG352" s="36"/>
      <c r="CH352" s="36">
        <v>2</v>
      </c>
      <c r="CI352" s="36"/>
      <c r="CK352" s="4" t="b">
        <f t="shared" si="5"/>
        <v>0</v>
      </c>
    </row>
    <row r="353" spans="1:89" ht="90" customHeight="1">
      <c r="A353" s="32" t="s">
        <v>109</v>
      </c>
      <c r="B353" s="32" t="s">
        <v>372</v>
      </c>
      <c r="C353" s="32" t="s">
        <v>505</v>
      </c>
      <c r="D353" s="34"/>
      <c r="E353" s="34"/>
      <c r="F353" s="34">
        <v>100</v>
      </c>
      <c r="G353" s="34">
        <v>100</v>
      </c>
      <c r="H353" s="34"/>
      <c r="I353" s="34">
        <v>100</v>
      </c>
      <c r="J353" s="34">
        <v>100</v>
      </c>
      <c r="K353" s="34">
        <v>100</v>
      </c>
      <c r="L353" s="34"/>
      <c r="M353" s="34">
        <v>100</v>
      </c>
      <c r="N353" s="34">
        <v>100</v>
      </c>
      <c r="O353" s="34"/>
      <c r="P353" s="34"/>
      <c r="Q353" s="34"/>
      <c r="R353" s="34">
        <v>100</v>
      </c>
      <c r="S353" s="34">
        <v>100</v>
      </c>
      <c r="T353" s="34"/>
      <c r="U353" s="34">
        <v>100</v>
      </c>
      <c r="V353" s="34">
        <v>100</v>
      </c>
      <c r="W353" s="34">
        <v>100</v>
      </c>
      <c r="X353" s="34"/>
      <c r="Y353" s="34">
        <v>100</v>
      </c>
      <c r="Z353" s="34">
        <v>100</v>
      </c>
      <c r="AA353" s="34"/>
      <c r="AB353" s="36"/>
      <c r="AC353" s="36"/>
      <c r="AD353" s="36">
        <v>26</v>
      </c>
      <c r="AE353" s="36">
        <v>27</v>
      </c>
      <c r="AF353" s="36"/>
      <c r="AG353" s="36">
        <v>29</v>
      </c>
      <c r="AH353" s="36">
        <v>22</v>
      </c>
      <c r="AI353" s="36">
        <v>25</v>
      </c>
      <c r="AJ353" s="36"/>
      <c r="AK353" s="36">
        <v>26</v>
      </c>
      <c r="AL353" s="36">
        <v>27</v>
      </c>
      <c r="AM353" s="36"/>
      <c r="AN353" s="36"/>
      <c r="AO353" s="36"/>
      <c r="AP353" s="36">
        <v>22</v>
      </c>
      <c r="AQ353" s="36">
        <v>24</v>
      </c>
      <c r="AR353" s="36"/>
      <c r="AS353" s="36">
        <v>35</v>
      </c>
      <c r="AT353" s="36">
        <v>19</v>
      </c>
      <c r="AU353" s="36">
        <v>23</v>
      </c>
      <c r="AV353" s="36"/>
      <c r="AW353" s="36">
        <v>24</v>
      </c>
      <c r="AX353" s="36">
        <v>21</v>
      </c>
      <c r="AY353" s="36"/>
      <c r="AZ353" s="36"/>
      <c r="BA353" s="36"/>
      <c r="BB353" s="36">
        <v>1</v>
      </c>
      <c r="BC353" s="36"/>
      <c r="BD353" s="36"/>
      <c r="BE353" s="36"/>
      <c r="BF353" s="36"/>
      <c r="BG353" s="36"/>
      <c r="BH353" s="36"/>
      <c r="BI353" s="36"/>
      <c r="BJ353" s="36"/>
      <c r="BK353" s="36"/>
      <c r="BL353" s="36"/>
      <c r="BM353" s="36"/>
      <c r="BN353" s="36"/>
      <c r="BO353" s="36"/>
      <c r="BP353" s="36"/>
      <c r="BQ353" s="36"/>
      <c r="BR353" s="36"/>
      <c r="BS353" s="36">
        <v>5</v>
      </c>
      <c r="BT353" s="36"/>
      <c r="BU353" s="36"/>
      <c r="BV353" s="36"/>
      <c r="BW353" s="36"/>
      <c r="BX353" s="36"/>
      <c r="BY353" s="36"/>
      <c r="BZ353" s="36"/>
      <c r="CA353" s="36"/>
      <c r="CB353" s="36"/>
      <c r="CC353" s="36"/>
      <c r="CD353" s="36"/>
      <c r="CE353" s="36">
        <v>5</v>
      </c>
      <c r="CF353" s="36"/>
      <c r="CG353" s="36"/>
      <c r="CH353" s="36"/>
      <c r="CI353" s="36"/>
      <c r="CK353" s="4" t="b">
        <f t="shared" si="5"/>
        <v>0</v>
      </c>
    </row>
    <row r="354" spans="1:89" ht="60" customHeight="1">
      <c r="A354" s="32" t="s">
        <v>87</v>
      </c>
      <c r="B354" s="32" t="s">
        <v>232</v>
      </c>
      <c r="C354" s="32" t="s">
        <v>506</v>
      </c>
      <c r="D354" s="34"/>
      <c r="E354" s="34"/>
      <c r="F354" s="34"/>
      <c r="G354" s="34"/>
      <c r="H354" s="34"/>
      <c r="I354" s="34"/>
      <c r="J354" s="34"/>
      <c r="K354" s="34"/>
      <c r="L354" s="34"/>
      <c r="M354" s="34"/>
      <c r="N354" s="34"/>
      <c r="O354" s="34"/>
      <c r="P354" s="34"/>
      <c r="Q354" s="34"/>
      <c r="R354" s="34"/>
      <c r="S354" s="34"/>
      <c r="T354" s="34"/>
      <c r="U354" s="34"/>
      <c r="V354" s="34"/>
      <c r="W354" s="34"/>
      <c r="X354" s="34"/>
      <c r="Y354" s="34"/>
      <c r="Z354" s="34"/>
      <c r="AA354" s="34"/>
      <c r="AB354" s="36">
        <v>12</v>
      </c>
      <c r="AC354" s="36">
        <v>14</v>
      </c>
      <c r="AD354" s="36"/>
      <c r="AE354" s="36">
        <v>23</v>
      </c>
      <c r="AF354" s="36"/>
      <c r="AG354" s="36">
        <v>17</v>
      </c>
      <c r="AH354" s="36"/>
      <c r="AI354" s="36">
        <v>16</v>
      </c>
      <c r="AJ354" s="36">
        <v>10</v>
      </c>
      <c r="AK354" s="36">
        <v>7</v>
      </c>
      <c r="AL354" s="36">
        <v>9</v>
      </c>
      <c r="AM354" s="36">
        <v>8</v>
      </c>
      <c r="AN354" s="36">
        <v>17</v>
      </c>
      <c r="AO354" s="36">
        <v>19</v>
      </c>
      <c r="AP354" s="36"/>
      <c r="AQ354" s="36">
        <v>9</v>
      </c>
      <c r="AR354" s="36"/>
      <c r="AS354" s="36">
        <v>9</v>
      </c>
      <c r="AT354" s="36"/>
      <c r="AU354" s="36">
        <v>13</v>
      </c>
      <c r="AV354" s="36">
        <v>14</v>
      </c>
      <c r="AW354" s="36">
        <v>12</v>
      </c>
      <c r="AX354" s="36">
        <v>6</v>
      </c>
      <c r="AY354" s="36">
        <v>2</v>
      </c>
      <c r="AZ354" s="36"/>
      <c r="BA354" s="36">
        <v>35</v>
      </c>
      <c r="BB354" s="36"/>
      <c r="BC354" s="36">
        <v>33</v>
      </c>
      <c r="BD354" s="36"/>
      <c r="BE354" s="36">
        <v>27</v>
      </c>
      <c r="BF354" s="36"/>
      <c r="BG354" s="36">
        <v>35</v>
      </c>
      <c r="BH354" s="36">
        <v>30</v>
      </c>
      <c r="BI354" s="36">
        <v>25</v>
      </c>
      <c r="BJ354" s="36">
        <v>22</v>
      </c>
      <c r="BK354" s="36">
        <v>30</v>
      </c>
      <c r="BL354" s="36">
        <v>28</v>
      </c>
      <c r="BM354" s="36">
        <v>34</v>
      </c>
      <c r="BN354" s="36"/>
      <c r="BO354" s="36">
        <v>25</v>
      </c>
      <c r="BP354" s="36"/>
      <c r="BQ354" s="36">
        <v>8</v>
      </c>
      <c r="BR354" s="36"/>
      <c r="BS354" s="36">
        <v>20</v>
      </c>
      <c r="BT354" s="36">
        <v>30</v>
      </c>
      <c r="BU354" s="36">
        <v>18</v>
      </c>
      <c r="BV354" s="36">
        <v>12</v>
      </c>
      <c r="BW354" s="36">
        <v>20</v>
      </c>
      <c r="BX354" s="36">
        <v>25</v>
      </c>
      <c r="BY354" s="36">
        <v>12</v>
      </c>
      <c r="BZ354" s="36"/>
      <c r="CA354" s="36">
        <v>11</v>
      </c>
      <c r="CB354" s="36"/>
      <c r="CC354" s="36">
        <v>20</v>
      </c>
      <c r="CD354" s="36"/>
      <c r="CE354" s="36">
        <v>12</v>
      </c>
      <c r="CF354" s="36">
        <v>19</v>
      </c>
      <c r="CG354" s="36">
        <v>12</v>
      </c>
      <c r="CH354" s="36">
        <v>8</v>
      </c>
      <c r="CI354" s="36">
        <v>7</v>
      </c>
      <c r="CK354" s="4" t="b">
        <f t="shared" si="5"/>
        <v>0</v>
      </c>
    </row>
    <row r="355" spans="1:89" ht="75" customHeight="1">
      <c r="A355" s="32" t="s">
        <v>124</v>
      </c>
      <c r="B355" s="32" t="s">
        <v>218</v>
      </c>
      <c r="C355" s="32" t="s">
        <v>507</v>
      </c>
      <c r="D355" s="34"/>
      <c r="E355" s="34"/>
      <c r="F355" s="34">
        <v>100</v>
      </c>
      <c r="G355" s="34">
        <v>100</v>
      </c>
      <c r="H355" s="34">
        <v>200</v>
      </c>
      <c r="I355" s="34">
        <v>100</v>
      </c>
      <c r="J355" s="34">
        <v>100</v>
      </c>
      <c r="K355" s="34">
        <v>100</v>
      </c>
      <c r="L355" s="34">
        <v>100</v>
      </c>
      <c r="M355" s="34">
        <v>500</v>
      </c>
      <c r="N355" s="34">
        <v>100</v>
      </c>
      <c r="O355" s="34">
        <v>100</v>
      </c>
      <c r="P355" s="34"/>
      <c r="Q355" s="34">
        <v>20</v>
      </c>
      <c r="R355" s="34">
        <v>100</v>
      </c>
      <c r="S355" s="34">
        <v>100</v>
      </c>
      <c r="T355" s="34">
        <v>80</v>
      </c>
      <c r="U355" s="34">
        <v>80</v>
      </c>
      <c r="V355" s="34">
        <v>40</v>
      </c>
      <c r="W355" s="34"/>
      <c r="X355" s="34">
        <v>80</v>
      </c>
      <c r="Y355" s="34">
        <v>500</v>
      </c>
      <c r="Z355" s="34">
        <v>80</v>
      </c>
      <c r="AA355" s="34"/>
      <c r="AB355" s="36"/>
      <c r="AC355" s="36">
        <v>3</v>
      </c>
      <c r="AD355" s="36">
        <v>45</v>
      </c>
      <c r="AE355" s="36">
        <v>34</v>
      </c>
      <c r="AF355" s="36">
        <v>33</v>
      </c>
      <c r="AG355" s="36">
        <v>31</v>
      </c>
      <c r="AH355" s="36">
        <v>13</v>
      </c>
      <c r="AI355" s="36">
        <v>26</v>
      </c>
      <c r="AJ355" s="36">
        <v>32</v>
      </c>
      <c r="AK355" s="36">
        <v>42</v>
      </c>
      <c r="AL355" s="36">
        <v>30</v>
      </c>
      <c r="AM355" s="36">
        <v>40</v>
      </c>
      <c r="AN355" s="36"/>
      <c r="AO355" s="36">
        <v>226</v>
      </c>
      <c r="AP355" s="36">
        <v>44</v>
      </c>
      <c r="AQ355" s="36">
        <v>33</v>
      </c>
      <c r="AR355" s="36">
        <v>32</v>
      </c>
      <c r="AS355" s="36">
        <v>30</v>
      </c>
      <c r="AT355" s="36">
        <v>12</v>
      </c>
      <c r="AU355" s="36">
        <v>19</v>
      </c>
      <c r="AV355" s="36">
        <v>31</v>
      </c>
      <c r="AW355" s="36">
        <v>41</v>
      </c>
      <c r="AX355" s="36">
        <v>29</v>
      </c>
      <c r="AY355" s="36">
        <v>38</v>
      </c>
      <c r="AZ355" s="36"/>
      <c r="BA355" s="36">
        <v>13</v>
      </c>
      <c r="BB355" s="36">
        <v>33</v>
      </c>
      <c r="BC355" s="36">
        <v>29</v>
      </c>
      <c r="BD355" s="36">
        <v>25</v>
      </c>
      <c r="BE355" s="36">
        <v>23</v>
      </c>
      <c r="BF355" s="36">
        <v>13</v>
      </c>
      <c r="BG355" s="36">
        <v>20</v>
      </c>
      <c r="BH355" s="36">
        <v>29</v>
      </c>
      <c r="BI355" s="36">
        <v>30</v>
      </c>
      <c r="BJ355" s="36">
        <v>24</v>
      </c>
      <c r="BK355" s="36">
        <v>27</v>
      </c>
      <c r="BL355" s="36"/>
      <c r="BM355" s="36">
        <v>6</v>
      </c>
      <c r="BN355" s="36">
        <v>5</v>
      </c>
      <c r="BO355" s="36">
        <v>4</v>
      </c>
      <c r="BP355" s="36">
        <v>9</v>
      </c>
      <c r="BQ355" s="36">
        <v>9</v>
      </c>
      <c r="BR355" s="36">
        <v>2</v>
      </c>
      <c r="BS355" s="36">
        <v>6</v>
      </c>
      <c r="BT355" s="36">
        <v>8</v>
      </c>
      <c r="BU355" s="36">
        <v>9</v>
      </c>
      <c r="BV355" s="36">
        <v>6</v>
      </c>
      <c r="BW355" s="36">
        <v>10</v>
      </c>
      <c r="BX355" s="36"/>
      <c r="BY355" s="36"/>
      <c r="BZ355" s="36"/>
      <c r="CA355" s="36"/>
      <c r="CB355" s="36"/>
      <c r="CC355" s="36"/>
      <c r="CD355" s="36"/>
      <c r="CE355" s="36"/>
      <c r="CF355" s="36"/>
      <c r="CG355" s="36"/>
      <c r="CH355" s="36"/>
      <c r="CI355" s="36"/>
      <c r="CK355" s="4" t="b">
        <f t="shared" si="5"/>
        <v>0</v>
      </c>
    </row>
    <row r="356" spans="1:89" ht="60" customHeight="1">
      <c r="A356" s="32" t="s">
        <v>109</v>
      </c>
      <c r="B356" s="32" t="s">
        <v>110</v>
      </c>
      <c r="C356" s="32" t="s">
        <v>508</v>
      </c>
      <c r="D356" s="34"/>
      <c r="E356" s="34">
        <v>100</v>
      </c>
      <c r="F356" s="34">
        <v>100</v>
      </c>
      <c r="G356" s="34">
        <v>100</v>
      </c>
      <c r="H356" s="34">
        <v>100</v>
      </c>
      <c r="I356" s="34">
        <v>100</v>
      </c>
      <c r="J356" s="34">
        <v>100</v>
      </c>
      <c r="K356" s="34">
        <v>100</v>
      </c>
      <c r="L356" s="34">
        <v>100</v>
      </c>
      <c r="M356" s="34">
        <v>100</v>
      </c>
      <c r="N356" s="34">
        <v>100</v>
      </c>
      <c r="O356" s="34">
        <v>100</v>
      </c>
      <c r="P356" s="34"/>
      <c r="Q356" s="34">
        <v>100</v>
      </c>
      <c r="R356" s="34">
        <v>100</v>
      </c>
      <c r="S356" s="34">
        <v>100</v>
      </c>
      <c r="T356" s="34">
        <v>100</v>
      </c>
      <c r="U356" s="34">
        <v>100</v>
      </c>
      <c r="V356" s="34">
        <v>100</v>
      </c>
      <c r="W356" s="34">
        <v>100</v>
      </c>
      <c r="X356" s="34">
        <v>100</v>
      </c>
      <c r="Y356" s="34">
        <v>100</v>
      </c>
      <c r="Z356" s="34">
        <v>100</v>
      </c>
      <c r="AA356" s="34">
        <v>100</v>
      </c>
      <c r="AB356" s="36"/>
      <c r="AC356" s="36">
        <v>48</v>
      </c>
      <c r="AD356" s="36">
        <v>21</v>
      </c>
      <c r="AE356" s="36">
        <v>20</v>
      </c>
      <c r="AF356" s="36">
        <v>16</v>
      </c>
      <c r="AG356" s="36">
        <v>20</v>
      </c>
      <c r="AH356" s="36">
        <v>17</v>
      </c>
      <c r="AI356" s="36">
        <v>18</v>
      </c>
      <c r="AJ356" s="36">
        <v>17</v>
      </c>
      <c r="AK356" s="36">
        <v>21</v>
      </c>
      <c r="AL356" s="36">
        <v>22</v>
      </c>
      <c r="AM356" s="36">
        <v>18</v>
      </c>
      <c r="AN356" s="36"/>
      <c r="AO356" s="36">
        <v>56</v>
      </c>
      <c r="AP356" s="36">
        <v>19</v>
      </c>
      <c r="AQ356" s="36">
        <v>18</v>
      </c>
      <c r="AR356" s="36">
        <v>20</v>
      </c>
      <c r="AS356" s="36">
        <v>25</v>
      </c>
      <c r="AT356" s="36">
        <v>18</v>
      </c>
      <c r="AU356" s="36">
        <v>18</v>
      </c>
      <c r="AV356" s="36">
        <v>17</v>
      </c>
      <c r="AW356" s="36">
        <v>18</v>
      </c>
      <c r="AX356" s="36">
        <v>18</v>
      </c>
      <c r="AY356" s="36">
        <v>19</v>
      </c>
      <c r="AZ356" s="36"/>
      <c r="BA356" s="36">
        <v>11</v>
      </c>
      <c r="BB356" s="36">
        <v>5</v>
      </c>
      <c r="BC356" s="36">
        <v>3</v>
      </c>
      <c r="BD356" s="36">
        <v>12</v>
      </c>
      <c r="BE356" s="36">
        <v>4</v>
      </c>
      <c r="BF356" s="36">
        <v>5</v>
      </c>
      <c r="BG356" s="36">
        <v>4</v>
      </c>
      <c r="BH356" s="36">
        <v>4</v>
      </c>
      <c r="BI356" s="36">
        <v>3</v>
      </c>
      <c r="BJ356" s="36">
        <v>8</v>
      </c>
      <c r="BK356" s="36">
        <v>7</v>
      </c>
      <c r="BL356" s="36"/>
      <c r="BM356" s="36">
        <v>5</v>
      </c>
      <c r="BN356" s="36">
        <v>5</v>
      </c>
      <c r="BO356" s="36">
        <v>6</v>
      </c>
      <c r="BP356" s="36">
        <v>7</v>
      </c>
      <c r="BQ356" s="36">
        <v>5</v>
      </c>
      <c r="BR356" s="36">
        <v>1</v>
      </c>
      <c r="BS356" s="36">
        <v>2</v>
      </c>
      <c r="BT356" s="36">
        <v>1</v>
      </c>
      <c r="BU356" s="36">
        <v>4</v>
      </c>
      <c r="BV356" s="36"/>
      <c r="BW356" s="36">
        <v>2</v>
      </c>
      <c r="BX356" s="36"/>
      <c r="BY356" s="36">
        <v>2</v>
      </c>
      <c r="BZ356" s="36">
        <v>2</v>
      </c>
      <c r="CA356" s="36">
        <v>5</v>
      </c>
      <c r="CB356" s="36">
        <v>9</v>
      </c>
      <c r="CC356" s="36">
        <v>4</v>
      </c>
      <c r="CD356" s="36">
        <v>2</v>
      </c>
      <c r="CE356" s="36">
        <v>1</v>
      </c>
      <c r="CF356" s="36">
        <v>1</v>
      </c>
      <c r="CG356" s="36">
        <v>3</v>
      </c>
      <c r="CH356" s="36">
        <v>2</v>
      </c>
      <c r="CI356" s="36">
        <v>3</v>
      </c>
      <c r="CK356" s="4" t="b">
        <f t="shared" si="5"/>
        <v>0</v>
      </c>
    </row>
    <row r="357" spans="1:89" ht="75" customHeight="1">
      <c r="A357" s="32" t="s">
        <v>109</v>
      </c>
      <c r="B357" s="32" t="s">
        <v>114</v>
      </c>
      <c r="C357" s="32" t="s">
        <v>509</v>
      </c>
      <c r="D357" s="34"/>
      <c r="E357" s="34">
        <v>25</v>
      </c>
      <c r="F357" s="34">
        <v>100</v>
      </c>
      <c r="G357" s="34">
        <v>100</v>
      </c>
      <c r="H357" s="34">
        <v>100</v>
      </c>
      <c r="I357" s="34">
        <v>100</v>
      </c>
      <c r="J357" s="34">
        <v>100</v>
      </c>
      <c r="K357" s="34"/>
      <c r="L357" s="34">
        <v>100</v>
      </c>
      <c r="M357" s="34">
        <v>100</v>
      </c>
      <c r="N357" s="34">
        <v>100</v>
      </c>
      <c r="O357" s="34">
        <v>100</v>
      </c>
      <c r="P357" s="34"/>
      <c r="Q357" s="34">
        <v>600</v>
      </c>
      <c r="R357" s="34">
        <v>200</v>
      </c>
      <c r="S357" s="34"/>
      <c r="T357" s="34"/>
      <c r="U357" s="34">
        <v>100</v>
      </c>
      <c r="V357" s="34"/>
      <c r="W357" s="34"/>
      <c r="X357" s="34"/>
      <c r="Y357" s="34"/>
      <c r="Z357" s="34"/>
      <c r="AA357" s="34"/>
      <c r="AB357" s="36"/>
      <c r="AC357" s="36">
        <v>12</v>
      </c>
      <c r="AD357" s="36">
        <v>2</v>
      </c>
      <c r="AE357" s="36">
        <v>12</v>
      </c>
      <c r="AF357" s="36">
        <v>7</v>
      </c>
      <c r="AG357" s="36">
        <v>7</v>
      </c>
      <c r="AH357" s="36">
        <v>7</v>
      </c>
      <c r="AI357" s="36"/>
      <c r="AJ357" s="36">
        <v>5</v>
      </c>
      <c r="AK357" s="36">
        <v>3</v>
      </c>
      <c r="AL357" s="36">
        <v>2</v>
      </c>
      <c r="AM357" s="36">
        <v>6</v>
      </c>
      <c r="AN357" s="36"/>
      <c r="AO357" s="36">
        <v>86</v>
      </c>
      <c r="AP357" s="36">
        <v>2</v>
      </c>
      <c r="AQ357" s="36">
        <v>5</v>
      </c>
      <c r="AR357" s="36">
        <v>4</v>
      </c>
      <c r="AS357" s="36">
        <v>11</v>
      </c>
      <c r="AT357" s="36">
        <v>5</v>
      </c>
      <c r="AU357" s="36"/>
      <c r="AV357" s="36">
        <v>2</v>
      </c>
      <c r="AW357" s="36">
        <v>5</v>
      </c>
      <c r="AX357" s="36">
        <v>1</v>
      </c>
      <c r="AY357" s="36">
        <v>5</v>
      </c>
      <c r="AZ357" s="36"/>
      <c r="BA357" s="36">
        <v>3</v>
      </c>
      <c r="BB357" s="36">
        <v>11</v>
      </c>
      <c r="BC357" s="36">
        <v>4</v>
      </c>
      <c r="BD357" s="36">
        <v>5</v>
      </c>
      <c r="BE357" s="36"/>
      <c r="BF357" s="36">
        <v>14</v>
      </c>
      <c r="BG357" s="36"/>
      <c r="BH357" s="36">
        <v>4</v>
      </c>
      <c r="BI357" s="36">
        <v>8</v>
      </c>
      <c r="BJ357" s="36">
        <v>5</v>
      </c>
      <c r="BK357" s="36">
        <v>4</v>
      </c>
      <c r="BL357" s="36"/>
      <c r="BM357" s="36"/>
      <c r="BN357" s="36"/>
      <c r="BO357" s="36">
        <v>1</v>
      </c>
      <c r="BP357" s="36"/>
      <c r="BQ357" s="36">
        <v>2</v>
      </c>
      <c r="BR357" s="36"/>
      <c r="BS357" s="36"/>
      <c r="BT357" s="36">
        <v>2</v>
      </c>
      <c r="BU357" s="36">
        <v>1</v>
      </c>
      <c r="BV357" s="36">
        <v>4</v>
      </c>
      <c r="BW357" s="36">
        <v>4</v>
      </c>
      <c r="BX357" s="36"/>
      <c r="BY357" s="36">
        <v>3</v>
      </c>
      <c r="BZ357" s="36"/>
      <c r="CA357" s="36"/>
      <c r="CB357" s="36">
        <v>13</v>
      </c>
      <c r="CC357" s="36"/>
      <c r="CD357" s="36"/>
      <c r="CE357" s="36"/>
      <c r="CF357" s="36"/>
      <c r="CG357" s="36">
        <v>1</v>
      </c>
      <c r="CH357" s="36"/>
      <c r="CI357" s="36"/>
      <c r="CK357" s="4" t="b">
        <f t="shared" si="5"/>
        <v>0</v>
      </c>
    </row>
    <row r="358" spans="1:89" ht="75" customHeight="1">
      <c r="A358" s="32" t="s">
        <v>144</v>
      </c>
      <c r="B358" s="32" t="s">
        <v>198</v>
      </c>
      <c r="C358" s="32" t="s">
        <v>510</v>
      </c>
      <c r="D358" s="34"/>
      <c r="E358" s="34">
        <v>100</v>
      </c>
      <c r="F358" s="34">
        <v>80</v>
      </c>
      <c r="G358" s="34">
        <v>100</v>
      </c>
      <c r="H358" s="34">
        <v>100</v>
      </c>
      <c r="I358" s="34">
        <v>100</v>
      </c>
      <c r="J358" s="34"/>
      <c r="K358" s="34">
        <v>100</v>
      </c>
      <c r="L358" s="34">
        <v>75</v>
      </c>
      <c r="M358" s="34">
        <v>100</v>
      </c>
      <c r="N358" s="34">
        <v>100</v>
      </c>
      <c r="O358" s="34">
        <v>100</v>
      </c>
      <c r="P358" s="34"/>
      <c r="Q358" s="34">
        <v>100</v>
      </c>
      <c r="R358" s="34">
        <v>50</v>
      </c>
      <c r="S358" s="34">
        <v>100</v>
      </c>
      <c r="T358" s="34">
        <v>100</v>
      </c>
      <c r="U358" s="34">
        <v>100</v>
      </c>
      <c r="V358" s="34"/>
      <c r="W358" s="34">
        <v>100</v>
      </c>
      <c r="X358" s="34">
        <v>100</v>
      </c>
      <c r="Y358" s="34">
        <v>100</v>
      </c>
      <c r="Z358" s="34">
        <v>100</v>
      </c>
      <c r="AA358" s="34">
        <v>100</v>
      </c>
      <c r="AB358" s="36"/>
      <c r="AC358" s="36">
        <v>71</v>
      </c>
      <c r="AD358" s="36">
        <v>28</v>
      </c>
      <c r="AE358" s="36">
        <v>20</v>
      </c>
      <c r="AF358" s="36">
        <v>35</v>
      </c>
      <c r="AG358" s="36">
        <v>23</v>
      </c>
      <c r="AH358" s="36"/>
      <c r="AI358" s="36">
        <v>21</v>
      </c>
      <c r="AJ358" s="36">
        <v>20</v>
      </c>
      <c r="AK358" s="36">
        <v>30</v>
      </c>
      <c r="AL358" s="36">
        <v>21</v>
      </c>
      <c r="AM358" s="36">
        <v>22</v>
      </c>
      <c r="AN358" s="36"/>
      <c r="AO358" s="36">
        <v>25</v>
      </c>
      <c r="AP358" s="36">
        <v>23</v>
      </c>
      <c r="AQ358" s="36">
        <v>20</v>
      </c>
      <c r="AR358" s="36">
        <v>36</v>
      </c>
      <c r="AS358" s="36">
        <v>32</v>
      </c>
      <c r="AT358" s="36"/>
      <c r="AU358" s="36">
        <v>26</v>
      </c>
      <c r="AV358" s="36">
        <v>20</v>
      </c>
      <c r="AW358" s="36">
        <v>23</v>
      </c>
      <c r="AX358" s="36">
        <v>21</v>
      </c>
      <c r="AY358" s="36">
        <v>26</v>
      </c>
      <c r="AZ358" s="36"/>
      <c r="BA358" s="36">
        <v>1</v>
      </c>
      <c r="BB358" s="36">
        <v>1</v>
      </c>
      <c r="BC358" s="36">
        <v>7</v>
      </c>
      <c r="BD358" s="36">
        <v>7</v>
      </c>
      <c r="BE358" s="36">
        <v>1</v>
      </c>
      <c r="BF358" s="36">
        <v>5</v>
      </c>
      <c r="BG358" s="36">
        <v>2</v>
      </c>
      <c r="BH358" s="36">
        <v>7</v>
      </c>
      <c r="BI358" s="36">
        <v>2</v>
      </c>
      <c r="BJ358" s="36">
        <v>2</v>
      </c>
      <c r="BK358" s="36">
        <v>2</v>
      </c>
      <c r="BL358" s="36"/>
      <c r="BM358" s="36"/>
      <c r="BN358" s="36">
        <v>2</v>
      </c>
      <c r="BO358" s="36">
        <v>2</v>
      </c>
      <c r="BP358" s="36"/>
      <c r="BQ358" s="36"/>
      <c r="BR358" s="36"/>
      <c r="BS358" s="36"/>
      <c r="BT358" s="36">
        <v>3</v>
      </c>
      <c r="BU358" s="36"/>
      <c r="BV358" s="36">
        <v>1</v>
      </c>
      <c r="BW358" s="36"/>
      <c r="BX358" s="36"/>
      <c r="BY358" s="36"/>
      <c r="BZ358" s="36"/>
      <c r="CA358" s="36"/>
      <c r="CB358" s="36"/>
      <c r="CC358" s="36"/>
      <c r="CD358" s="36"/>
      <c r="CE358" s="36"/>
      <c r="CF358" s="36"/>
      <c r="CG358" s="36"/>
      <c r="CH358" s="36"/>
      <c r="CI358" s="36">
        <v>1</v>
      </c>
      <c r="CK358" s="4" t="b">
        <f t="shared" si="5"/>
        <v>0</v>
      </c>
    </row>
    <row r="359" spans="1:89" ht="75" customHeight="1">
      <c r="A359" s="32" t="s">
        <v>124</v>
      </c>
      <c r="B359" s="32" t="s">
        <v>179</v>
      </c>
      <c r="C359" s="32" t="s">
        <v>511</v>
      </c>
      <c r="D359" s="34"/>
      <c r="E359" s="34"/>
      <c r="F359" s="34">
        <v>75</v>
      </c>
      <c r="G359" s="34">
        <v>100</v>
      </c>
      <c r="H359" s="34">
        <v>100</v>
      </c>
      <c r="I359" s="34">
        <v>100</v>
      </c>
      <c r="J359" s="34">
        <v>100</v>
      </c>
      <c r="K359" s="34">
        <v>75</v>
      </c>
      <c r="L359" s="34">
        <v>75</v>
      </c>
      <c r="M359" s="34">
        <v>100</v>
      </c>
      <c r="N359" s="34">
        <v>75</v>
      </c>
      <c r="O359" s="34">
        <v>75</v>
      </c>
      <c r="P359" s="34"/>
      <c r="Q359" s="34">
        <v>75</v>
      </c>
      <c r="R359" s="34">
        <v>50</v>
      </c>
      <c r="S359" s="34">
        <v>50</v>
      </c>
      <c r="T359" s="34">
        <v>75</v>
      </c>
      <c r="U359" s="34">
        <v>50</v>
      </c>
      <c r="V359" s="34">
        <v>50</v>
      </c>
      <c r="W359" s="34">
        <v>50</v>
      </c>
      <c r="X359" s="34">
        <v>50</v>
      </c>
      <c r="Y359" s="34">
        <v>50</v>
      </c>
      <c r="Z359" s="34">
        <v>75</v>
      </c>
      <c r="AA359" s="34">
        <v>100</v>
      </c>
      <c r="AB359" s="36"/>
      <c r="AC359" s="36">
        <v>18</v>
      </c>
      <c r="AD359" s="36">
        <v>32</v>
      </c>
      <c r="AE359" s="36">
        <v>34</v>
      </c>
      <c r="AF359" s="36">
        <v>39</v>
      </c>
      <c r="AG359" s="36">
        <v>36</v>
      </c>
      <c r="AH359" s="36">
        <v>32</v>
      </c>
      <c r="AI359" s="36">
        <v>29</v>
      </c>
      <c r="AJ359" s="36">
        <v>28</v>
      </c>
      <c r="AK359" s="36">
        <v>33</v>
      </c>
      <c r="AL359" s="36">
        <v>31</v>
      </c>
      <c r="AM359" s="36">
        <v>36</v>
      </c>
      <c r="AN359" s="36"/>
      <c r="AO359" s="36">
        <v>19</v>
      </c>
      <c r="AP359" s="36">
        <v>31</v>
      </c>
      <c r="AQ359" s="36">
        <v>35</v>
      </c>
      <c r="AR359" s="36">
        <v>37</v>
      </c>
      <c r="AS359" s="36">
        <v>31</v>
      </c>
      <c r="AT359" s="36">
        <v>36</v>
      </c>
      <c r="AU359" s="36">
        <v>28</v>
      </c>
      <c r="AV359" s="36">
        <v>27</v>
      </c>
      <c r="AW359" s="36">
        <v>31</v>
      </c>
      <c r="AX359" s="36">
        <v>33</v>
      </c>
      <c r="AY359" s="36">
        <v>31</v>
      </c>
      <c r="AZ359" s="36"/>
      <c r="BA359" s="36">
        <v>3</v>
      </c>
      <c r="BB359" s="36">
        <v>2</v>
      </c>
      <c r="BC359" s="36"/>
      <c r="BD359" s="36">
        <v>2</v>
      </c>
      <c r="BE359" s="36">
        <v>20</v>
      </c>
      <c r="BF359" s="36">
        <v>5</v>
      </c>
      <c r="BG359" s="36">
        <v>2</v>
      </c>
      <c r="BH359" s="36">
        <v>5</v>
      </c>
      <c r="BI359" s="36">
        <v>8</v>
      </c>
      <c r="BJ359" s="36">
        <v>6</v>
      </c>
      <c r="BK359" s="36">
        <v>8</v>
      </c>
      <c r="BL359" s="36"/>
      <c r="BM359" s="36"/>
      <c r="BN359" s="36"/>
      <c r="BO359" s="36"/>
      <c r="BP359" s="36">
        <v>1</v>
      </c>
      <c r="BQ359" s="36"/>
      <c r="BR359" s="36"/>
      <c r="BS359" s="36">
        <v>1</v>
      </c>
      <c r="BT359" s="36"/>
      <c r="BU359" s="36"/>
      <c r="BV359" s="36">
        <v>2</v>
      </c>
      <c r="BW359" s="36">
        <v>1</v>
      </c>
      <c r="BX359" s="36"/>
      <c r="BY359" s="36"/>
      <c r="BZ359" s="36"/>
      <c r="CA359" s="36"/>
      <c r="CB359" s="36"/>
      <c r="CC359" s="36"/>
      <c r="CD359" s="36"/>
      <c r="CE359" s="36"/>
      <c r="CF359" s="36"/>
      <c r="CG359" s="36">
        <v>13</v>
      </c>
      <c r="CH359" s="36"/>
      <c r="CI359" s="36"/>
      <c r="CK359" s="4" t="b">
        <f t="shared" si="5"/>
        <v>0</v>
      </c>
    </row>
    <row r="360" spans="1:89" ht="75" customHeight="1">
      <c r="A360" s="32" t="s">
        <v>101</v>
      </c>
      <c r="B360" s="32" t="s">
        <v>192</v>
      </c>
      <c r="C360" s="32" t="s">
        <v>512</v>
      </c>
      <c r="D360" s="34"/>
      <c r="E360" s="34">
        <v>100</v>
      </c>
      <c r="F360" s="34">
        <v>100</v>
      </c>
      <c r="G360" s="34">
        <v>100</v>
      </c>
      <c r="H360" s="34">
        <v>100</v>
      </c>
      <c r="I360" s="34">
        <v>100</v>
      </c>
      <c r="J360" s="34">
        <v>75</v>
      </c>
      <c r="K360" s="34">
        <v>100</v>
      </c>
      <c r="L360" s="34">
        <v>100</v>
      </c>
      <c r="M360" s="34">
        <v>100</v>
      </c>
      <c r="N360" s="34">
        <v>100</v>
      </c>
      <c r="O360" s="34">
        <v>100</v>
      </c>
      <c r="P360" s="34"/>
      <c r="Q360" s="34"/>
      <c r="R360" s="34">
        <v>100</v>
      </c>
      <c r="S360" s="34">
        <v>100</v>
      </c>
      <c r="T360" s="34">
        <v>100</v>
      </c>
      <c r="U360" s="34">
        <v>100</v>
      </c>
      <c r="V360" s="34">
        <v>75</v>
      </c>
      <c r="W360" s="34">
        <v>100</v>
      </c>
      <c r="X360" s="34">
        <v>100</v>
      </c>
      <c r="Y360" s="34">
        <v>100</v>
      </c>
      <c r="Z360" s="34">
        <v>100</v>
      </c>
      <c r="AA360" s="34">
        <v>100</v>
      </c>
      <c r="AB360" s="36"/>
      <c r="AC360" s="36">
        <v>9</v>
      </c>
      <c r="AD360" s="36">
        <v>20</v>
      </c>
      <c r="AE360" s="36">
        <v>19</v>
      </c>
      <c r="AF360" s="36">
        <v>24</v>
      </c>
      <c r="AG360" s="36">
        <v>27</v>
      </c>
      <c r="AH360" s="36">
        <v>12</v>
      </c>
      <c r="AI360" s="36">
        <v>9</v>
      </c>
      <c r="AJ360" s="36">
        <v>21</v>
      </c>
      <c r="AK360" s="36">
        <v>19</v>
      </c>
      <c r="AL360" s="36">
        <v>18</v>
      </c>
      <c r="AM360" s="36">
        <v>26</v>
      </c>
      <c r="AN360" s="36"/>
      <c r="AO360" s="36">
        <v>13</v>
      </c>
      <c r="AP360" s="36">
        <v>23</v>
      </c>
      <c r="AQ360" s="36">
        <v>22</v>
      </c>
      <c r="AR360" s="36">
        <v>26</v>
      </c>
      <c r="AS360" s="36">
        <v>32</v>
      </c>
      <c r="AT360" s="36">
        <v>18</v>
      </c>
      <c r="AU360" s="36">
        <v>14</v>
      </c>
      <c r="AV360" s="36">
        <v>32</v>
      </c>
      <c r="AW360" s="36">
        <v>24</v>
      </c>
      <c r="AX360" s="36">
        <v>24</v>
      </c>
      <c r="AY360" s="36">
        <v>27</v>
      </c>
      <c r="AZ360" s="36"/>
      <c r="BA360" s="36">
        <v>17</v>
      </c>
      <c r="BB360" s="36">
        <v>17</v>
      </c>
      <c r="BC360" s="36">
        <v>20</v>
      </c>
      <c r="BD360" s="36">
        <v>30</v>
      </c>
      <c r="BE360" s="36">
        <v>3</v>
      </c>
      <c r="BF360" s="36">
        <v>2</v>
      </c>
      <c r="BG360" s="36"/>
      <c r="BH360" s="36">
        <v>3</v>
      </c>
      <c r="BI360" s="36">
        <v>11</v>
      </c>
      <c r="BJ360" s="36">
        <v>23</v>
      </c>
      <c r="BK360" s="36">
        <v>22</v>
      </c>
      <c r="BL360" s="36"/>
      <c r="BM360" s="36">
        <v>2</v>
      </c>
      <c r="BN360" s="36">
        <v>2</v>
      </c>
      <c r="BO360" s="36"/>
      <c r="BP360" s="36">
        <v>4</v>
      </c>
      <c r="BQ360" s="36">
        <v>2</v>
      </c>
      <c r="BR360" s="36">
        <v>2</v>
      </c>
      <c r="BS360" s="36">
        <v>2</v>
      </c>
      <c r="BT360" s="36"/>
      <c r="BU360" s="36">
        <v>1</v>
      </c>
      <c r="BV360" s="36"/>
      <c r="BW360" s="36">
        <v>6</v>
      </c>
      <c r="BX360" s="36"/>
      <c r="BY360" s="36">
        <v>2</v>
      </c>
      <c r="BZ360" s="36">
        <v>2</v>
      </c>
      <c r="CA360" s="36"/>
      <c r="CB360" s="36">
        <v>4</v>
      </c>
      <c r="CC360" s="36">
        <v>1</v>
      </c>
      <c r="CD360" s="36"/>
      <c r="CE360" s="36">
        <v>2</v>
      </c>
      <c r="CF360" s="36"/>
      <c r="CG360" s="36"/>
      <c r="CH360" s="36"/>
      <c r="CI360" s="36"/>
      <c r="CK360" s="4" t="b">
        <f t="shared" si="5"/>
        <v>0</v>
      </c>
    </row>
    <row r="361" spans="1:89" ht="75" customHeight="1">
      <c r="A361" s="32" t="s">
        <v>87</v>
      </c>
      <c r="B361" s="32" t="s">
        <v>88</v>
      </c>
      <c r="C361" s="32" t="s">
        <v>513</v>
      </c>
      <c r="D361" s="34"/>
      <c r="E361" s="34">
        <v>60</v>
      </c>
      <c r="F361" s="34">
        <v>100</v>
      </c>
      <c r="G361" s="34">
        <v>75</v>
      </c>
      <c r="H361" s="34">
        <v>100</v>
      </c>
      <c r="I361" s="34">
        <v>100</v>
      </c>
      <c r="J361" s="34">
        <v>100</v>
      </c>
      <c r="K361" s="34">
        <v>100</v>
      </c>
      <c r="L361" s="34">
        <v>100</v>
      </c>
      <c r="M361" s="34">
        <v>100</v>
      </c>
      <c r="N361" s="34">
        <v>100</v>
      </c>
      <c r="O361" s="34">
        <v>100</v>
      </c>
      <c r="P361" s="34"/>
      <c r="Q361" s="34"/>
      <c r="R361" s="34"/>
      <c r="S361" s="34">
        <v>25</v>
      </c>
      <c r="T361" s="34">
        <v>25</v>
      </c>
      <c r="U361" s="34"/>
      <c r="V361" s="34"/>
      <c r="W361" s="34"/>
      <c r="X361" s="34"/>
      <c r="Y361" s="34"/>
      <c r="Z361" s="34"/>
      <c r="AA361" s="34"/>
      <c r="AB361" s="36"/>
      <c r="AC361" s="36">
        <v>48</v>
      </c>
      <c r="AD361" s="36">
        <v>13</v>
      </c>
      <c r="AE361" s="36">
        <v>18</v>
      </c>
      <c r="AF361" s="36">
        <v>27</v>
      </c>
      <c r="AG361" s="36">
        <v>7</v>
      </c>
      <c r="AH361" s="36">
        <v>30</v>
      </c>
      <c r="AI361" s="36">
        <v>12</v>
      </c>
      <c r="AJ361" s="36">
        <v>16</v>
      </c>
      <c r="AK361" s="36">
        <v>8</v>
      </c>
      <c r="AL361" s="36">
        <v>16</v>
      </c>
      <c r="AM361" s="36">
        <v>15</v>
      </c>
      <c r="AN361" s="36"/>
      <c r="AO361" s="36">
        <v>43</v>
      </c>
      <c r="AP361" s="36">
        <v>10</v>
      </c>
      <c r="AQ361" s="36">
        <v>13</v>
      </c>
      <c r="AR361" s="36">
        <v>16</v>
      </c>
      <c r="AS361" s="36">
        <v>9</v>
      </c>
      <c r="AT361" s="36">
        <v>17</v>
      </c>
      <c r="AU361" s="36">
        <v>15</v>
      </c>
      <c r="AV361" s="36">
        <v>17</v>
      </c>
      <c r="AW361" s="36">
        <v>19</v>
      </c>
      <c r="AX361" s="36">
        <v>23</v>
      </c>
      <c r="AY361" s="36">
        <v>5</v>
      </c>
      <c r="AZ361" s="36"/>
      <c r="BA361" s="36">
        <v>54</v>
      </c>
      <c r="BB361" s="36">
        <v>20</v>
      </c>
      <c r="BC361" s="36">
        <v>18</v>
      </c>
      <c r="BD361" s="36"/>
      <c r="BE361" s="36">
        <v>10</v>
      </c>
      <c r="BF361" s="36">
        <v>23</v>
      </c>
      <c r="BG361" s="36">
        <v>16</v>
      </c>
      <c r="BH361" s="36">
        <v>26</v>
      </c>
      <c r="BI361" s="36">
        <v>19</v>
      </c>
      <c r="BJ361" s="36">
        <v>18</v>
      </c>
      <c r="BK361" s="36">
        <v>21</v>
      </c>
      <c r="BL361" s="36"/>
      <c r="BM361" s="36">
        <v>4</v>
      </c>
      <c r="BN361" s="36">
        <v>1</v>
      </c>
      <c r="BO361" s="36">
        <v>4</v>
      </c>
      <c r="BP361" s="36"/>
      <c r="BQ361" s="36"/>
      <c r="BR361" s="36">
        <v>2</v>
      </c>
      <c r="BS361" s="36">
        <v>1</v>
      </c>
      <c r="BT361" s="36">
        <v>2</v>
      </c>
      <c r="BU361" s="36">
        <v>2</v>
      </c>
      <c r="BV361" s="36">
        <v>4</v>
      </c>
      <c r="BW361" s="36">
        <v>3</v>
      </c>
      <c r="BX361" s="36"/>
      <c r="BY361" s="36"/>
      <c r="BZ361" s="36"/>
      <c r="CA361" s="36"/>
      <c r="CB361" s="36"/>
      <c r="CC361" s="36"/>
      <c r="CD361" s="36"/>
      <c r="CE361" s="36"/>
      <c r="CF361" s="36"/>
      <c r="CG361" s="36"/>
      <c r="CH361" s="36"/>
      <c r="CI361" s="36"/>
      <c r="CK361" s="4" t="b">
        <f t="shared" si="5"/>
        <v>0</v>
      </c>
    </row>
    <row r="362" spans="1:89" ht="75" customHeight="1">
      <c r="A362" s="32" t="s">
        <v>124</v>
      </c>
      <c r="B362" s="32" t="s">
        <v>133</v>
      </c>
      <c r="C362" s="32" t="s">
        <v>514</v>
      </c>
      <c r="D362" s="34"/>
      <c r="E362" s="34">
        <v>33.33</v>
      </c>
      <c r="F362" s="34">
        <v>100</v>
      </c>
      <c r="G362" s="34">
        <v>100</v>
      </c>
      <c r="H362" s="34">
        <v>100</v>
      </c>
      <c r="I362" s="34">
        <v>100</v>
      </c>
      <c r="J362" s="34">
        <v>100</v>
      </c>
      <c r="K362" s="34"/>
      <c r="L362" s="34">
        <v>100</v>
      </c>
      <c r="M362" s="34">
        <v>100</v>
      </c>
      <c r="N362" s="34">
        <v>100</v>
      </c>
      <c r="O362" s="34">
        <v>100</v>
      </c>
      <c r="P362" s="34"/>
      <c r="Q362" s="34">
        <v>40</v>
      </c>
      <c r="R362" s="34"/>
      <c r="S362" s="34"/>
      <c r="T362" s="34"/>
      <c r="U362" s="34"/>
      <c r="V362" s="34">
        <v>100</v>
      </c>
      <c r="W362" s="34"/>
      <c r="X362" s="34">
        <v>100</v>
      </c>
      <c r="Y362" s="34">
        <v>100</v>
      </c>
      <c r="Z362" s="34">
        <v>100</v>
      </c>
      <c r="AA362" s="34">
        <v>100</v>
      </c>
      <c r="AB362" s="36"/>
      <c r="AC362" s="36">
        <v>345</v>
      </c>
      <c r="AD362" s="36">
        <v>51</v>
      </c>
      <c r="AE362" s="36">
        <v>54</v>
      </c>
      <c r="AF362" s="36">
        <v>97</v>
      </c>
      <c r="AG362" s="36">
        <v>94</v>
      </c>
      <c r="AH362" s="36">
        <v>96</v>
      </c>
      <c r="AI362" s="36">
        <v>51</v>
      </c>
      <c r="AJ362" s="36">
        <v>70</v>
      </c>
      <c r="AK362" s="36">
        <v>75</v>
      </c>
      <c r="AL362" s="36">
        <v>78</v>
      </c>
      <c r="AM362" s="36">
        <v>90</v>
      </c>
      <c r="AN362" s="36"/>
      <c r="AO362" s="36">
        <v>1891</v>
      </c>
      <c r="AP362" s="36">
        <v>59</v>
      </c>
      <c r="AQ362" s="36">
        <v>58</v>
      </c>
      <c r="AR362" s="36">
        <v>79</v>
      </c>
      <c r="AS362" s="36">
        <v>54</v>
      </c>
      <c r="AT362" s="36">
        <v>91</v>
      </c>
      <c r="AU362" s="36">
        <v>69</v>
      </c>
      <c r="AV362" s="36">
        <v>71</v>
      </c>
      <c r="AW362" s="36">
        <v>69</v>
      </c>
      <c r="AX362" s="36">
        <v>74</v>
      </c>
      <c r="AY362" s="36">
        <v>92</v>
      </c>
      <c r="AZ362" s="36"/>
      <c r="BA362" s="36">
        <v>38</v>
      </c>
      <c r="BB362" s="36">
        <v>54</v>
      </c>
      <c r="BC362" s="36">
        <v>51</v>
      </c>
      <c r="BD362" s="36">
        <v>59</v>
      </c>
      <c r="BE362" s="36">
        <v>65</v>
      </c>
      <c r="BF362" s="36">
        <v>51</v>
      </c>
      <c r="BG362" s="36">
        <v>63</v>
      </c>
      <c r="BH362" s="36">
        <v>42</v>
      </c>
      <c r="BI362" s="36">
        <v>51</v>
      </c>
      <c r="BJ362" s="36">
        <v>63</v>
      </c>
      <c r="BK362" s="36">
        <v>70</v>
      </c>
      <c r="BL362" s="36"/>
      <c r="BM362" s="36">
        <v>1</v>
      </c>
      <c r="BN362" s="36">
        <v>7</v>
      </c>
      <c r="BO362" s="36">
        <v>13</v>
      </c>
      <c r="BP362" s="36">
        <v>10</v>
      </c>
      <c r="BQ362" s="36">
        <v>29</v>
      </c>
      <c r="BR362" s="36">
        <v>18</v>
      </c>
      <c r="BS362" s="36">
        <v>23</v>
      </c>
      <c r="BT362" s="36">
        <v>16</v>
      </c>
      <c r="BU362" s="36">
        <v>20</v>
      </c>
      <c r="BV362" s="36">
        <v>15</v>
      </c>
      <c r="BW362" s="36">
        <v>4</v>
      </c>
      <c r="BX362" s="36"/>
      <c r="BY362" s="36"/>
      <c r="BZ362" s="36"/>
      <c r="CA362" s="36"/>
      <c r="CB362" s="36"/>
      <c r="CC362" s="36">
        <v>1</v>
      </c>
      <c r="CD362" s="36">
        <v>6</v>
      </c>
      <c r="CE362" s="36">
        <v>2</v>
      </c>
      <c r="CF362" s="36"/>
      <c r="CG362" s="36">
        <v>4</v>
      </c>
      <c r="CH362" s="36">
        <v>5</v>
      </c>
      <c r="CI362" s="36">
        <v>24</v>
      </c>
      <c r="CK362" s="4" t="b">
        <f t="shared" si="5"/>
        <v>0</v>
      </c>
    </row>
    <row r="363" spans="1:89" ht="75" customHeight="1">
      <c r="A363" s="32" t="s">
        <v>87</v>
      </c>
      <c r="B363" s="32" t="s">
        <v>88</v>
      </c>
      <c r="C363" s="32" t="s">
        <v>515</v>
      </c>
      <c r="D363" s="34"/>
      <c r="E363" s="34"/>
      <c r="F363" s="34">
        <v>25</v>
      </c>
      <c r="G363" s="34"/>
      <c r="H363" s="34"/>
      <c r="I363" s="34"/>
      <c r="J363" s="34"/>
      <c r="K363" s="34"/>
      <c r="L363" s="34"/>
      <c r="M363" s="34"/>
      <c r="N363" s="34"/>
      <c r="O363" s="34"/>
      <c r="P363" s="34"/>
      <c r="Q363" s="34"/>
      <c r="R363" s="34"/>
      <c r="S363" s="34"/>
      <c r="T363" s="34"/>
      <c r="U363" s="34"/>
      <c r="V363" s="34"/>
      <c r="W363" s="34"/>
      <c r="X363" s="34"/>
      <c r="Y363" s="34"/>
      <c r="Z363" s="34"/>
      <c r="AA363" s="34"/>
      <c r="AB363" s="36"/>
      <c r="AC363" s="36"/>
      <c r="AD363" s="36">
        <v>4</v>
      </c>
      <c r="AE363" s="36">
        <v>5</v>
      </c>
      <c r="AF363" s="36"/>
      <c r="AG363" s="36"/>
      <c r="AH363" s="36"/>
      <c r="AI363" s="36"/>
      <c r="AJ363" s="36"/>
      <c r="AK363" s="36"/>
      <c r="AL363" s="36"/>
      <c r="AM363" s="36"/>
      <c r="AN363" s="36"/>
      <c r="AO363" s="36"/>
      <c r="AP363" s="36">
        <v>2</v>
      </c>
      <c r="AQ363" s="36">
        <v>3</v>
      </c>
      <c r="AR363" s="36"/>
      <c r="AS363" s="36"/>
      <c r="AT363" s="36"/>
      <c r="AU363" s="36"/>
      <c r="AV363" s="36"/>
      <c r="AW363" s="36"/>
      <c r="AX363" s="36"/>
      <c r="AY363" s="36"/>
      <c r="AZ363" s="36"/>
      <c r="BA363" s="36"/>
      <c r="BB363" s="36">
        <v>3</v>
      </c>
      <c r="BC363" s="36">
        <v>3</v>
      </c>
      <c r="BD363" s="36"/>
      <c r="BE363" s="36"/>
      <c r="BF363" s="36"/>
      <c r="BG363" s="36"/>
      <c r="BH363" s="36"/>
      <c r="BI363" s="36"/>
      <c r="BJ363" s="36"/>
      <c r="BK363" s="36"/>
      <c r="BL363" s="36"/>
      <c r="BM363" s="36"/>
      <c r="BN363" s="36">
        <v>1</v>
      </c>
      <c r="BO363" s="36"/>
      <c r="BP363" s="36"/>
      <c r="BQ363" s="36"/>
      <c r="BR363" s="36"/>
      <c r="BS363" s="36"/>
      <c r="BT363" s="36"/>
      <c r="BU363" s="36"/>
      <c r="BV363" s="36"/>
      <c r="BW363" s="36"/>
      <c r="BX363" s="36"/>
      <c r="BY363" s="36"/>
      <c r="BZ363" s="36"/>
      <c r="CA363" s="36"/>
      <c r="CB363" s="36"/>
      <c r="CC363" s="36"/>
      <c r="CD363" s="36"/>
      <c r="CE363" s="36"/>
      <c r="CF363" s="36"/>
      <c r="CG363" s="36"/>
      <c r="CH363" s="36"/>
      <c r="CI363" s="36"/>
      <c r="CK363" s="4" t="b">
        <f t="shared" si="5"/>
        <v>0</v>
      </c>
    </row>
    <row r="364" spans="1:89" ht="75" customHeight="1">
      <c r="A364" s="32" t="s">
        <v>101</v>
      </c>
      <c r="B364" s="32" t="s">
        <v>201</v>
      </c>
      <c r="C364" s="32" t="s">
        <v>516</v>
      </c>
      <c r="D364" s="34"/>
      <c r="E364" s="34">
        <v>100</v>
      </c>
      <c r="F364" s="34">
        <v>100</v>
      </c>
      <c r="G364" s="34">
        <v>100</v>
      </c>
      <c r="H364" s="34">
        <v>100</v>
      </c>
      <c r="I364" s="34">
        <v>100</v>
      </c>
      <c r="J364" s="34">
        <v>100</v>
      </c>
      <c r="K364" s="34">
        <v>100</v>
      </c>
      <c r="L364" s="34">
        <v>75</v>
      </c>
      <c r="M364" s="34">
        <v>100</v>
      </c>
      <c r="N364" s="34">
        <v>100</v>
      </c>
      <c r="O364" s="34">
        <v>100</v>
      </c>
      <c r="P364" s="34"/>
      <c r="Q364" s="34">
        <v>100</v>
      </c>
      <c r="R364" s="34">
        <v>100</v>
      </c>
      <c r="S364" s="34">
        <v>100</v>
      </c>
      <c r="T364" s="34">
        <v>100</v>
      </c>
      <c r="U364" s="34">
        <v>50</v>
      </c>
      <c r="V364" s="34">
        <v>100</v>
      </c>
      <c r="W364" s="34">
        <v>100</v>
      </c>
      <c r="X364" s="34">
        <v>75</v>
      </c>
      <c r="Y364" s="34">
        <v>100</v>
      </c>
      <c r="Z364" s="34">
        <v>100</v>
      </c>
      <c r="AA364" s="34">
        <v>100</v>
      </c>
      <c r="AB364" s="36"/>
      <c r="AC364" s="36">
        <v>3</v>
      </c>
      <c r="AD364" s="36">
        <v>8</v>
      </c>
      <c r="AE364" s="36">
        <v>9</v>
      </c>
      <c r="AF364" s="36">
        <v>21</v>
      </c>
      <c r="AG364" s="36">
        <v>21</v>
      </c>
      <c r="AH364" s="36">
        <v>2</v>
      </c>
      <c r="AI364" s="36">
        <v>8</v>
      </c>
      <c r="AJ364" s="36">
        <v>14</v>
      </c>
      <c r="AK364" s="36">
        <v>2</v>
      </c>
      <c r="AL364" s="36">
        <v>14</v>
      </c>
      <c r="AM364" s="36">
        <v>7</v>
      </c>
      <c r="AN364" s="36"/>
      <c r="AO364" s="36">
        <v>9</v>
      </c>
      <c r="AP364" s="36">
        <v>4</v>
      </c>
      <c r="AQ364" s="36">
        <v>1</v>
      </c>
      <c r="AR364" s="36">
        <v>10</v>
      </c>
      <c r="AS364" s="36">
        <v>12</v>
      </c>
      <c r="AT364" s="36">
        <v>6</v>
      </c>
      <c r="AU364" s="36">
        <v>6</v>
      </c>
      <c r="AV364" s="36">
        <v>10</v>
      </c>
      <c r="AW364" s="36">
        <v>8</v>
      </c>
      <c r="AX364" s="36">
        <v>10</v>
      </c>
      <c r="AY364" s="36">
        <v>6</v>
      </c>
      <c r="AZ364" s="36"/>
      <c r="BA364" s="36"/>
      <c r="BB364" s="36">
        <v>7</v>
      </c>
      <c r="BC364" s="36">
        <v>13</v>
      </c>
      <c r="BD364" s="36">
        <v>5</v>
      </c>
      <c r="BE364" s="36">
        <v>1</v>
      </c>
      <c r="BF364" s="36">
        <v>1</v>
      </c>
      <c r="BG364" s="36">
        <v>2</v>
      </c>
      <c r="BH364" s="36">
        <v>6</v>
      </c>
      <c r="BI364" s="36">
        <v>9</v>
      </c>
      <c r="BJ364" s="36">
        <v>18</v>
      </c>
      <c r="BK364" s="36">
        <v>12</v>
      </c>
      <c r="BL364" s="36"/>
      <c r="BM364" s="36"/>
      <c r="BN364" s="36"/>
      <c r="BO364" s="36"/>
      <c r="BP364" s="36"/>
      <c r="BQ364" s="36"/>
      <c r="BR364" s="36"/>
      <c r="BS364" s="36"/>
      <c r="BT364" s="36"/>
      <c r="BU364" s="36"/>
      <c r="BV364" s="36">
        <v>3</v>
      </c>
      <c r="BW364" s="36"/>
      <c r="BX364" s="36"/>
      <c r="BY364" s="36"/>
      <c r="BZ364" s="36"/>
      <c r="CA364" s="36"/>
      <c r="CB364" s="36"/>
      <c r="CC364" s="36"/>
      <c r="CD364" s="36"/>
      <c r="CE364" s="36"/>
      <c r="CF364" s="36"/>
      <c r="CG364" s="36"/>
      <c r="CH364" s="36"/>
      <c r="CI364" s="36"/>
      <c r="CK364" s="4" t="b">
        <f t="shared" si="5"/>
        <v>0</v>
      </c>
    </row>
    <row r="365" spans="1:89" ht="90" customHeight="1">
      <c r="A365" s="32" t="s">
        <v>144</v>
      </c>
      <c r="B365" s="32" t="s">
        <v>343</v>
      </c>
      <c r="C365" s="32" t="s">
        <v>517</v>
      </c>
      <c r="D365" s="34"/>
      <c r="E365" s="34">
        <v>100</v>
      </c>
      <c r="F365" s="34">
        <v>100</v>
      </c>
      <c r="G365" s="34">
        <v>100</v>
      </c>
      <c r="H365" s="34">
        <v>100</v>
      </c>
      <c r="I365" s="34">
        <v>100</v>
      </c>
      <c r="J365" s="34">
        <v>100</v>
      </c>
      <c r="K365" s="34">
        <v>100</v>
      </c>
      <c r="L365" s="34">
        <v>100</v>
      </c>
      <c r="M365" s="34">
        <v>100</v>
      </c>
      <c r="N365" s="34">
        <v>100</v>
      </c>
      <c r="O365" s="34">
        <v>100</v>
      </c>
      <c r="P365" s="34"/>
      <c r="Q365" s="34">
        <v>100</v>
      </c>
      <c r="R365" s="34">
        <v>100</v>
      </c>
      <c r="S365" s="34">
        <v>100</v>
      </c>
      <c r="T365" s="34">
        <v>100</v>
      </c>
      <c r="U365" s="34">
        <v>100</v>
      </c>
      <c r="V365" s="34">
        <v>100</v>
      </c>
      <c r="W365" s="34">
        <v>100</v>
      </c>
      <c r="X365" s="34">
        <v>100</v>
      </c>
      <c r="Y365" s="34">
        <v>100</v>
      </c>
      <c r="Z365" s="34">
        <v>100</v>
      </c>
      <c r="AA365" s="34">
        <v>100</v>
      </c>
      <c r="AB365" s="36"/>
      <c r="AC365" s="36">
        <v>124</v>
      </c>
      <c r="AD365" s="36">
        <v>32</v>
      </c>
      <c r="AE365" s="36">
        <v>28</v>
      </c>
      <c r="AF365" s="36">
        <v>33</v>
      </c>
      <c r="AG365" s="36">
        <v>24</v>
      </c>
      <c r="AH365" s="36">
        <v>32</v>
      </c>
      <c r="AI365" s="36">
        <v>9</v>
      </c>
      <c r="AJ365" s="36">
        <v>35</v>
      </c>
      <c r="AK365" s="36">
        <v>34</v>
      </c>
      <c r="AL365" s="36">
        <v>35</v>
      </c>
      <c r="AM365" s="36">
        <v>47</v>
      </c>
      <c r="AN365" s="36"/>
      <c r="AO365" s="36">
        <v>134</v>
      </c>
      <c r="AP365" s="36">
        <v>35</v>
      </c>
      <c r="AQ365" s="36">
        <v>31</v>
      </c>
      <c r="AR365" s="36">
        <v>32</v>
      </c>
      <c r="AS365" s="36">
        <v>38</v>
      </c>
      <c r="AT365" s="36">
        <v>33</v>
      </c>
      <c r="AU365" s="36">
        <v>8</v>
      </c>
      <c r="AV365" s="36">
        <v>34</v>
      </c>
      <c r="AW365" s="36">
        <v>33</v>
      </c>
      <c r="AX365" s="36">
        <v>45</v>
      </c>
      <c r="AY365" s="36">
        <v>65</v>
      </c>
      <c r="AZ365" s="36"/>
      <c r="BA365" s="36">
        <v>2</v>
      </c>
      <c r="BB365" s="36"/>
      <c r="BC365" s="36">
        <v>8</v>
      </c>
      <c r="BD365" s="36">
        <v>3</v>
      </c>
      <c r="BE365" s="36">
        <v>5</v>
      </c>
      <c r="BF365" s="36">
        <v>6</v>
      </c>
      <c r="BG365" s="36"/>
      <c r="BH365" s="36">
        <v>2</v>
      </c>
      <c r="BI365" s="36">
        <v>5</v>
      </c>
      <c r="BJ365" s="36">
        <v>7</v>
      </c>
      <c r="BK365" s="36">
        <v>4</v>
      </c>
      <c r="BL365" s="36"/>
      <c r="BM365" s="36"/>
      <c r="BN365" s="36"/>
      <c r="BO365" s="36"/>
      <c r="BP365" s="36"/>
      <c r="BQ365" s="36"/>
      <c r="BR365" s="36"/>
      <c r="BS365" s="36">
        <v>2</v>
      </c>
      <c r="BT365" s="36"/>
      <c r="BU365" s="36"/>
      <c r="BV365" s="36"/>
      <c r="BW365" s="36"/>
      <c r="BX365" s="36"/>
      <c r="BY365" s="36"/>
      <c r="BZ365" s="36"/>
      <c r="CA365" s="36"/>
      <c r="CB365" s="36"/>
      <c r="CC365" s="36"/>
      <c r="CD365" s="36"/>
      <c r="CE365" s="36"/>
      <c r="CF365" s="36"/>
      <c r="CG365" s="36"/>
      <c r="CH365" s="36"/>
      <c r="CI365" s="36"/>
      <c r="CK365" s="4" t="b">
        <f t="shared" si="5"/>
        <v>0</v>
      </c>
    </row>
    <row r="366" spans="1:89" ht="90" customHeight="1">
      <c r="A366" s="32" t="s">
        <v>101</v>
      </c>
      <c r="B366" s="32" t="s">
        <v>162</v>
      </c>
      <c r="C366" s="32" t="s">
        <v>518</v>
      </c>
      <c r="D366" s="34"/>
      <c r="E366" s="34">
        <v>100</v>
      </c>
      <c r="F366" s="34">
        <v>100</v>
      </c>
      <c r="G366" s="34">
        <v>100</v>
      </c>
      <c r="H366" s="34"/>
      <c r="I366" s="34">
        <v>100</v>
      </c>
      <c r="J366" s="34">
        <v>100</v>
      </c>
      <c r="K366" s="34">
        <v>100</v>
      </c>
      <c r="L366" s="34">
        <v>100</v>
      </c>
      <c r="M366" s="34">
        <v>100</v>
      </c>
      <c r="N366" s="34">
        <v>100</v>
      </c>
      <c r="O366" s="34">
        <v>100</v>
      </c>
      <c r="P366" s="34"/>
      <c r="Q366" s="34">
        <v>100</v>
      </c>
      <c r="R366" s="34">
        <v>100</v>
      </c>
      <c r="S366" s="34">
        <v>100</v>
      </c>
      <c r="T366" s="34">
        <v>100</v>
      </c>
      <c r="U366" s="34">
        <v>100</v>
      </c>
      <c r="V366" s="34">
        <v>100</v>
      </c>
      <c r="W366" s="34">
        <v>100</v>
      </c>
      <c r="X366" s="34">
        <v>75</v>
      </c>
      <c r="Y366" s="34">
        <v>100</v>
      </c>
      <c r="Z366" s="34">
        <v>100</v>
      </c>
      <c r="AA366" s="34">
        <v>100</v>
      </c>
      <c r="AB366" s="36"/>
      <c r="AC366" s="36">
        <v>23</v>
      </c>
      <c r="AD366" s="36">
        <v>25</v>
      </c>
      <c r="AE366" s="36">
        <v>25</v>
      </c>
      <c r="AF366" s="36">
        <v>25</v>
      </c>
      <c r="AG366" s="36">
        <v>24</v>
      </c>
      <c r="AH366" s="36">
        <v>24</v>
      </c>
      <c r="AI366" s="36">
        <v>26</v>
      </c>
      <c r="AJ366" s="36">
        <v>26</v>
      </c>
      <c r="AK366" s="36">
        <v>25</v>
      </c>
      <c r="AL366" s="36">
        <v>26</v>
      </c>
      <c r="AM366" s="36">
        <v>26</v>
      </c>
      <c r="AN366" s="36"/>
      <c r="AO366" s="36">
        <v>23</v>
      </c>
      <c r="AP366" s="36">
        <v>25</v>
      </c>
      <c r="AQ366" s="36">
        <v>23</v>
      </c>
      <c r="AR366" s="36">
        <v>25</v>
      </c>
      <c r="AS366" s="36">
        <v>25</v>
      </c>
      <c r="AT366" s="36">
        <v>25</v>
      </c>
      <c r="AU366" s="36">
        <v>26</v>
      </c>
      <c r="AV366" s="36">
        <v>26</v>
      </c>
      <c r="AW366" s="36">
        <v>25</v>
      </c>
      <c r="AX366" s="36">
        <v>26</v>
      </c>
      <c r="AY366" s="36">
        <v>26</v>
      </c>
      <c r="AZ366" s="36"/>
      <c r="BA366" s="36">
        <v>4</v>
      </c>
      <c r="BB366" s="36">
        <v>5</v>
      </c>
      <c r="BC366" s="36">
        <v>24</v>
      </c>
      <c r="BD366" s="36">
        <v>26</v>
      </c>
      <c r="BE366" s="36">
        <v>30</v>
      </c>
      <c r="BF366" s="36">
        <v>5</v>
      </c>
      <c r="BG366" s="36">
        <v>2</v>
      </c>
      <c r="BH366" s="36">
        <v>5</v>
      </c>
      <c r="BI366" s="36">
        <v>10</v>
      </c>
      <c r="BJ366" s="36">
        <v>6</v>
      </c>
      <c r="BK366" s="36">
        <v>4</v>
      </c>
      <c r="BL366" s="36"/>
      <c r="BM366" s="36">
        <v>4</v>
      </c>
      <c r="BN366" s="36">
        <v>1</v>
      </c>
      <c r="BO366" s="36">
        <v>2</v>
      </c>
      <c r="BP366" s="36">
        <v>7</v>
      </c>
      <c r="BQ366" s="36">
        <v>3</v>
      </c>
      <c r="BR366" s="36">
        <v>1</v>
      </c>
      <c r="BS366" s="36">
        <v>1</v>
      </c>
      <c r="BT366" s="36">
        <v>2</v>
      </c>
      <c r="BU366" s="36">
        <v>2</v>
      </c>
      <c r="BV366" s="36">
        <v>3</v>
      </c>
      <c r="BW366" s="36">
        <v>1</v>
      </c>
      <c r="BX366" s="36"/>
      <c r="BY366" s="36"/>
      <c r="BZ366" s="36"/>
      <c r="CA366" s="36"/>
      <c r="CB366" s="36"/>
      <c r="CC366" s="36"/>
      <c r="CD366" s="36"/>
      <c r="CE366" s="36"/>
      <c r="CF366" s="36"/>
      <c r="CG366" s="36"/>
      <c r="CH366" s="36"/>
      <c r="CI366" s="36"/>
      <c r="CK366" s="4" t="b">
        <f t="shared" si="5"/>
        <v>0</v>
      </c>
    </row>
    <row r="367" spans="1:89" ht="60" customHeight="1">
      <c r="A367" s="32" t="s">
        <v>87</v>
      </c>
      <c r="B367" s="32" t="s">
        <v>188</v>
      </c>
      <c r="C367" s="32" t="s">
        <v>519</v>
      </c>
      <c r="D367" s="34"/>
      <c r="E367" s="34"/>
      <c r="F367" s="34"/>
      <c r="G367" s="34"/>
      <c r="H367" s="34"/>
      <c r="I367" s="34"/>
      <c r="J367" s="34"/>
      <c r="K367" s="34"/>
      <c r="L367" s="34"/>
      <c r="M367" s="34"/>
      <c r="N367" s="34"/>
      <c r="O367" s="34"/>
      <c r="P367" s="34"/>
      <c r="Q367" s="34"/>
      <c r="R367" s="34"/>
      <c r="S367" s="34"/>
      <c r="T367" s="34"/>
      <c r="U367" s="34"/>
      <c r="V367" s="34"/>
      <c r="W367" s="34"/>
      <c r="X367" s="34"/>
      <c r="Y367" s="34"/>
      <c r="Z367" s="34"/>
      <c r="AA367" s="34"/>
      <c r="AB367" s="36"/>
      <c r="AC367" s="36"/>
      <c r="AD367" s="36"/>
      <c r="AE367" s="36"/>
      <c r="AF367" s="36"/>
      <c r="AG367" s="36"/>
      <c r="AH367" s="36"/>
      <c r="AI367" s="36"/>
      <c r="AJ367" s="36"/>
      <c r="AK367" s="36"/>
      <c r="AL367" s="36"/>
      <c r="AM367" s="36"/>
      <c r="AN367" s="36"/>
      <c r="AO367" s="36"/>
      <c r="AP367" s="36"/>
      <c r="AQ367" s="36"/>
      <c r="AR367" s="36"/>
      <c r="AS367" s="36"/>
      <c r="AT367" s="36"/>
      <c r="AU367" s="36"/>
      <c r="AV367" s="36"/>
      <c r="AW367" s="36"/>
      <c r="AX367" s="36"/>
      <c r="AY367" s="36"/>
      <c r="AZ367" s="36"/>
      <c r="BA367" s="36"/>
      <c r="BB367" s="36"/>
      <c r="BC367" s="36"/>
      <c r="BD367" s="36"/>
      <c r="BE367" s="36"/>
      <c r="BF367" s="36"/>
      <c r="BG367" s="36"/>
      <c r="BH367" s="36"/>
      <c r="BI367" s="36">
        <v>4</v>
      </c>
      <c r="BJ367" s="36">
        <v>5</v>
      </c>
      <c r="BK367" s="36"/>
      <c r="BL367" s="36"/>
      <c r="BM367" s="36"/>
      <c r="BN367" s="36"/>
      <c r="BO367" s="36"/>
      <c r="BP367" s="36"/>
      <c r="BQ367" s="36"/>
      <c r="BR367" s="36"/>
      <c r="BS367" s="36"/>
      <c r="BT367" s="36">
        <v>2</v>
      </c>
      <c r="BU367" s="36"/>
      <c r="BV367" s="36"/>
      <c r="BW367" s="36"/>
      <c r="BX367" s="36"/>
      <c r="BY367" s="36"/>
      <c r="BZ367" s="36"/>
      <c r="CA367" s="36"/>
      <c r="CB367" s="36"/>
      <c r="CC367" s="36"/>
      <c r="CD367" s="36"/>
      <c r="CE367" s="36"/>
      <c r="CF367" s="36">
        <v>3</v>
      </c>
      <c r="CG367" s="36"/>
      <c r="CH367" s="36"/>
      <c r="CI367" s="36"/>
      <c r="CK367" s="4" t="b">
        <f t="shared" si="5"/>
        <v>0</v>
      </c>
    </row>
    <row r="368" spans="1:89" ht="60" customHeight="1">
      <c r="A368" s="32" t="s">
        <v>144</v>
      </c>
      <c r="B368" s="32" t="s">
        <v>207</v>
      </c>
      <c r="C368" s="32" t="s">
        <v>520</v>
      </c>
      <c r="D368" s="34">
        <v>100</v>
      </c>
      <c r="E368" s="34">
        <v>100</v>
      </c>
      <c r="F368" s="34">
        <v>100</v>
      </c>
      <c r="G368" s="34">
        <v>100</v>
      </c>
      <c r="H368" s="34">
        <v>100</v>
      </c>
      <c r="I368" s="34">
        <v>100</v>
      </c>
      <c r="J368" s="34">
        <v>100</v>
      </c>
      <c r="K368" s="34">
        <v>100</v>
      </c>
      <c r="L368" s="34">
        <v>100</v>
      </c>
      <c r="M368" s="34">
        <v>100</v>
      </c>
      <c r="N368" s="34">
        <v>100</v>
      </c>
      <c r="O368" s="34">
        <v>100</v>
      </c>
      <c r="P368" s="34"/>
      <c r="Q368" s="34"/>
      <c r="R368" s="34"/>
      <c r="S368" s="34"/>
      <c r="T368" s="34"/>
      <c r="U368" s="34"/>
      <c r="V368" s="34"/>
      <c r="W368" s="34"/>
      <c r="X368" s="34"/>
      <c r="Y368" s="34"/>
      <c r="Z368" s="34"/>
      <c r="AA368" s="34"/>
      <c r="AB368" s="36">
        <v>29</v>
      </c>
      <c r="AC368" s="36">
        <v>32</v>
      </c>
      <c r="AD368" s="36">
        <v>26</v>
      </c>
      <c r="AE368" s="36">
        <v>19</v>
      </c>
      <c r="AF368" s="36">
        <v>29</v>
      </c>
      <c r="AG368" s="36">
        <v>23</v>
      </c>
      <c r="AH368" s="36">
        <v>32</v>
      </c>
      <c r="AI368" s="36">
        <v>28</v>
      </c>
      <c r="AJ368" s="36">
        <v>24</v>
      </c>
      <c r="AK368" s="36">
        <v>23</v>
      </c>
      <c r="AL368" s="36">
        <v>32</v>
      </c>
      <c r="AM368" s="36">
        <v>18</v>
      </c>
      <c r="AN368" s="36">
        <v>29</v>
      </c>
      <c r="AO368" s="36">
        <v>30</v>
      </c>
      <c r="AP368" s="36">
        <v>25</v>
      </c>
      <c r="AQ368" s="36">
        <v>24</v>
      </c>
      <c r="AR368" s="36">
        <v>31</v>
      </c>
      <c r="AS368" s="36">
        <v>25</v>
      </c>
      <c r="AT368" s="36">
        <v>28</v>
      </c>
      <c r="AU368" s="36">
        <v>29</v>
      </c>
      <c r="AV368" s="36">
        <v>29</v>
      </c>
      <c r="AW368" s="36">
        <v>25</v>
      </c>
      <c r="AX368" s="36">
        <v>27</v>
      </c>
      <c r="AY368" s="36">
        <v>19</v>
      </c>
      <c r="AZ368" s="36">
        <v>32</v>
      </c>
      <c r="BA368" s="36">
        <v>34</v>
      </c>
      <c r="BB368" s="36">
        <v>25</v>
      </c>
      <c r="BC368" s="36">
        <v>30</v>
      </c>
      <c r="BD368" s="36">
        <v>36</v>
      </c>
      <c r="BE368" s="36">
        <v>36</v>
      </c>
      <c r="BF368" s="36">
        <v>26</v>
      </c>
      <c r="BG368" s="36">
        <v>45</v>
      </c>
      <c r="BH368" s="36">
        <v>29</v>
      </c>
      <c r="BI368" s="36">
        <v>33</v>
      </c>
      <c r="BJ368" s="36">
        <v>24</v>
      </c>
      <c r="BK368" s="36">
        <v>31</v>
      </c>
      <c r="BL368" s="36">
        <v>24</v>
      </c>
      <c r="BM368" s="36">
        <v>25</v>
      </c>
      <c r="BN368" s="36">
        <v>50</v>
      </c>
      <c r="BO368" s="36">
        <v>27</v>
      </c>
      <c r="BP368" s="36">
        <v>33</v>
      </c>
      <c r="BQ368" s="36">
        <v>19</v>
      </c>
      <c r="BR368" s="36">
        <v>25</v>
      </c>
      <c r="BS368" s="36">
        <v>38</v>
      </c>
      <c r="BT368" s="36">
        <v>45</v>
      </c>
      <c r="BU368" s="36">
        <v>26</v>
      </c>
      <c r="BV368" s="36">
        <v>47</v>
      </c>
      <c r="BW368" s="36">
        <v>40</v>
      </c>
      <c r="BX368" s="36">
        <v>12</v>
      </c>
      <c r="BY368" s="36">
        <v>18</v>
      </c>
      <c r="BZ368" s="36">
        <v>13</v>
      </c>
      <c r="CA368" s="36">
        <v>16</v>
      </c>
      <c r="CB368" s="36">
        <v>26</v>
      </c>
      <c r="CC368" s="36">
        <v>21</v>
      </c>
      <c r="CD368" s="36">
        <v>17</v>
      </c>
      <c r="CE368" s="36">
        <v>9</v>
      </c>
      <c r="CF368" s="36">
        <v>8</v>
      </c>
      <c r="CG368" s="36">
        <v>38</v>
      </c>
      <c r="CH368" s="36">
        <v>9</v>
      </c>
      <c r="CI368" s="36">
        <v>25</v>
      </c>
      <c r="CK368" s="4" t="b">
        <f t="shared" si="5"/>
        <v>1</v>
      </c>
    </row>
    <row r="369" spans="1:89" ht="90" customHeight="1">
      <c r="A369" s="32" t="s">
        <v>124</v>
      </c>
      <c r="B369" s="32" t="s">
        <v>125</v>
      </c>
      <c r="C369" s="32" t="s">
        <v>521</v>
      </c>
      <c r="D369" s="34"/>
      <c r="E369" s="34"/>
      <c r="F369" s="34"/>
      <c r="G369" s="34"/>
      <c r="H369" s="34"/>
      <c r="I369" s="34"/>
      <c r="J369" s="34"/>
      <c r="K369" s="34"/>
      <c r="L369" s="34"/>
      <c r="M369" s="34"/>
      <c r="N369" s="34"/>
      <c r="O369" s="34"/>
      <c r="P369" s="34"/>
      <c r="Q369" s="34"/>
      <c r="R369" s="34"/>
      <c r="S369" s="34"/>
      <c r="T369" s="34"/>
      <c r="U369" s="34"/>
      <c r="V369" s="34"/>
      <c r="W369" s="34"/>
      <c r="X369" s="34"/>
      <c r="Y369" s="34"/>
      <c r="Z369" s="34"/>
      <c r="AA369" s="34"/>
      <c r="AB369" s="36">
        <v>290</v>
      </c>
      <c r="AC369" s="36">
        <v>205</v>
      </c>
      <c r="AD369" s="36">
        <v>109</v>
      </c>
      <c r="AE369" s="36">
        <v>110</v>
      </c>
      <c r="AF369" s="36">
        <v>77</v>
      </c>
      <c r="AG369" s="36">
        <v>77</v>
      </c>
      <c r="AH369" s="36">
        <v>70</v>
      </c>
      <c r="AI369" s="36">
        <v>15</v>
      </c>
      <c r="AJ369" s="36"/>
      <c r="AK369" s="36">
        <v>39</v>
      </c>
      <c r="AL369" s="36">
        <v>80</v>
      </c>
      <c r="AM369" s="36">
        <v>88</v>
      </c>
      <c r="AN369" s="36">
        <v>200</v>
      </c>
      <c r="AO369" s="36">
        <v>310</v>
      </c>
      <c r="AP369" s="36">
        <v>238</v>
      </c>
      <c r="AQ369" s="36">
        <v>176</v>
      </c>
      <c r="AR369" s="36">
        <v>137</v>
      </c>
      <c r="AS369" s="36">
        <v>130</v>
      </c>
      <c r="AT369" s="36">
        <v>52</v>
      </c>
      <c r="AU369" s="36">
        <v>85</v>
      </c>
      <c r="AV369" s="36">
        <v>61</v>
      </c>
      <c r="AW369" s="36">
        <v>27</v>
      </c>
      <c r="AX369" s="36">
        <v>83</v>
      </c>
      <c r="AY369" s="36">
        <v>88</v>
      </c>
      <c r="AZ369" s="36">
        <v>2152</v>
      </c>
      <c r="BA369" s="36">
        <v>2340</v>
      </c>
      <c r="BB369" s="36">
        <v>648</v>
      </c>
      <c r="BC369" s="36">
        <v>657</v>
      </c>
      <c r="BD369" s="36">
        <v>2134</v>
      </c>
      <c r="BE369" s="36">
        <v>131</v>
      </c>
      <c r="BF369" s="36">
        <v>35</v>
      </c>
      <c r="BG369" s="36">
        <v>59</v>
      </c>
      <c r="BH369" s="36">
        <v>1343</v>
      </c>
      <c r="BI369" s="36">
        <v>464</v>
      </c>
      <c r="BJ369" s="36">
        <v>197</v>
      </c>
      <c r="BK369" s="36">
        <v>127</v>
      </c>
      <c r="BL369" s="36">
        <v>436</v>
      </c>
      <c r="BM369" s="36">
        <v>465</v>
      </c>
      <c r="BN369" s="36">
        <v>536</v>
      </c>
      <c r="BO369" s="36">
        <v>185</v>
      </c>
      <c r="BP369" s="36">
        <v>468</v>
      </c>
      <c r="BQ369" s="36">
        <v>58</v>
      </c>
      <c r="BR369" s="36">
        <v>42</v>
      </c>
      <c r="BS369" s="36">
        <v>88</v>
      </c>
      <c r="BT369" s="36"/>
      <c r="BU369" s="36">
        <v>268</v>
      </c>
      <c r="BV369" s="36">
        <v>58</v>
      </c>
      <c r="BW369" s="36">
        <v>169</v>
      </c>
      <c r="BX369" s="36">
        <v>293</v>
      </c>
      <c r="BY369" s="36">
        <v>278</v>
      </c>
      <c r="BZ369" s="36">
        <v>299</v>
      </c>
      <c r="CA369" s="36">
        <v>108</v>
      </c>
      <c r="CB369" s="36">
        <v>377</v>
      </c>
      <c r="CC369" s="36">
        <v>39</v>
      </c>
      <c r="CD369" s="36">
        <v>21</v>
      </c>
      <c r="CE369" s="36">
        <v>335</v>
      </c>
      <c r="CF369" s="36"/>
      <c r="CG369" s="36">
        <v>196</v>
      </c>
      <c r="CH369" s="36">
        <v>71</v>
      </c>
      <c r="CI369" s="36">
        <v>135</v>
      </c>
      <c r="CK369" s="4" t="b">
        <f t="shared" si="5"/>
        <v>0</v>
      </c>
    </row>
    <row r="370" spans="1:89" ht="75" customHeight="1">
      <c r="A370" s="32" t="s">
        <v>144</v>
      </c>
      <c r="B370" s="32" t="s">
        <v>316</v>
      </c>
      <c r="C370" s="32" t="s">
        <v>522</v>
      </c>
      <c r="D370" s="34"/>
      <c r="E370" s="34">
        <v>100</v>
      </c>
      <c r="F370" s="34">
        <v>100</v>
      </c>
      <c r="G370" s="34">
        <v>100</v>
      </c>
      <c r="H370" s="34">
        <v>100</v>
      </c>
      <c r="I370" s="34">
        <v>100</v>
      </c>
      <c r="J370" s="34">
        <v>100</v>
      </c>
      <c r="K370" s="34">
        <v>100</v>
      </c>
      <c r="L370" s="34">
        <v>100</v>
      </c>
      <c r="M370" s="34">
        <v>128.57</v>
      </c>
      <c r="N370" s="34">
        <v>100</v>
      </c>
      <c r="O370" s="34">
        <v>100</v>
      </c>
      <c r="P370" s="34"/>
      <c r="Q370" s="34">
        <v>100</v>
      </c>
      <c r="R370" s="34">
        <v>100</v>
      </c>
      <c r="S370" s="34">
        <v>100</v>
      </c>
      <c r="T370" s="34">
        <v>100</v>
      </c>
      <c r="U370" s="34">
        <v>100</v>
      </c>
      <c r="V370" s="34">
        <v>100</v>
      </c>
      <c r="W370" s="34">
        <v>100</v>
      </c>
      <c r="X370" s="34">
        <v>100</v>
      </c>
      <c r="Y370" s="34"/>
      <c r="Z370" s="34"/>
      <c r="AA370" s="34">
        <v>150</v>
      </c>
      <c r="AB370" s="36"/>
      <c r="AC370" s="36">
        <v>83</v>
      </c>
      <c r="AD370" s="36">
        <v>19</v>
      </c>
      <c r="AE370" s="36">
        <v>34</v>
      </c>
      <c r="AF370" s="36">
        <v>23</v>
      </c>
      <c r="AG370" s="36">
        <v>21</v>
      </c>
      <c r="AH370" s="36">
        <v>30</v>
      </c>
      <c r="AI370" s="36">
        <v>37</v>
      </c>
      <c r="AJ370" s="36">
        <v>30</v>
      </c>
      <c r="AK370" s="36">
        <v>20</v>
      </c>
      <c r="AL370" s="36">
        <v>22</v>
      </c>
      <c r="AM370" s="36">
        <v>19</v>
      </c>
      <c r="AN370" s="36"/>
      <c r="AO370" s="36">
        <v>245</v>
      </c>
      <c r="AP370" s="36">
        <v>17</v>
      </c>
      <c r="AQ370" s="36">
        <v>38</v>
      </c>
      <c r="AR370" s="36">
        <v>29</v>
      </c>
      <c r="AS370" s="36">
        <v>28</v>
      </c>
      <c r="AT370" s="36">
        <v>23</v>
      </c>
      <c r="AU370" s="36">
        <v>30</v>
      </c>
      <c r="AV370" s="36">
        <v>28</v>
      </c>
      <c r="AW370" s="36">
        <v>40</v>
      </c>
      <c r="AX370" s="36">
        <v>30</v>
      </c>
      <c r="AY370" s="36">
        <v>26</v>
      </c>
      <c r="AZ370" s="36"/>
      <c r="BA370" s="36">
        <v>6</v>
      </c>
      <c r="BB370" s="36">
        <v>3</v>
      </c>
      <c r="BC370" s="36">
        <v>6</v>
      </c>
      <c r="BD370" s="36">
        <v>2</v>
      </c>
      <c r="BE370" s="36">
        <v>4</v>
      </c>
      <c r="BF370" s="36">
        <v>6</v>
      </c>
      <c r="BG370" s="36">
        <v>7</v>
      </c>
      <c r="BH370" s="36">
        <v>8</v>
      </c>
      <c r="BI370" s="36">
        <v>10</v>
      </c>
      <c r="BJ370" s="36">
        <v>3</v>
      </c>
      <c r="BK370" s="36"/>
      <c r="BL370" s="36"/>
      <c r="BM370" s="36">
        <v>2</v>
      </c>
      <c r="BN370" s="36"/>
      <c r="BO370" s="36">
        <v>3</v>
      </c>
      <c r="BP370" s="36">
        <v>2</v>
      </c>
      <c r="BQ370" s="36">
        <v>2</v>
      </c>
      <c r="BR370" s="36">
        <v>2</v>
      </c>
      <c r="BS370" s="36">
        <v>2</v>
      </c>
      <c r="BT370" s="36">
        <v>4</v>
      </c>
      <c r="BU370" s="36">
        <v>2</v>
      </c>
      <c r="BV370" s="36">
        <v>5</v>
      </c>
      <c r="BW370" s="36">
        <v>4</v>
      </c>
      <c r="BX370" s="36"/>
      <c r="BY370" s="36"/>
      <c r="BZ370" s="36"/>
      <c r="CA370" s="36"/>
      <c r="CB370" s="36"/>
      <c r="CC370" s="36">
        <v>2</v>
      </c>
      <c r="CD370" s="36"/>
      <c r="CE370" s="36"/>
      <c r="CF370" s="36">
        <v>3</v>
      </c>
      <c r="CG370" s="36"/>
      <c r="CH370" s="36">
        <v>4</v>
      </c>
      <c r="CI370" s="36">
        <v>4</v>
      </c>
      <c r="CK370" s="4" t="b">
        <f t="shared" si="5"/>
        <v>0</v>
      </c>
    </row>
    <row r="371" spans="1:89" ht="60" customHeight="1">
      <c r="A371" s="32" t="s">
        <v>144</v>
      </c>
      <c r="B371" s="32" t="s">
        <v>316</v>
      </c>
      <c r="C371" s="32" t="s">
        <v>523</v>
      </c>
      <c r="D371" s="34"/>
      <c r="E371" s="34">
        <v>100</v>
      </c>
      <c r="F371" s="34">
        <v>100</v>
      </c>
      <c r="G371" s="34">
        <v>100</v>
      </c>
      <c r="H371" s="34">
        <v>100</v>
      </c>
      <c r="I371" s="34">
        <v>100</v>
      </c>
      <c r="J371" s="34">
        <v>100</v>
      </c>
      <c r="K371" s="34">
        <v>100</v>
      </c>
      <c r="L371" s="34">
        <v>100</v>
      </c>
      <c r="M371" s="34">
        <v>100</v>
      </c>
      <c r="N371" s="34">
        <v>100</v>
      </c>
      <c r="O371" s="34">
        <v>100</v>
      </c>
      <c r="P371" s="34"/>
      <c r="Q371" s="34">
        <v>100</v>
      </c>
      <c r="R371" s="34"/>
      <c r="S371" s="34"/>
      <c r="T371" s="34">
        <v>100</v>
      </c>
      <c r="U371" s="34"/>
      <c r="V371" s="34">
        <v>100</v>
      </c>
      <c r="W371" s="34"/>
      <c r="X371" s="34"/>
      <c r="Y371" s="34"/>
      <c r="Z371" s="34">
        <v>100</v>
      </c>
      <c r="AA371" s="34">
        <v>100</v>
      </c>
      <c r="AB371" s="36"/>
      <c r="AC371" s="36">
        <v>141</v>
      </c>
      <c r="AD371" s="36">
        <v>29</v>
      </c>
      <c r="AE371" s="36">
        <v>29</v>
      </c>
      <c r="AF371" s="36">
        <v>35</v>
      </c>
      <c r="AG371" s="36">
        <v>29</v>
      </c>
      <c r="AH371" s="36">
        <v>36</v>
      </c>
      <c r="AI371" s="36">
        <v>26</v>
      </c>
      <c r="AJ371" s="36">
        <v>30</v>
      </c>
      <c r="AK371" s="36">
        <v>28</v>
      </c>
      <c r="AL371" s="36">
        <v>51</v>
      </c>
      <c r="AM371" s="36">
        <v>52</v>
      </c>
      <c r="AN371" s="36"/>
      <c r="AO371" s="36">
        <v>466</v>
      </c>
      <c r="AP371" s="36">
        <v>41</v>
      </c>
      <c r="AQ371" s="36">
        <v>32</v>
      </c>
      <c r="AR371" s="36">
        <v>19</v>
      </c>
      <c r="AS371" s="36">
        <v>30</v>
      </c>
      <c r="AT371" s="36">
        <v>36</v>
      </c>
      <c r="AU371" s="36">
        <v>29</v>
      </c>
      <c r="AV371" s="36">
        <v>33</v>
      </c>
      <c r="AW371" s="36">
        <v>37</v>
      </c>
      <c r="AX371" s="36">
        <v>51</v>
      </c>
      <c r="AY371" s="36">
        <v>51</v>
      </c>
      <c r="AZ371" s="36"/>
      <c r="BA371" s="36">
        <v>23</v>
      </c>
      <c r="BB371" s="36">
        <v>35</v>
      </c>
      <c r="BC371" s="36">
        <v>31</v>
      </c>
      <c r="BD371" s="36">
        <v>25</v>
      </c>
      <c r="BE371" s="36">
        <v>23</v>
      </c>
      <c r="BF371" s="36">
        <v>32</v>
      </c>
      <c r="BG371" s="36">
        <v>31</v>
      </c>
      <c r="BH371" s="36">
        <v>26</v>
      </c>
      <c r="BI371" s="36">
        <v>35</v>
      </c>
      <c r="BJ371" s="36">
        <v>30</v>
      </c>
      <c r="BK371" s="36">
        <v>37</v>
      </c>
      <c r="BL371" s="36"/>
      <c r="BM371" s="36">
        <v>9</v>
      </c>
      <c r="BN371" s="36">
        <v>21</v>
      </c>
      <c r="BO371" s="36">
        <v>24</v>
      </c>
      <c r="BP371" s="36">
        <v>8</v>
      </c>
      <c r="BQ371" s="36">
        <v>17</v>
      </c>
      <c r="BR371" s="36">
        <v>19</v>
      </c>
      <c r="BS371" s="36">
        <v>7</v>
      </c>
      <c r="BT371" s="36">
        <v>21</v>
      </c>
      <c r="BU371" s="36">
        <v>16</v>
      </c>
      <c r="BV371" s="36">
        <v>21</v>
      </c>
      <c r="BW371" s="36">
        <v>8</v>
      </c>
      <c r="BX371" s="36"/>
      <c r="BY371" s="36">
        <v>6</v>
      </c>
      <c r="BZ371" s="36">
        <v>6</v>
      </c>
      <c r="CA371" s="36">
        <v>3</v>
      </c>
      <c r="CB371" s="36">
        <v>6</v>
      </c>
      <c r="CC371" s="36">
        <v>1</v>
      </c>
      <c r="CD371" s="36">
        <v>5</v>
      </c>
      <c r="CE371" s="36">
        <v>5</v>
      </c>
      <c r="CF371" s="36">
        <v>1</v>
      </c>
      <c r="CG371" s="36">
        <v>2</v>
      </c>
      <c r="CH371" s="36">
        <v>4</v>
      </c>
      <c r="CI371" s="36">
        <v>3</v>
      </c>
      <c r="CK371" s="4" t="b">
        <f t="shared" si="5"/>
        <v>0</v>
      </c>
    </row>
    <row r="372" spans="1:89" ht="60" customHeight="1">
      <c r="A372" s="32" t="s">
        <v>87</v>
      </c>
      <c r="B372" s="32" t="s">
        <v>104</v>
      </c>
      <c r="C372" s="32" t="s">
        <v>524</v>
      </c>
      <c r="D372" s="34"/>
      <c r="E372" s="34"/>
      <c r="F372" s="34"/>
      <c r="G372" s="34"/>
      <c r="H372" s="34">
        <v>100</v>
      </c>
      <c r="I372" s="34">
        <v>100</v>
      </c>
      <c r="J372" s="34"/>
      <c r="K372" s="34">
        <v>100</v>
      </c>
      <c r="L372" s="34">
        <v>100</v>
      </c>
      <c r="M372" s="34">
        <v>100</v>
      </c>
      <c r="N372" s="34"/>
      <c r="O372" s="34"/>
      <c r="P372" s="34"/>
      <c r="Q372" s="34"/>
      <c r="R372" s="34"/>
      <c r="S372" s="34"/>
      <c r="T372" s="34"/>
      <c r="U372" s="34"/>
      <c r="V372" s="34"/>
      <c r="W372" s="34"/>
      <c r="X372" s="34"/>
      <c r="Y372" s="34"/>
      <c r="Z372" s="34"/>
      <c r="AA372" s="34"/>
      <c r="AB372" s="36"/>
      <c r="AC372" s="36"/>
      <c r="AD372" s="36"/>
      <c r="AE372" s="36"/>
      <c r="AF372" s="36">
        <v>6</v>
      </c>
      <c r="AG372" s="36">
        <v>18</v>
      </c>
      <c r="AH372" s="36"/>
      <c r="AI372" s="36">
        <v>18</v>
      </c>
      <c r="AJ372" s="36">
        <v>14</v>
      </c>
      <c r="AK372" s="36">
        <v>16</v>
      </c>
      <c r="AL372" s="36"/>
      <c r="AM372" s="36">
        <v>24</v>
      </c>
      <c r="AN372" s="36"/>
      <c r="AO372" s="36"/>
      <c r="AP372" s="36"/>
      <c r="AQ372" s="36"/>
      <c r="AR372" s="36">
        <v>8</v>
      </c>
      <c r="AS372" s="36">
        <v>20</v>
      </c>
      <c r="AT372" s="36"/>
      <c r="AU372" s="36">
        <v>10</v>
      </c>
      <c r="AV372" s="36">
        <v>20</v>
      </c>
      <c r="AW372" s="36">
        <v>18</v>
      </c>
      <c r="AX372" s="36"/>
      <c r="AY372" s="36">
        <v>20</v>
      </c>
      <c r="AZ372" s="36"/>
      <c r="BA372" s="36"/>
      <c r="BB372" s="36"/>
      <c r="BC372" s="36">
        <v>55</v>
      </c>
      <c r="BD372" s="36"/>
      <c r="BE372" s="36">
        <v>34</v>
      </c>
      <c r="BF372" s="36"/>
      <c r="BG372" s="36">
        <v>35</v>
      </c>
      <c r="BH372" s="36">
        <v>31</v>
      </c>
      <c r="BI372" s="36">
        <v>42</v>
      </c>
      <c r="BJ372" s="36"/>
      <c r="BK372" s="36">
        <v>36</v>
      </c>
      <c r="BL372" s="36"/>
      <c r="BM372" s="36"/>
      <c r="BN372" s="36"/>
      <c r="BO372" s="36">
        <v>25</v>
      </c>
      <c r="BP372" s="36">
        <v>15</v>
      </c>
      <c r="BQ372" s="36">
        <v>15</v>
      </c>
      <c r="BR372" s="36"/>
      <c r="BS372" s="36">
        <v>43</v>
      </c>
      <c r="BT372" s="36">
        <v>12</v>
      </c>
      <c r="BU372" s="36">
        <v>15</v>
      </c>
      <c r="BV372" s="36"/>
      <c r="BW372" s="36">
        <v>15</v>
      </c>
      <c r="BX372" s="36"/>
      <c r="BY372" s="36"/>
      <c r="BZ372" s="36"/>
      <c r="CA372" s="36">
        <v>18</v>
      </c>
      <c r="CB372" s="36">
        <v>8</v>
      </c>
      <c r="CC372" s="36">
        <v>8</v>
      </c>
      <c r="CD372" s="36"/>
      <c r="CE372" s="36">
        <v>10</v>
      </c>
      <c r="CF372" s="36">
        <v>7</v>
      </c>
      <c r="CG372" s="36">
        <v>2</v>
      </c>
      <c r="CH372" s="36"/>
      <c r="CI372" s="36"/>
      <c r="CK372" s="4" t="b">
        <f t="shared" si="5"/>
        <v>0</v>
      </c>
    </row>
    <row r="373" spans="1:89" ht="75" customHeight="1">
      <c r="A373" s="32" t="s">
        <v>124</v>
      </c>
      <c r="B373" s="32" t="s">
        <v>268</v>
      </c>
      <c r="C373" s="32" t="s">
        <v>525</v>
      </c>
      <c r="D373" s="34"/>
      <c r="E373" s="34"/>
      <c r="F373" s="34"/>
      <c r="G373" s="34">
        <v>100</v>
      </c>
      <c r="H373" s="34">
        <v>100</v>
      </c>
      <c r="I373" s="34">
        <v>100</v>
      </c>
      <c r="J373" s="34">
        <v>100</v>
      </c>
      <c r="K373" s="34">
        <v>100</v>
      </c>
      <c r="L373" s="34">
        <v>100</v>
      </c>
      <c r="M373" s="34">
        <v>100</v>
      </c>
      <c r="N373" s="34"/>
      <c r="O373" s="34">
        <v>100</v>
      </c>
      <c r="P373" s="34"/>
      <c r="Q373" s="34"/>
      <c r="R373" s="34"/>
      <c r="S373" s="34"/>
      <c r="T373" s="34"/>
      <c r="U373" s="34"/>
      <c r="V373" s="34"/>
      <c r="W373" s="34"/>
      <c r="X373" s="34"/>
      <c r="Y373" s="34"/>
      <c r="Z373" s="34"/>
      <c r="AA373" s="34"/>
      <c r="AB373" s="36"/>
      <c r="AC373" s="36"/>
      <c r="AD373" s="36"/>
      <c r="AE373" s="36">
        <v>14</v>
      </c>
      <c r="AF373" s="36">
        <v>17</v>
      </c>
      <c r="AG373" s="36">
        <v>25</v>
      </c>
      <c r="AH373" s="36">
        <v>14</v>
      </c>
      <c r="AI373" s="36">
        <v>10</v>
      </c>
      <c r="AJ373" s="36">
        <v>12</v>
      </c>
      <c r="AK373" s="36">
        <v>16</v>
      </c>
      <c r="AL373" s="36">
        <v>23</v>
      </c>
      <c r="AM373" s="36">
        <v>12</v>
      </c>
      <c r="AN373" s="36"/>
      <c r="AO373" s="36"/>
      <c r="AP373" s="36"/>
      <c r="AQ373" s="36">
        <v>12</v>
      </c>
      <c r="AR373" s="36">
        <v>15</v>
      </c>
      <c r="AS373" s="36">
        <v>16</v>
      </c>
      <c r="AT373" s="36">
        <v>13</v>
      </c>
      <c r="AU373" s="36">
        <v>10</v>
      </c>
      <c r="AV373" s="36">
        <v>12</v>
      </c>
      <c r="AW373" s="36">
        <v>16</v>
      </c>
      <c r="AX373" s="36">
        <v>20</v>
      </c>
      <c r="AY373" s="36">
        <v>10</v>
      </c>
      <c r="AZ373" s="36"/>
      <c r="BA373" s="36"/>
      <c r="BB373" s="36"/>
      <c r="BC373" s="36">
        <v>1</v>
      </c>
      <c r="BD373" s="36">
        <v>1</v>
      </c>
      <c r="BE373" s="36"/>
      <c r="BF373" s="36"/>
      <c r="BG373" s="36">
        <v>1</v>
      </c>
      <c r="BH373" s="36">
        <v>2</v>
      </c>
      <c r="BI373" s="36">
        <v>1</v>
      </c>
      <c r="BJ373" s="36">
        <v>1</v>
      </c>
      <c r="BK373" s="36">
        <v>2</v>
      </c>
      <c r="BL373" s="36"/>
      <c r="BM373" s="36"/>
      <c r="BN373" s="36"/>
      <c r="BO373" s="36"/>
      <c r="BP373" s="36">
        <v>3</v>
      </c>
      <c r="BQ373" s="36">
        <v>2</v>
      </c>
      <c r="BR373" s="36">
        <v>4</v>
      </c>
      <c r="BS373" s="36"/>
      <c r="BT373" s="36">
        <v>2</v>
      </c>
      <c r="BU373" s="36">
        <v>1</v>
      </c>
      <c r="BV373" s="36">
        <v>1</v>
      </c>
      <c r="BW373" s="36">
        <v>1</v>
      </c>
      <c r="BX373" s="36"/>
      <c r="BY373" s="36"/>
      <c r="BZ373" s="36"/>
      <c r="CA373" s="36"/>
      <c r="CB373" s="36"/>
      <c r="CC373" s="36"/>
      <c r="CD373" s="36"/>
      <c r="CE373" s="36"/>
      <c r="CF373" s="36"/>
      <c r="CG373" s="36"/>
      <c r="CH373" s="36"/>
      <c r="CI373" s="36">
        <v>1</v>
      </c>
      <c r="CK373" s="4" t="b">
        <f t="shared" si="5"/>
        <v>0</v>
      </c>
    </row>
    <row r="374" spans="1:89" ht="60" customHeight="1">
      <c r="A374" s="32" t="s">
        <v>101</v>
      </c>
      <c r="B374" s="32" t="s">
        <v>162</v>
      </c>
      <c r="C374" s="32" t="s">
        <v>526</v>
      </c>
      <c r="D374" s="34"/>
      <c r="E374" s="34">
        <v>75</v>
      </c>
      <c r="F374" s="34">
        <v>100</v>
      </c>
      <c r="G374" s="34">
        <v>100</v>
      </c>
      <c r="H374" s="34">
        <v>75</v>
      </c>
      <c r="I374" s="34">
        <v>100</v>
      </c>
      <c r="J374" s="34">
        <v>100</v>
      </c>
      <c r="K374" s="34">
        <v>75</v>
      </c>
      <c r="L374" s="34">
        <v>100</v>
      </c>
      <c r="M374" s="34">
        <v>100</v>
      </c>
      <c r="N374" s="34">
        <v>100</v>
      </c>
      <c r="O374" s="34">
        <v>75</v>
      </c>
      <c r="P374" s="34"/>
      <c r="Q374" s="34">
        <v>80</v>
      </c>
      <c r="R374" s="34">
        <v>100</v>
      </c>
      <c r="S374" s="34">
        <v>100</v>
      </c>
      <c r="T374" s="34">
        <v>125</v>
      </c>
      <c r="U374" s="34">
        <v>75</v>
      </c>
      <c r="V374" s="34">
        <v>100</v>
      </c>
      <c r="W374" s="34">
        <v>75</v>
      </c>
      <c r="X374" s="34">
        <v>100</v>
      </c>
      <c r="Y374" s="34">
        <v>100</v>
      </c>
      <c r="Z374" s="34">
        <v>100</v>
      </c>
      <c r="AA374" s="34">
        <v>100</v>
      </c>
      <c r="AB374" s="36"/>
      <c r="AC374" s="36">
        <v>135</v>
      </c>
      <c r="AD374" s="36">
        <v>43</v>
      </c>
      <c r="AE374" s="36">
        <v>21</v>
      </c>
      <c r="AF374" s="36">
        <v>27</v>
      </c>
      <c r="AG374" s="36">
        <v>34</v>
      </c>
      <c r="AH374" s="36">
        <v>39</v>
      </c>
      <c r="AI374" s="36">
        <v>23</v>
      </c>
      <c r="AJ374" s="36">
        <v>42</v>
      </c>
      <c r="AK374" s="36">
        <v>41</v>
      </c>
      <c r="AL374" s="36">
        <v>73</v>
      </c>
      <c r="AM374" s="36">
        <v>53</v>
      </c>
      <c r="AN374" s="36"/>
      <c r="AO374" s="36">
        <v>248</v>
      </c>
      <c r="AP374" s="36">
        <v>42</v>
      </c>
      <c r="AQ374" s="36">
        <v>20</v>
      </c>
      <c r="AR374" s="36">
        <v>32</v>
      </c>
      <c r="AS374" s="36">
        <v>21</v>
      </c>
      <c r="AT374" s="36">
        <v>27</v>
      </c>
      <c r="AU374" s="36">
        <v>17</v>
      </c>
      <c r="AV374" s="36">
        <v>26</v>
      </c>
      <c r="AW374" s="36">
        <v>40</v>
      </c>
      <c r="AX374" s="36">
        <v>72</v>
      </c>
      <c r="AY374" s="36">
        <v>35</v>
      </c>
      <c r="AZ374" s="36"/>
      <c r="BA374" s="36">
        <v>59</v>
      </c>
      <c r="BB374" s="36">
        <v>54</v>
      </c>
      <c r="BC374" s="36">
        <v>2</v>
      </c>
      <c r="BD374" s="36">
        <v>25</v>
      </c>
      <c r="BE374" s="36">
        <v>32</v>
      </c>
      <c r="BF374" s="36">
        <v>36</v>
      </c>
      <c r="BG374" s="36">
        <v>47</v>
      </c>
      <c r="BH374" s="36">
        <v>45</v>
      </c>
      <c r="BI374" s="36">
        <v>31</v>
      </c>
      <c r="BJ374" s="36">
        <v>46</v>
      </c>
      <c r="BK374" s="36">
        <v>13</v>
      </c>
      <c r="BL374" s="36"/>
      <c r="BM374" s="36">
        <v>1</v>
      </c>
      <c r="BN374" s="36">
        <v>2</v>
      </c>
      <c r="BO374" s="36"/>
      <c r="BP374" s="36">
        <v>7</v>
      </c>
      <c r="BQ374" s="36">
        <v>8</v>
      </c>
      <c r="BR374" s="36">
        <v>12</v>
      </c>
      <c r="BS374" s="36">
        <v>5</v>
      </c>
      <c r="BT374" s="36">
        <v>15</v>
      </c>
      <c r="BU374" s="36">
        <v>8</v>
      </c>
      <c r="BV374" s="36">
        <v>14</v>
      </c>
      <c r="BW374" s="36">
        <v>6</v>
      </c>
      <c r="BX374" s="36"/>
      <c r="BY374" s="36"/>
      <c r="BZ374" s="36"/>
      <c r="CA374" s="36"/>
      <c r="CB374" s="36"/>
      <c r="CC374" s="36"/>
      <c r="CD374" s="36"/>
      <c r="CE374" s="36"/>
      <c r="CF374" s="36"/>
      <c r="CG374" s="36"/>
      <c r="CH374" s="36">
        <v>1</v>
      </c>
      <c r="CI374" s="36"/>
      <c r="CK374" s="4" t="b">
        <f t="shared" si="5"/>
        <v>0</v>
      </c>
    </row>
    <row r="375" spans="1:89" ht="75" customHeight="1">
      <c r="A375" s="32" t="s">
        <v>87</v>
      </c>
      <c r="B375" s="32" t="s">
        <v>120</v>
      </c>
      <c r="C375" s="32" t="s">
        <v>527</v>
      </c>
      <c r="D375" s="34"/>
      <c r="E375" s="34">
        <v>75</v>
      </c>
      <c r="F375" s="34"/>
      <c r="G375" s="34">
        <v>125</v>
      </c>
      <c r="H375" s="34">
        <v>100</v>
      </c>
      <c r="I375" s="34">
        <v>100</v>
      </c>
      <c r="J375" s="34">
        <v>90</v>
      </c>
      <c r="K375" s="34">
        <v>75</v>
      </c>
      <c r="L375" s="34">
        <v>87.5</v>
      </c>
      <c r="M375" s="34">
        <v>100</v>
      </c>
      <c r="N375" s="34">
        <v>87.5</v>
      </c>
      <c r="O375" s="34">
        <v>100</v>
      </c>
      <c r="P375" s="34"/>
      <c r="Q375" s="34"/>
      <c r="R375" s="34"/>
      <c r="S375" s="34"/>
      <c r="T375" s="34"/>
      <c r="U375" s="34"/>
      <c r="V375" s="34"/>
      <c r="W375" s="34"/>
      <c r="X375" s="34"/>
      <c r="Y375" s="34"/>
      <c r="Z375" s="34">
        <v>100</v>
      </c>
      <c r="AA375" s="34"/>
      <c r="AB375" s="36"/>
      <c r="AC375" s="36">
        <v>46</v>
      </c>
      <c r="AD375" s="36"/>
      <c r="AE375" s="36">
        <v>79</v>
      </c>
      <c r="AF375" s="36">
        <v>83</v>
      </c>
      <c r="AG375" s="36">
        <v>80</v>
      </c>
      <c r="AH375" s="36">
        <v>109</v>
      </c>
      <c r="AI375" s="36">
        <v>64</v>
      </c>
      <c r="AJ375" s="36">
        <v>55</v>
      </c>
      <c r="AK375" s="36">
        <v>95</v>
      </c>
      <c r="AL375" s="36">
        <v>70</v>
      </c>
      <c r="AM375" s="36">
        <v>75</v>
      </c>
      <c r="AN375" s="36"/>
      <c r="AO375" s="36">
        <v>47</v>
      </c>
      <c r="AP375" s="36"/>
      <c r="AQ375" s="36">
        <v>90</v>
      </c>
      <c r="AR375" s="36">
        <v>74</v>
      </c>
      <c r="AS375" s="36">
        <v>75</v>
      </c>
      <c r="AT375" s="36">
        <v>81</v>
      </c>
      <c r="AU375" s="36">
        <v>57</v>
      </c>
      <c r="AV375" s="36">
        <v>90</v>
      </c>
      <c r="AW375" s="36">
        <v>94</v>
      </c>
      <c r="AX375" s="36">
        <v>80</v>
      </c>
      <c r="AY375" s="36">
        <v>90</v>
      </c>
      <c r="AZ375" s="36"/>
      <c r="BA375" s="36">
        <v>55</v>
      </c>
      <c r="BB375" s="36"/>
      <c r="BC375" s="36">
        <v>34</v>
      </c>
      <c r="BD375" s="36">
        <v>82</v>
      </c>
      <c r="BE375" s="36">
        <v>45</v>
      </c>
      <c r="BF375" s="36">
        <v>26</v>
      </c>
      <c r="BG375" s="36">
        <v>70</v>
      </c>
      <c r="BH375" s="36">
        <v>61</v>
      </c>
      <c r="BI375" s="36">
        <v>40</v>
      </c>
      <c r="BJ375" s="36">
        <v>59</v>
      </c>
      <c r="BK375" s="36">
        <v>57</v>
      </c>
      <c r="BL375" s="36"/>
      <c r="BM375" s="36">
        <v>13</v>
      </c>
      <c r="BN375" s="36"/>
      <c r="BO375" s="36">
        <v>26</v>
      </c>
      <c r="BP375" s="36">
        <v>36</v>
      </c>
      <c r="BQ375" s="36">
        <v>29</v>
      </c>
      <c r="BR375" s="36"/>
      <c r="BS375" s="36">
        <v>26</v>
      </c>
      <c r="BT375" s="36">
        <v>27</v>
      </c>
      <c r="BU375" s="36">
        <v>25</v>
      </c>
      <c r="BV375" s="36">
        <v>29</v>
      </c>
      <c r="BW375" s="36">
        <v>20</v>
      </c>
      <c r="BX375" s="36"/>
      <c r="BY375" s="36"/>
      <c r="BZ375" s="36"/>
      <c r="CA375" s="36">
        <v>1</v>
      </c>
      <c r="CB375" s="36">
        <v>3</v>
      </c>
      <c r="CC375" s="36"/>
      <c r="CD375" s="36"/>
      <c r="CE375" s="36"/>
      <c r="CF375" s="36">
        <v>1</v>
      </c>
      <c r="CG375" s="36">
        <v>3</v>
      </c>
      <c r="CH375" s="36">
        <v>1</v>
      </c>
      <c r="CI375" s="36">
        <v>4</v>
      </c>
      <c r="CK375" s="4" t="b">
        <f t="shared" si="5"/>
        <v>0</v>
      </c>
    </row>
    <row r="376" spans="1:89" ht="60" customHeight="1">
      <c r="A376" s="32" t="s">
        <v>87</v>
      </c>
      <c r="B376" s="32" t="s">
        <v>120</v>
      </c>
      <c r="C376" s="32" t="s">
        <v>528</v>
      </c>
      <c r="D376" s="34"/>
      <c r="E376" s="34"/>
      <c r="F376" s="34">
        <v>300</v>
      </c>
      <c r="G376" s="34">
        <v>100</v>
      </c>
      <c r="H376" s="34">
        <v>400</v>
      </c>
      <c r="I376" s="34">
        <v>100</v>
      </c>
      <c r="J376" s="34">
        <v>100</v>
      </c>
      <c r="K376" s="34">
        <v>300</v>
      </c>
      <c r="L376" s="34"/>
      <c r="M376" s="34">
        <v>400</v>
      </c>
      <c r="N376" s="34">
        <v>400</v>
      </c>
      <c r="O376" s="34">
        <v>75</v>
      </c>
      <c r="P376" s="34"/>
      <c r="Q376" s="34"/>
      <c r="R376" s="34"/>
      <c r="S376" s="34"/>
      <c r="T376" s="34"/>
      <c r="U376" s="34"/>
      <c r="V376" s="34"/>
      <c r="W376" s="34"/>
      <c r="X376" s="34"/>
      <c r="Y376" s="34"/>
      <c r="Z376" s="34"/>
      <c r="AA376" s="34"/>
      <c r="AB376" s="36"/>
      <c r="AC376" s="36"/>
      <c r="AD376" s="36">
        <v>12</v>
      </c>
      <c r="AE376" s="36">
        <v>17</v>
      </c>
      <c r="AF376" s="36">
        <v>20</v>
      </c>
      <c r="AG376" s="36">
        <v>13</v>
      </c>
      <c r="AH376" s="36">
        <v>13</v>
      </c>
      <c r="AI376" s="36">
        <v>18</v>
      </c>
      <c r="AJ376" s="36">
        <v>15</v>
      </c>
      <c r="AK376" s="36">
        <v>12</v>
      </c>
      <c r="AL376" s="36">
        <v>2</v>
      </c>
      <c r="AM376" s="36">
        <v>19</v>
      </c>
      <c r="AN376" s="36"/>
      <c r="AO376" s="36"/>
      <c r="AP376" s="36">
        <v>2</v>
      </c>
      <c r="AQ376" s="36">
        <v>7</v>
      </c>
      <c r="AR376" s="36">
        <v>13</v>
      </c>
      <c r="AS376" s="36">
        <v>19</v>
      </c>
      <c r="AT376" s="36">
        <v>13</v>
      </c>
      <c r="AU376" s="36">
        <v>8</v>
      </c>
      <c r="AV376" s="36">
        <v>8</v>
      </c>
      <c r="AW376" s="36">
        <v>5</v>
      </c>
      <c r="AX376" s="36">
        <v>6</v>
      </c>
      <c r="AY376" s="36">
        <v>9</v>
      </c>
      <c r="AZ376" s="36"/>
      <c r="BA376" s="36">
        <v>5</v>
      </c>
      <c r="BB376" s="36">
        <v>6</v>
      </c>
      <c r="BC376" s="36">
        <v>4</v>
      </c>
      <c r="BD376" s="36">
        <v>2</v>
      </c>
      <c r="BE376" s="36">
        <v>15</v>
      </c>
      <c r="BF376" s="36">
        <v>10</v>
      </c>
      <c r="BG376" s="36">
        <v>10</v>
      </c>
      <c r="BH376" s="36">
        <v>10</v>
      </c>
      <c r="BI376" s="36">
        <v>7</v>
      </c>
      <c r="BJ376" s="36">
        <v>6</v>
      </c>
      <c r="BK376" s="36">
        <v>6</v>
      </c>
      <c r="BL376" s="36"/>
      <c r="BM376" s="36"/>
      <c r="BN376" s="36">
        <v>8</v>
      </c>
      <c r="BO376" s="36">
        <v>4</v>
      </c>
      <c r="BP376" s="36">
        <v>3</v>
      </c>
      <c r="BQ376" s="36">
        <v>5</v>
      </c>
      <c r="BR376" s="36">
        <v>20</v>
      </c>
      <c r="BS376" s="36">
        <v>13</v>
      </c>
      <c r="BT376" s="36">
        <v>15</v>
      </c>
      <c r="BU376" s="36">
        <v>10</v>
      </c>
      <c r="BV376" s="36">
        <v>4</v>
      </c>
      <c r="BW376" s="36">
        <v>4</v>
      </c>
      <c r="BX376" s="36"/>
      <c r="BY376" s="36"/>
      <c r="BZ376" s="36"/>
      <c r="CA376" s="36"/>
      <c r="CB376" s="36"/>
      <c r="CC376" s="36"/>
      <c r="CD376" s="36"/>
      <c r="CE376" s="36"/>
      <c r="CF376" s="36"/>
      <c r="CG376" s="36"/>
      <c r="CH376" s="36"/>
      <c r="CI376" s="36"/>
      <c r="CK376" s="4" t="b">
        <f t="shared" si="5"/>
        <v>0</v>
      </c>
    </row>
    <row r="377" spans="1:89" ht="75" customHeight="1">
      <c r="A377" s="32" t="s">
        <v>87</v>
      </c>
      <c r="B377" s="32" t="s">
        <v>232</v>
      </c>
      <c r="C377" s="32" t="s">
        <v>529</v>
      </c>
      <c r="D377" s="34">
        <v>100</v>
      </c>
      <c r="E377" s="34">
        <v>100</v>
      </c>
      <c r="F377" s="34">
        <v>100</v>
      </c>
      <c r="G377" s="34">
        <v>100</v>
      </c>
      <c r="H377" s="34">
        <v>100</v>
      </c>
      <c r="I377" s="34">
        <v>100</v>
      </c>
      <c r="J377" s="34">
        <v>100</v>
      </c>
      <c r="K377" s="34">
        <v>100</v>
      </c>
      <c r="L377" s="34">
        <v>100</v>
      </c>
      <c r="M377" s="34">
        <v>100</v>
      </c>
      <c r="N377" s="34">
        <v>100</v>
      </c>
      <c r="O377" s="34">
        <v>100</v>
      </c>
      <c r="P377" s="34"/>
      <c r="Q377" s="34"/>
      <c r="R377" s="34"/>
      <c r="S377" s="34"/>
      <c r="T377" s="34"/>
      <c r="U377" s="34"/>
      <c r="V377" s="34"/>
      <c r="W377" s="34"/>
      <c r="X377" s="34"/>
      <c r="Y377" s="34"/>
      <c r="Z377" s="34"/>
      <c r="AA377" s="34"/>
      <c r="AB377" s="36">
        <v>5</v>
      </c>
      <c r="AC377" s="36">
        <v>6</v>
      </c>
      <c r="AD377" s="36">
        <v>3</v>
      </c>
      <c r="AE377" s="36">
        <v>4</v>
      </c>
      <c r="AF377" s="36">
        <v>5</v>
      </c>
      <c r="AG377" s="36">
        <v>3</v>
      </c>
      <c r="AH377" s="36">
        <v>4</v>
      </c>
      <c r="AI377" s="36">
        <v>4</v>
      </c>
      <c r="AJ377" s="36">
        <v>2</v>
      </c>
      <c r="AK377" s="36">
        <v>2</v>
      </c>
      <c r="AL377" s="36">
        <v>4</v>
      </c>
      <c r="AM377" s="36">
        <v>2</v>
      </c>
      <c r="AN377" s="36">
        <v>4</v>
      </c>
      <c r="AO377" s="36">
        <v>6</v>
      </c>
      <c r="AP377" s="36">
        <v>6</v>
      </c>
      <c r="AQ377" s="36">
        <v>2</v>
      </c>
      <c r="AR377" s="36">
        <v>2</v>
      </c>
      <c r="AS377" s="36">
        <v>2</v>
      </c>
      <c r="AT377" s="36">
        <v>4</v>
      </c>
      <c r="AU377" s="36">
        <v>6</v>
      </c>
      <c r="AV377" s="36">
        <v>4</v>
      </c>
      <c r="AW377" s="36">
        <v>7</v>
      </c>
      <c r="AX377" s="36">
        <v>5</v>
      </c>
      <c r="AY377" s="36">
        <v>1</v>
      </c>
      <c r="AZ377" s="36">
        <v>27</v>
      </c>
      <c r="BA377" s="36">
        <v>22</v>
      </c>
      <c r="BB377" s="36">
        <v>22</v>
      </c>
      <c r="BC377" s="36">
        <v>15</v>
      </c>
      <c r="BD377" s="36">
        <v>30</v>
      </c>
      <c r="BE377" s="36">
        <v>15</v>
      </c>
      <c r="BF377" s="36">
        <v>25</v>
      </c>
      <c r="BG377" s="36">
        <v>20</v>
      </c>
      <c r="BH377" s="36">
        <v>20</v>
      </c>
      <c r="BI377" s="36">
        <v>20</v>
      </c>
      <c r="BJ377" s="36">
        <v>22</v>
      </c>
      <c r="BK377" s="36">
        <v>37</v>
      </c>
      <c r="BL377" s="36">
        <v>13</v>
      </c>
      <c r="BM377" s="36">
        <v>16</v>
      </c>
      <c r="BN377" s="36">
        <v>12</v>
      </c>
      <c r="BO377" s="36">
        <v>12</v>
      </c>
      <c r="BP377" s="36">
        <v>20</v>
      </c>
      <c r="BQ377" s="36">
        <v>7</v>
      </c>
      <c r="BR377" s="36">
        <v>15</v>
      </c>
      <c r="BS377" s="36">
        <v>5</v>
      </c>
      <c r="BT377" s="36">
        <v>8</v>
      </c>
      <c r="BU377" s="36">
        <v>5</v>
      </c>
      <c r="BV377" s="36">
        <v>8</v>
      </c>
      <c r="BW377" s="36">
        <v>8</v>
      </c>
      <c r="BX377" s="36">
        <v>12</v>
      </c>
      <c r="BY377" s="36">
        <v>10</v>
      </c>
      <c r="BZ377" s="36">
        <v>8</v>
      </c>
      <c r="CA377" s="36">
        <v>8</v>
      </c>
      <c r="CB377" s="36">
        <v>16</v>
      </c>
      <c r="CC377" s="36">
        <v>4</v>
      </c>
      <c r="CD377" s="36">
        <v>5</v>
      </c>
      <c r="CE377" s="36">
        <v>4</v>
      </c>
      <c r="CF377" s="36">
        <v>4</v>
      </c>
      <c r="CG377" s="36">
        <v>4</v>
      </c>
      <c r="CH377" s="36">
        <v>5</v>
      </c>
      <c r="CI377" s="36">
        <v>6</v>
      </c>
      <c r="CK377" s="4" t="b">
        <f t="shared" si="5"/>
        <v>1</v>
      </c>
    </row>
    <row r="378" spans="1:89" ht="75" customHeight="1">
      <c r="A378" s="32" t="s">
        <v>124</v>
      </c>
      <c r="B378" s="32" t="s">
        <v>218</v>
      </c>
      <c r="C378" s="32" t="s">
        <v>530</v>
      </c>
      <c r="D378" s="34"/>
      <c r="E378" s="34"/>
      <c r="F378" s="34">
        <v>100</v>
      </c>
      <c r="G378" s="34"/>
      <c r="H378" s="34"/>
      <c r="I378" s="34">
        <v>100</v>
      </c>
      <c r="J378" s="34"/>
      <c r="K378" s="34">
        <v>100</v>
      </c>
      <c r="L378" s="34"/>
      <c r="M378" s="34">
        <v>100</v>
      </c>
      <c r="N378" s="34">
        <v>100</v>
      </c>
      <c r="O378" s="34">
        <v>100</v>
      </c>
      <c r="P378" s="34"/>
      <c r="Q378" s="34"/>
      <c r="R378" s="34">
        <v>100</v>
      </c>
      <c r="S378" s="34"/>
      <c r="T378" s="34"/>
      <c r="U378" s="34">
        <v>100</v>
      </c>
      <c r="V378" s="34"/>
      <c r="W378" s="34">
        <v>100</v>
      </c>
      <c r="X378" s="34"/>
      <c r="Y378" s="34">
        <v>100</v>
      </c>
      <c r="Z378" s="34">
        <v>100</v>
      </c>
      <c r="AA378" s="34">
        <v>100</v>
      </c>
      <c r="AB378" s="36"/>
      <c r="AC378" s="36"/>
      <c r="AD378" s="36">
        <v>40</v>
      </c>
      <c r="AE378" s="36"/>
      <c r="AF378" s="36"/>
      <c r="AG378" s="36">
        <v>40</v>
      </c>
      <c r="AH378" s="36"/>
      <c r="AI378" s="36">
        <v>50</v>
      </c>
      <c r="AJ378" s="36"/>
      <c r="AK378" s="36">
        <v>50</v>
      </c>
      <c r="AL378" s="36">
        <v>50</v>
      </c>
      <c r="AM378" s="36">
        <v>80</v>
      </c>
      <c r="AN378" s="36"/>
      <c r="AO378" s="36"/>
      <c r="AP378" s="36">
        <v>40</v>
      </c>
      <c r="AQ378" s="36"/>
      <c r="AR378" s="36"/>
      <c r="AS378" s="36">
        <v>40</v>
      </c>
      <c r="AT378" s="36"/>
      <c r="AU378" s="36">
        <v>48</v>
      </c>
      <c r="AV378" s="36"/>
      <c r="AW378" s="36">
        <v>49</v>
      </c>
      <c r="AX378" s="36">
        <v>49</v>
      </c>
      <c r="AY378" s="36">
        <v>47</v>
      </c>
      <c r="AZ378" s="36"/>
      <c r="BA378" s="36"/>
      <c r="BB378" s="36">
        <v>22</v>
      </c>
      <c r="BC378" s="36"/>
      <c r="BD378" s="36"/>
      <c r="BE378" s="36">
        <v>21</v>
      </c>
      <c r="BF378" s="36"/>
      <c r="BG378" s="36">
        <v>19</v>
      </c>
      <c r="BH378" s="36">
        <v>21</v>
      </c>
      <c r="BI378" s="36">
        <v>19</v>
      </c>
      <c r="BJ378" s="36">
        <v>22</v>
      </c>
      <c r="BK378" s="36">
        <v>20</v>
      </c>
      <c r="BL378" s="36"/>
      <c r="BM378" s="36"/>
      <c r="BN378" s="36">
        <v>13</v>
      </c>
      <c r="BO378" s="36"/>
      <c r="BP378" s="36"/>
      <c r="BQ378" s="36">
        <v>14</v>
      </c>
      <c r="BR378" s="36"/>
      <c r="BS378" s="36">
        <v>14</v>
      </c>
      <c r="BT378" s="36">
        <v>14</v>
      </c>
      <c r="BU378" s="36">
        <v>12</v>
      </c>
      <c r="BV378" s="36">
        <v>13</v>
      </c>
      <c r="BW378" s="36"/>
      <c r="BX378" s="36"/>
      <c r="BY378" s="36"/>
      <c r="BZ378" s="36"/>
      <c r="CA378" s="36"/>
      <c r="CB378" s="36"/>
      <c r="CC378" s="36"/>
      <c r="CD378" s="36"/>
      <c r="CE378" s="36"/>
      <c r="CF378" s="36"/>
      <c r="CG378" s="36"/>
      <c r="CH378" s="36"/>
      <c r="CI378" s="36"/>
      <c r="CK378" s="4" t="b">
        <f t="shared" si="5"/>
        <v>0</v>
      </c>
    </row>
    <row r="379" spans="1:89" ht="75" customHeight="1">
      <c r="A379" s="32" t="s">
        <v>124</v>
      </c>
      <c r="B379" s="32" t="s">
        <v>139</v>
      </c>
      <c r="C379" s="32" t="s">
        <v>531</v>
      </c>
      <c r="D379" s="34"/>
      <c r="E379" s="34">
        <v>100</v>
      </c>
      <c r="F379" s="34">
        <v>150</v>
      </c>
      <c r="G379" s="34"/>
      <c r="H379" s="34">
        <v>100</v>
      </c>
      <c r="I379" s="34">
        <v>100</v>
      </c>
      <c r="J379" s="34">
        <v>100</v>
      </c>
      <c r="K379" s="34">
        <v>75</v>
      </c>
      <c r="L379" s="34">
        <v>100</v>
      </c>
      <c r="M379" s="34">
        <v>100</v>
      </c>
      <c r="N379" s="34">
        <v>100</v>
      </c>
      <c r="O379" s="34">
        <v>100</v>
      </c>
      <c r="P379" s="34"/>
      <c r="Q379" s="34">
        <v>75</v>
      </c>
      <c r="R379" s="34">
        <v>50</v>
      </c>
      <c r="S379" s="34"/>
      <c r="T379" s="34">
        <v>75</v>
      </c>
      <c r="U379" s="34">
        <v>75</v>
      </c>
      <c r="V379" s="34">
        <v>25</v>
      </c>
      <c r="W379" s="34">
        <v>50</v>
      </c>
      <c r="X379" s="34">
        <v>50</v>
      </c>
      <c r="Y379" s="34">
        <v>75</v>
      </c>
      <c r="Z379" s="34">
        <v>100</v>
      </c>
      <c r="AA379" s="34">
        <v>100</v>
      </c>
      <c r="AB379" s="36"/>
      <c r="AC379" s="36">
        <v>56</v>
      </c>
      <c r="AD379" s="36">
        <v>29</v>
      </c>
      <c r="AE379" s="36"/>
      <c r="AF379" s="36">
        <v>29</v>
      </c>
      <c r="AG379" s="36">
        <v>35</v>
      </c>
      <c r="AH379" s="36">
        <v>31</v>
      </c>
      <c r="AI379" s="36">
        <v>28</v>
      </c>
      <c r="AJ379" s="36">
        <v>27</v>
      </c>
      <c r="AK379" s="36">
        <v>34</v>
      </c>
      <c r="AL379" s="36">
        <v>39</v>
      </c>
      <c r="AM379" s="36">
        <v>57</v>
      </c>
      <c r="AN379" s="36"/>
      <c r="AO379" s="36">
        <v>462</v>
      </c>
      <c r="AP379" s="36">
        <v>28</v>
      </c>
      <c r="AQ379" s="36"/>
      <c r="AR379" s="36">
        <v>27</v>
      </c>
      <c r="AS379" s="36">
        <v>33</v>
      </c>
      <c r="AT379" s="36">
        <v>30</v>
      </c>
      <c r="AU379" s="36">
        <v>28</v>
      </c>
      <c r="AV379" s="36">
        <v>27</v>
      </c>
      <c r="AW379" s="36">
        <v>32</v>
      </c>
      <c r="AX379" s="36">
        <v>37</v>
      </c>
      <c r="AY379" s="36">
        <v>54</v>
      </c>
      <c r="AZ379" s="36"/>
      <c r="BA379" s="36">
        <v>7</v>
      </c>
      <c r="BB379" s="36">
        <v>5</v>
      </c>
      <c r="BC379" s="36"/>
      <c r="BD379" s="36">
        <v>5</v>
      </c>
      <c r="BE379" s="36">
        <v>13</v>
      </c>
      <c r="BF379" s="36"/>
      <c r="BG379" s="36">
        <v>4</v>
      </c>
      <c r="BH379" s="36">
        <v>3</v>
      </c>
      <c r="BI379" s="36">
        <v>16</v>
      </c>
      <c r="BJ379" s="36">
        <v>10</v>
      </c>
      <c r="BK379" s="36">
        <v>19</v>
      </c>
      <c r="BL379" s="36"/>
      <c r="BM379" s="36">
        <v>1</v>
      </c>
      <c r="BN379" s="36">
        <v>2</v>
      </c>
      <c r="BO379" s="36"/>
      <c r="BP379" s="36">
        <v>2</v>
      </c>
      <c r="BQ379" s="36">
        <v>5</v>
      </c>
      <c r="BR379" s="36">
        <v>2</v>
      </c>
      <c r="BS379" s="36">
        <v>1</v>
      </c>
      <c r="BT379" s="36"/>
      <c r="BU379" s="36">
        <v>1</v>
      </c>
      <c r="BV379" s="36"/>
      <c r="BW379" s="36"/>
      <c r="BX379" s="36"/>
      <c r="BY379" s="36">
        <v>1</v>
      </c>
      <c r="BZ379" s="36"/>
      <c r="CA379" s="36"/>
      <c r="CB379" s="36"/>
      <c r="CC379" s="36"/>
      <c r="CD379" s="36"/>
      <c r="CE379" s="36"/>
      <c r="CF379" s="36"/>
      <c r="CG379" s="36"/>
      <c r="CH379" s="36"/>
      <c r="CI379" s="36"/>
      <c r="CK379" s="4" t="b">
        <f t="shared" si="5"/>
        <v>0</v>
      </c>
    </row>
    <row r="380" spans="1:89" ht="60" customHeight="1">
      <c r="A380" s="32" t="s">
        <v>87</v>
      </c>
      <c r="B380" s="32" t="s">
        <v>106</v>
      </c>
      <c r="C380" s="32" t="s">
        <v>532</v>
      </c>
      <c r="D380" s="34"/>
      <c r="E380" s="34"/>
      <c r="F380" s="34"/>
      <c r="G380" s="34"/>
      <c r="H380" s="34"/>
      <c r="I380" s="34"/>
      <c r="J380" s="34"/>
      <c r="K380" s="34"/>
      <c r="L380" s="34"/>
      <c r="M380" s="34"/>
      <c r="N380" s="34"/>
      <c r="O380" s="34"/>
      <c r="P380" s="34"/>
      <c r="Q380" s="34"/>
      <c r="R380" s="34"/>
      <c r="S380" s="34"/>
      <c r="T380" s="34"/>
      <c r="U380" s="34"/>
      <c r="V380" s="34"/>
      <c r="W380" s="34"/>
      <c r="X380" s="34"/>
      <c r="Y380" s="34"/>
      <c r="Z380" s="34"/>
      <c r="AA380" s="34"/>
      <c r="AB380" s="36">
        <v>134</v>
      </c>
      <c r="AC380" s="36">
        <v>112</v>
      </c>
      <c r="AD380" s="36">
        <v>60</v>
      </c>
      <c r="AE380" s="36">
        <v>71</v>
      </c>
      <c r="AF380" s="36">
        <v>50</v>
      </c>
      <c r="AG380" s="36">
        <v>66</v>
      </c>
      <c r="AH380" s="36">
        <v>53</v>
      </c>
      <c r="AI380" s="36">
        <v>50</v>
      </c>
      <c r="AJ380" s="36">
        <v>27</v>
      </c>
      <c r="AK380" s="36">
        <v>30</v>
      </c>
      <c r="AL380" s="36">
        <v>52</v>
      </c>
      <c r="AM380" s="36">
        <v>40</v>
      </c>
      <c r="AN380" s="36">
        <v>135</v>
      </c>
      <c r="AO380" s="36">
        <v>118</v>
      </c>
      <c r="AP380" s="36">
        <v>76</v>
      </c>
      <c r="AQ380" s="36">
        <v>77</v>
      </c>
      <c r="AR380" s="36">
        <v>58</v>
      </c>
      <c r="AS380" s="36">
        <v>68</v>
      </c>
      <c r="AT380" s="36">
        <v>52</v>
      </c>
      <c r="AU380" s="36">
        <v>50</v>
      </c>
      <c r="AV380" s="36">
        <v>43</v>
      </c>
      <c r="AW380" s="36">
        <v>33</v>
      </c>
      <c r="AX380" s="36">
        <v>29</v>
      </c>
      <c r="AY380" s="36">
        <v>23</v>
      </c>
      <c r="AZ380" s="36">
        <v>247</v>
      </c>
      <c r="BA380" s="36">
        <v>129</v>
      </c>
      <c r="BB380" s="36">
        <v>325</v>
      </c>
      <c r="BC380" s="36">
        <v>159</v>
      </c>
      <c r="BD380" s="36">
        <v>363</v>
      </c>
      <c r="BE380" s="36">
        <v>39</v>
      </c>
      <c r="BF380" s="36">
        <v>30</v>
      </c>
      <c r="BG380" s="36">
        <v>30</v>
      </c>
      <c r="BH380" s="36">
        <v>18</v>
      </c>
      <c r="BI380" s="36">
        <v>80</v>
      </c>
      <c r="BJ380" s="36">
        <v>81</v>
      </c>
      <c r="BK380" s="36">
        <v>136</v>
      </c>
      <c r="BL380" s="36">
        <v>101</v>
      </c>
      <c r="BM380" s="36">
        <v>50</v>
      </c>
      <c r="BN380" s="36">
        <v>200</v>
      </c>
      <c r="BO380" s="36">
        <v>89</v>
      </c>
      <c r="BP380" s="36">
        <v>50</v>
      </c>
      <c r="BQ380" s="36">
        <v>50</v>
      </c>
      <c r="BR380" s="36">
        <v>10</v>
      </c>
      <c r="BS380" s="36">
        <v>10</v>
      </c>
      <c r="BT380" s="36">
        <v>10</v>
      </c>
      <c r="BU380" s="36">
        <v>21</v>
      </c>
      <c r="BV380" s="36">
        <v>37</v>
      </c>
      <c r="BW380" s="36">
        <v>59</v>
      </c>
      <c r="BX380" s="36">
        <v>58</v>
      </c>
      <c r="BY380" s="36">
        <v>120</v>
      </c>
      <c r="BZ380" s="36">
        <v>50</v>
      </c>
      <c r="CA380" s="36">
        <v>72</v>
      </c>
      <c r="CB380" s="36">
        <v>80</v>
      </c>
      <c r="CC380" s="36">
        <v>15</v>
      </c>
      <c r="CD380" s="36">
        <v>8</v>
      </c>
      <c r="CE380" s="36">
        <v>9</v>
      </c>
      <c r="CF380" s="36">
        <v>7</v>
      </c>
      <c r="CG380" s="36">
        <v>11</v>
      </c>
      <c r="CH380" s="36">
        <v>2</v>
      </c>
      <c r="CI380" s="36"/>
      <c r="CK380" s="4" t="b">
        <f t="shared" si="5"/>
        <v>0</v>
      </c>
    </row>
    <row r="381" spans="1:89" ht="60" customHeight="1">
      <c r="A381" s="32" t="s">
        <v>92</v>
      </c>
      <c r="B381" s="32" t="s">
        <v>112</v>
      </c>
      <c r="C381" s="32" t="s">
        <v>533</v>
      </c>
      <c r="D381" s="34"/>
      <c r="E381" s="34">
        <v>100</v>
      </c>
      <c r="F381" s="34">
        <v>100</v>
      </c>
      <c r="G381" s="34">
        <v>100</v>
      </c>
      <c r="H381" s="34">
        <v>100</v>
      </c>
      <c r="I381" s="34">
        <v>100</v>
      </c>
      <c r="J381" s="34">
        <v>100</v>
      </c>
      <c r="K381" s="34">
        <v>100</v>
      </c>
      <c r="L381" s="34">
        <v>100</v>
      </c>
      <c r="M381" s="34">
        <v>100</v>
      </c>
      <c r="N381" s="34">
        <v>100</v>
      </c>
      <c r="O381" s="34">
        <v>100</v>
      </c>
      <c r="P381" s="34"/>
      <c r="Q381" s="34">
        <v>100</v>
      </c>
      <c r="R381" s="34">
        <v>100</v>
      </c>
      <c r="S381" s="34">
        <v>100</v>
      </c>
      <c r="T381" s="34">
        <v>100</v>
      </c>
      <c r="U381" s="34">
        <v>100</v>
      </c>
      <c r="V381" s="34">
        <v>100</v>
      </c>
      <c r="W381" s="34">
        <v>100</v>
      </c>
      <c r="X381" s="34">
        <v>100</v>
      </c>
      <c r="Y381" s="34">
        <v>100</v>
      </c>
      <c r="Z381" s="34">
        <v>100</v>
      </c>
      <c r="AA381" s="34">
        <v>100</v>
      </c>
      <c r="AB381" s="36"/>
      <c r="AC381" s="36">
        <v>32</v>
      </c>
      <c r="AD381" s="36">
        <v>41</v>
      </c>
      <c r="AE381" s="36">
        <v>43</v>
      </c>
      <c r="AF381" s="36">
        <v>51</v>
      </c>
      <c r="AG381" s="36">
        <v>62</v>
      </c>
      <c r="AH381" s="36">
        <v>64</v>
      </c>
      <c r="AI381" s="36">
        <v>61</v>
      </c>
      <c r="AJ381" s="36">
        <v>66</v>
      </c>
      <c r="AK381" s="36">
        <v>65</v>
      </c>
      <c r="AL381" s="36">
        <v>66</v>
      </c>
      <c r="AM381" s="36">
        <v>64</v>
      </c>
      <c r="AN381" s="36"/>
      <c r="AO381" s="36">
        <v>30</v>
      </c>
      <c r="AP381" s="36">
        <v>40</v>
      </c>
      <c r="AQ381" s="36">
        <v>40</v>
      </c>
      <c r="AR381" s="36">
        <v>49</v>
      </c>
      <c r="AS381" s="36">
        <v>61</v>
      </c>
      <c r="AT381" s="36">
        <v>62</v>
      </c>
      <c r="AU381" s="36">
        <v>60</v>
      </c>
      <c r="AV381" s="36">
        <v>64</v>
      </c>
      <c r="AW381" s="36">
        <v>64</v>
      </c>
      <c r="AX381" s="36">
        <v>65</v>
      </c>
      <c r="AY381" s="36">
        <v>63</v>
      </c>
      <c r="AZ381" s="36"/>
      <c r="BA381" s="36">
        <v>15</v>
      </c>
      <c r="BB381" s="36">
        <v>25</v>
      </c>
      <c r="BC381" s="36">
        <v>24</v>
      </c>
      <c r="BD381" s="36">
        <v>13</v>
      </c>
      <c r="BE381" s="36">
        <v>24</v>
      </c>
      <c r="BF381" s="36">
        <v>22</v>
      </c>
      <c r="BG381" s="36">
        <v>24</v>
      </c>
      <c r="BH381" s="36">
        <v>25</v>
      </c>
      <c r="BI381" s="36">
        <v>24</v>
      </c>
      <c r="BJ381" s="36">
        <v>25</v>
      </c>
      <c r="BK381" s="36">
        <v>20</v>
      </c>
      <c r="BL381" s="36"/>
      <c r="BM381" s="36">
        <v>2</v>
      </c>
      <c r="BN381" s="36">
        <v>4</v>
      </c>
      <c r="BO381" s="36">
        <v>3</v>
      </c>
      <c r="BP381" s="36">
        <v>7</v>
      </c>
      <c r="BQ381" s="36">
        <v>8</v>
      </c>
      <c r="BR381" s="36">
        <v>6</v>
      </c>
      <c r="BS381" s="36">
        <v>6</v>
      </c>
      <c r="BT381" s="36">
        <v>2</v>
      </c>
      <c r="BU381" s="36">
        <v>6</v>
      </c>
      <c r="BV381" s="36">
        <v>7</v>
      </c>
      <c r="BW381" s="36">
        <v>2</v>
      </c>
      <c r="BX381" s="36"/>
      <c r="BY381" s="36"/>
      <c r="BZ381" s="36">
        <v>2</v>
      </c>
      <c r="CA381" s="36"/>
      <c r="CB381" s="36"/>
      <c r="CC381" s="36">
        <v>1</v>
      </c>
      <c r="CD381" s="36">
        <v>2</v>
      </c>
      <c r="CE381" s="36"/>
      <c r="CF381" s="36">
        <v>1</v>
      </c>
      <c r="CG381" s="36"/>
      <c r="CH381" s="36"/>
      <c r="CI381" s="36"/>
      <c r="CK381" s="4" t="b">
        <f t="shared" si="5"/>
        <v>0</v>
      </c>
    </row>
    <row r="382" spans="1:89" ht="60" customHeight="1">
      <c r="A382" s="32" t="s">
        <v>87</v>
      </c>
      <c r="B382" s="32" t="s">
        <v>120</v>
      </c>
      <c r="C382" s="32" t="s">
        <v>534</v>
      </c>
      <c r="D382" s="34"/>
      <c r="E382" s="34"/>
      <c r="F382" s="34"/>
      <c r="G382" s="34">
        <v>100</v>
      </c>
      <c r="H382" s="34"/>
      <c r="I382" s="34"/>
      <c r="J382" s="34"/>
      <c r="K382" s="34">
        <v>100</v>
      </c>
      <c r="L382" s="34"/>
      <c r="M382" s="34"/>
      <c r="N382" s="34"/>
      <c r="O382" s="34"/>
      <c r="P382" s="34"/>
      <c r="Q382" s="34"/>
      <c r="R382" s="34"/>
      <c r="S382" s="34"/>
      <c r="T382" s="34"/>
      <c r="U382" s="34"/>
      <c r="V382" s="34"/>
      <c r="W382" s="34"/>
      <c r="X382" s="34"/>
      <c r="Y382" s="34"/>
      <c r="Z382" s="34"/>
      <c r="AA382" s="34"/>
      <c r="AB382" s="36"/>
      <c r="AC382" s="36"/>
      <c r="AD382" s="36">
        <v>33</v>
      </c>
      <c r="AE382" s="36">
        <v>26</v>
      </c>
      <c r="AF382" s="36">
        <v>33</v>
      </c>
      <c r="AG382" s="36"/>
      <c r="AH382" s="36">
        <v>30</v>
      </c>
      <c r="AI382" s="36">
        <v>39</v>
      </c>
      <c r="AJ382" s="36">
        <v>29</v>
      </c>
      <c r="AK382" s="36">
        <v>19</v>
      </c>
      <c r="AL382" s="36">
        <v>42</v>
      </c>
      <c r="AM382" s="36"/>
      <c r="AN382" s="36"/>
      <c r="AO382" s="36"/>
      <c r="AP382" s="36">
        <v>28</v>
      </c>
      <c r="AQ382" s="36">
        <v>26</v>
      </c>
      <c r="AR382" s="36">
        <v>37</v>
      </c>
      <c r="AS382" s="36"/>
      <c r="AT382" s="36">
        <v>15</v>
      </c>
      <c r="AU382" s="36">
        <v>22</v>
      </c>
      <c r="AV382" s="36">
        <v>14</v>
      </c>
      <c r="AW382" s="36">
        <v>22</v>
      </c>
      <c r="AX382" s="36">
        <v>22</v>
      </c>
      <c r="AY382" s="36"/>
      <c r="AZ382" s="36"/>
      <c r="BA382" s="36"/>
      <c r="BB382" s="36">
        <v>20</v>
      </c>
      <c r="BC382" s="36">
        <v>9</v>
      </c>
      <c r="BD382" s="36">
        <v>20</v>
      </c>
      <c r="BE382" s="36"/>
      <c r="BF382" s="36">
        <v>3</v>
      </c>
      <c r="BG382" s="36">
        <v>7</v>
      </c>
      <c r="BH382" s="36">
        <v>15</v>
      </c>
      <c r="BI382" s="36">
        <v>5</v>
      </c>
      <c r="BJ382" s="36">
        <v>8</v>
      </c>
      <c r="BK382" s="36"/>
      <c r="BL382" s="36"/>
      <c r="BM382" s="36"/>
      <c r="BN382" s="36">
        <v>5</v>
      </c>
      <c r="BO382" s="36">
        <v>2</v>
      </c>
      <c r="BP382" s="36">
        <v>5</v>
      </c>
      <c r="BQ382" s="36"/>
      <c r="BR382" s="36"/>
      <c r="BS382" s="36">
        <v>2</v>
      </c>
      <c r="BT382" s="36">
        <v>5</v>
      </c>
      <c r="BU382" s="36">
        <v>3</v>
      </c>
      <c r="BV382" s="36">
        <v>3</v>
      </c>
      <c r="BW382" s="36"/>
      <c r="BX382" s="36"/>
      <c r="BY382" s="36"/>
      <c r="BZ382" s="36">
        <v>7</v>
      </c>
      <c r="CA382" s="36">
        <v>3</v>
      </c>
      <c r="CB382" s="36">
        <v>5</v>
      </c>
      <c r="CC382" s="36"/>
      <c r="CD382" s="36"/>
      <c r="CE382" s="36">
        <v>3</v>
      </c>
      <c r="CF382" s="36">
        <v>3</v>
      </c>
      <c r="CG382" s="36">
        <v>2</v>
      </c>
      <c r="CH382" s="36">
        <v>2</v>
      </c>
      <c r="CI382" s="36"/>
      <c r="CK382" s="4" t="b">
        <f t="shared" si="5"/>
        <v>0</v>
      </c>
    </row>
    <row r="383" spans="1:89" ht="75" customHeight="1">
      <c r="A383" s="32" t="s">
        <v>101</v>
      </c>
      <c r="B383" s="32" t="s">
        <v>242</v>
      </c>
      <c r="C383" s="32" t="s">
        <v>535</v>
      </c>
      <c r="D383" s="34"/>
      <c r="E383" s="34">
        <v>100</v>
      </c>
      <c r="F383" s="34">
        <v>100</v>
      </c>
      <c r="G383" s="34">
        <v>100</v>
      </c>
      <c r="H383" s="34">
        <v>100</v>
      </c>
      <c r="I383" s="34">
        <v>100</v>
      </c>
      <c r="J383" s="34">
        <v>100</v>
      </c>
      <c r="K383" s="34">
        <v>100</v>
      </c>
      <c r="L383" s="34"/>
      <c r="M383" s="34"/>
      <c r="N383" s="34">
        <v>100</v>
      </c>
      <c r="O383" s="34">
        <v>100</v>
      </c>
      <c r="P383" s="34"/>
      <c r="Q383" s="34">
        <v>100</v>
      </c>
      <c r="R383" s="34">
        <v>100</v>
      </c>
      <c r="S383" s="34">
        <v>100</v>
      </c>
      <c r="T383" s="34">
        <v>100</v>
      </c>
      <c r="U383" s="34">
        <v>100</v>
      </c>
      <c r="V383" s="34">
        <v>100</v>
      </c>
      <c r="W383" s="34">
        <v>100</v>
      </c>
      <c r="X383" s="34"/>
      <c r="Y383" s="34"/>
      <c r="Z383" s="34">
        <v>100</v>
      </c>
      <c r="AA383" s="34">
        <v>100</v>
      </c>
      <c r="AB383" s="36"/>
      <c r="AC383" s="36">
        <v>27</v>
      </c>
      <c r="AD383" s="36">
        <v>12</v>
      </c>
      <c r="AE383" s="36">
        <v>12</v>
      </c>
      <c r="AF383" s="36">
        <v>12</v>
      </c>
      <c r="AG383" s="36">
        <v>12</v>
      </c>
      <c r="AH383" s="36">
        <v>12</v>
      </c>
      <c r="AI383" s="36">
        <v>12</v>
      </c>
      <c r="AJ383" s="36">
        <v>12</v>
      </c>
      <c r="AK383" s="36">
        <v>12</v>
      </c>
      <c r="AL383" s="36">
        <v>12</v>
      </c>
      <c r="AM383" s="36">
        <v>12</v>
      </c>
      <c r="AN383" s="36"/>
      <c r="AO383" s="36">
        <v>55</v>
      </c>
      <c r="AP383" s="36">
        <v>13</v>
      </c>
      <c r="AQ383" s="36">
        <v>12</v>
      </c>
      <c r="AR383" s="36">
        <v>12</v>
      </c>
      <c r="AS383" s="36">
        <v>12</v>
      </c>
      <c r="AT383" s="36">
        <v>12</v>
      </c>
      <c r="AU383" s="36">
        <v>12</v>
      </c>
      <c r="AV383" s="36">
        <v>12</v>
      </c>
      <c r="AW383" s="36">
        <v>14</v>
      </c>
      <c r="AX383" s="36">
        <v>12</v>
      </c>
      <c r="AY383" s="36">
        <v>12</v>
      </c>
      <c r="AZ383" s="36"/>
      <c r="BA383" s="36">
        <v>11</v>
      </c>
      <c r="BB383" s="36">
        <v>14</v>
      </c>
      <c r="BC383" s="36">
        <v>11</v>
      </c>
      <c r="BD383" s="36">
        <v>6</v>
      </c>
      <c r="BE383" s="36">
        <v>10</v>
      </c>
      <c r="BF383" s="36"/>
      <c r="BG383" s="36"/>
      <c r="BH383" s="36"/>
      <c r="BI383" s="36"/>
      <c r="BJ383" s="36"/>
      <c r="BK383" s="36">
        <v>4</v>
      </c>
      <c r="BL383" s="36"/>
      <c r="BM383" s="36"/>
      <c r="BN383" s="36"/>
      <c r="BO383" s="36"/>
      <c r="BP383" s="36"/>
      <c r="BQ383" s="36"/>
      <c r="BR383" s="36"/>
      <c r="BS383" s="36"/>
      <c r="BT383" s="36">
        <v>2</v>
      </c>
      <c r="BU383" s="36"/>
      <c r="BV383" s="36"/>
      <c r="BW383" s="36">
        <v>2</v>
      </c>
      <c r="BX383" s="36"/>
      <c r="BY383" s="36"/>
      <c r="BZ383" s="36"/>
      <c r="CA383" s="36"/>
      <c r="CB383" s="36"/>
      <c r="CC383" s="36"/>
      <c r="CD383" s="36"/>
      <c r="CE383" s="36"/>
      <c r="CF383" s="36"/>
      <c r="CG383" s="36"/>
      <c r="CH383" s="36"/>
      <c r="CI383" s="36"/>
      <c r="CK383" s="4" t="b">
        <f t="shared" si="5"/>
        <v>0</v>
      </c>
    </row>
    <row r="384" spans="1:89" ht="60" customHeight="1">
      <c r="A384" s="32" t="s">
        <v>109</v>
      </c>
      <c r="B384" s="32" t="s">
        <v>536</v>
      </c>
      <c r="C384" s="32" t="s">
        <v>537</v>
      </c>
      <c r="D384" s="34"/>
      <c r="E384" s="34">
        <v>100</v>
      </c>
      <c r="F384" s="34">
        <v>50</v>
      </c>
      <c r="G384" s="34">
        <v>100</v>
      </c>
      <c r="H384" s="34">
        <v>100</v>
      </c>
      <c r="I384" s="34">
        <v>100</v>
      </c>
      <c r="J384" s="34">
        <v>100</v>
      </c>
      <c r="K384" s="34">
        <v>100</v>
      </c>
      <c r="L384" s="34">
        <v>100</v>
      </c>
      <c r="M384" s="34">
        <v>100</v>
      </c>
      <c r="N384" s="34">
        <v>100</v>
      </c>
      <c r="O384" s="34">
        <v>100</v>
      </c>
      <c r="P384" s="34"/>
      <c r="Q384" s="34">
        <v>100</v>
      </c>
      <c r="R384" s="34">
        <v>50</v>
      </c>
      <c r="S384" s="34">
        <v>100</v>
      </c>
      <c r="T384" s="34">
        <v>100</v>
      </c>
      <c r="U384" s="34">
        <v>100</v>
      </c>
      <c r="V384" s="34">
        <v>100</v>
      </c>
      <c r="W384" s="34">
        <v>100</v>
      </c>
      <c r="X384" s="34">
        <v>100</v>
      </c>
      <c r="Y384" s="34">
        <v>100</v>
      </c>
      <c r="Z384" s="34">
        <v>100</v>
      </c>
      <c r="AA384" s="34">
        <v>100</v>
      </c>
      <c r="AB384" s="36"/>
      <c r="AC384" s="36">
        <v>108</v>
      </c>
      <c r="AD384" s="36">
        <v>12</v>
      </c>
      <c r="AE384" s="36">
        <v>16</v>
      </c>
      <c r="AF384" s="36">
        <v>32</v>
      </c>
      <c r="AG384" s="36">
        <v>16</v>
      </c>
      <c r="AH384" s="36">
        <v>18</v>
      </c>
      <c r="AI384" s="36">
        <v>19</v>
      </c>
      <c r="AJ384" s="36">
        <v>17</v>
      </c>
      <c r="AK384" s="36">
        <v>18</v>
      </c>
      <c r="AL384" s="36">
        <v>21</v>
      </c>
      <c r="AM384" s="36">
        <v>20</v>
      </c>
      <c r="AN384" s="36"/>
      <c r="AO384" s="36">
        <v>99</v>
      </c>
      <c r="AP384" s="36">
        <v>14</v>
      </c>
      <c r="AQ384" s="36">
        <v>19</v>
      </c>
      <c r="AR384" s="36">
        <v>28</v>
      </c>
      <c r="AS384" s="36">
        <v>16</v>
      </c>
      <c r="AT384" s="36">
        <v>23</v>
      </c>
      <c r="AU384" s="36">
        <v>20</v>
      </c>
      <c r="AV384" s="36">
        <v>21</v>
      </c>
      <c r="AW384" s="36">
        <v>22</v>
      </c>
      <c r="AX384" s="36">
        <v>23</v>
      </c>
      <c r="AY384" s="36">
        <v>21</v>
      </c>
      <c r="AZ384" s="36"/>
      <c r="BA384" s="36">
        <v>11</v>
      </c>
      <c r="BB384" s="36">
        <v>1</v>
      </c>
      <c r="BC384" s="36">
        <v>5</v>
      </c>
      <c r="BD384" s="36">
        <v>4</v>
      </c>
      <c r="BE384" s="36">
        <v>3</v>
      </c>
      <c r="BF384" s="36">
        <v>1</v>
      </c>
      <c r="BG384" s="36">
        <v>3</v>
      </c>
      <c r="BH384" s="36">
        <v>6</v>
      </c>
      <c r="BI384" s="36"/>
      <c r="BJ384" s="36">
        <v>3</v>
      </c>
      <c r="BK384" s="36">
        <v>3</v>
      </c>
      <c r="BL384" s="36"/>
      <c r="BM384" s="36">
        <v>1</v>
      </c>
      <c r="BN384" s="36">
        <v>4</v>
      </c>
      <c r="BO384" s="36">
        <v>2</v>
      </c>
      <c r="BP384" s="36"/>
      <c r="BQ384" s="36">
        <v>1</v>
      </c>
      <c r="BR384" s="36">
        <v>3</v>
      </c>
      <c r="BS384" s="36">
        <v>3</v>
      </c>
      <c r="BT384" s="36">
        <v>1</v>
      </c>
      <c r="BU384" s="36">
        <v>2</v>
      </c>
      <c r="BV384" s="36">
        <v>3</v>
      </c>
      <c r="BW384" s="36">
        <v>5</v>
      </c>
      <c r="BX384" s="36"/>
      <c r="BY384" s="36"/>
      <c r="BZ384" s="36"/>
      <c r="CA384" s="36"/>
      <c r="CB384" s="36">
        <v>16</v>
      </c>
      <c r="CC384" s="36"/>
      <c r="CD384" s="36"/>
      <c r="CE384" s="36"/>
      <c r="CF384" s="36"/>
      <c r="CG384" s="36">
        <v>1</v>
      </c>
      <c r="CH384" s="36">
        <v>1</v>
      </c>
      <c r="CI384" s="36">
        <v>2</v>
      </c>
      <c r="CK384" s="4" t="b">
        <f t="shared" si="5"/>
        <v>0</v>
      </c>
    </row>
    <row r="385" spans="1:89" ht="60" customHeight="1">
      <c r="A385" s="32" t="s">
        <v>109</v>
      </c>
      <c r="B385" s="32" t="s">
        <v>194</v>
      </c>
      <c r="C385" s="32" t="s">
        <v>538</v>
      </c>
      <c r="D385" s="34"/>
      <c r="E385" s="34"/>
      <c r="F385" s="34">
        <v>25</v>
      </c>
      <c r="G385" s="34">
        <v>25</v>
      </c>
      <c r="H385" s="34">
        <v>100</v>
      </c>
      <c r="I385" s="34">
        <v>25</v>
      </c>
      <c r="J385" s="34">
        <v>100</v>
      </c>
      <c r="K385" s="34">
        <v>100</v>
      </c>
      <c r="L385" s="34">
        <v>100</v>
      </c>
      <c r="M385" s="34">
        <v>100</v>
      </c>
      <c r="N385" s="34">
        <v>100</v>
      </c>
      <c r="O385" s="34"/>
      <c r="P385" s="34"/>
      <c r="Q385" s="34"/>
      <c r="R385" s="34">
        <v>100</v>
      </c>
      <c r="S385" s="34">
        <v>25</v>
      </c>
      <c r="T385" s="34">
        <v>100</v>
      </c>
      <c r="U385" s="34">
        <v>25</v>
      </c>
      <c r="V385" s="34">
        <v>100</v>
      </c>
      <c r="W385" s="34">
        <v>75</v>
      </c>
      <c r="X385" s="34">
        <v>100</v>
      </c>
      <c r="Y385" s="34">
        <v>100</v>
      </c>
      <c r="Z385" s="34">
        <v>100</v>
      </c>
      <c r="AA385" s="34"/>
      <c r="AB385" s="36"/>
      <c r="AC385" s="36">
        <v>31</v>
      </c>
      <c r="AD385" s="36">
        <v>23</v>
      </c>
      <c r="AE385" s="36">
        <v>21</v>
      </c>
      <c r="AF385" s="36">
        <v>25</v>
      </c>
      <c r="AG385" s="36">
        <v>23</v>
      </c>
      <c r="AH385" s="36">
        <v>25</v>
      </c>
      <c r="AI385" s="36">
        <v>24</v>
      </c>
      <c r="AJ385" s="36">
        <v>26</v>
      </c>
      <c r="AK385" s="36">
        <v>30</v>
      </c>
      <c r="AL385" s="36">
        <v>20</v>
      </c>
      <c r="AM385" s="36"/>
      <c r="AN385" s="36"/>
      <c r="AO385" s="36">
        <v>36</v>
      </c>
      <c r="AP385" s="36">
        <v>23</v>
      </c>
      <c r="AQ385" s="36">
        <v>20</v>
      </c>
      <c r="AR385" s="36">
        <v>25</v>
      </c>
      <c r="AS385" s="36">
        <v>23</v>
      </c>
      <c r="AT385" s="36">
        <v>25</v>
      </c>
      <c r="AU385" s="36">
        <v>24</v>
      </c>
      <c r="AV385" s="36">
        <v>26</v>
      </c>
      <c r="AW385" s="36">
        <v>30</v>
      </c>
      <c r="AX385" s="36">
        <v>26</v>
      </c>
      <c r="AY385" s="36"/>
      <c r="AZ385" s="36"/>
      <c r="BA385" s="36">
        <v>1</v>
      </c>
      <c r="BB385" s="36"/>
      <c r="BC385" s="36"/>
      <c r="BD385" s="36">
        <v>2</v>
      </c>
      <c r="BE385" s="36">
        <v>1</v>
      </c>
      <c r="BF385" s="36">
        <v>2</v>
      </c>
      <c r="BG385" s="36">
        <v>3</v>
      </c>
      <c r="BH385" s="36">
        <v>1</v>
      </c>
      <c r="BI385" s="36">
        <v>6</v>
      </c>
      <c r="BJ385" s="36">
        <v>1</v>
      </c>
      <c r="BK385" s="36"/>
      <c r="BL385" s="36"/>
      <c r="BM385" s="36"/>
      <c r="BN385" s="36">
        <v>1</v>
      </c>
      <c r="BO385" s="36"/>
      <c r="BP385" s="36"/>
      <c r="BQ385" s="36">
        <v>1</v>
      </c>
      <c r="BR385" s="36"/>
      <c r="BS385" s="36"/>
      <c r="BT385" s="36"/>
      <c r="BU385" s="36"/>
      <c r="BV385" s="36">
        <v>2</v>
      </c>
      <c r="BW385" s="36"/>
      <c r="BX385" s="36"/>
      <c r="BY385" s="36"/>
      <c r="BZ385" s="36"/>
      <c r="CA385" s="36">
        <v>1</v>
      </c>
      <c r="CB385" s="36"/>
      <c r="CC385" s="36"/>
      <c r="CD385" s="36"/>
      <c r="CE385" s="36"/>
      <c r="CF385" s="36"/>
      <c r="CG385" s="36"/>
      <c r="CH385" s="36"/>
      <c r="CI385" s="36"/>
      <c r="CK385" s="4" t="b">
        <f t="shared" si="5"/>
        <v>0</v>
      </c>
    </row>
    <row r="386" spans="1:89" ht="60" customHeight="1">
      <c r="A386" s="32" t="s">
        <v>101</v>
      </c>
      <c r="B386" s="32" t="s">
        <v>305</v>
      </c>
      <c r="C386" s="32" t="s">
        <v>539</v>
      </c>
      <c r="D386" s="34"/>
      <c r="E386" s="34"/>
      <c r="F386" s="34">
        <v>100</v>
      </c>
      <c r="G386" s="34">
        <v>100</v>
      </c>
      <c r="H386" s="34">
        <v>100</v>
      </c>
      <c r="I386" s="34">
        <v>100</v>
      </c>
      <c r="J386" s="34">
        <v>125</v>
      </c>
      <c r="K386" s="34">
        <v>75</v>
      </c>
      <c r="L386" s="34">
        <v>50</v>
      </c>
      <c r="M386" s="34">
        <v>125</v>
      </c>
      <c r="N386" s="34">
        <v>100</v>
      </c>
      <c r="O386" s="34">
        <v>100</v>
      </c>
      <c r="P386" s="34"/>
      <c r="Q386" s="34"/>
      <c r="R386" s="34">
        <v>100</v>
      </c>
      <c r="S386" s="34">
        <v>100</v>
      </c>
      <c r="T386" s="34">
        <v>100</v>
      </c>
      <c r="U386" s="34">
        <v>100</v>
      </c>
      <c r="V386" s="34">
        <v>100</v>
      </c>
      <c r="W386" s="34">
        <v>75</v>
      </c>
      <c r="X386" s="34">
        <v>25</v>
      </c>
      <c r="Y386" s="34">
        <v>100</v>
      </c>
      <c r="Z386" s="34">
        <v>100</v>
      </c>
      <c r="AA386" s="34">
        <v>75</v>
      </c>
      <c r="AB386" s="36"/>
      <c r="AC386" s="36">
        <v>249</v>
      </c>
      <c r="AD386" s="36">
        <v>18</v>
      </c>
      <c r="AE386" s="36">
        <v>43</v>
      </c>
      <c r="AF386" s="36">
        <v>50</v>
      </c>
      <c r="AG386" s="36">
        <v>51</v>
      </c>
      <c r="AH386" s="36">
        <v>51</v>
      </c>
      <c r="AI386" s="36">
        <v>27</v>
      </c>
      <c r="AJ386" s="36">
        <v>23</v>
      </c>
      <c r="AK386" s="36">
        <v>51</v>
      </c>
      <c r="AL386" s="36">
        <v>52</v>
      </c>
      <c r="AM386" s="36">
        <v>78</v>
      </c>
      <c r="AN386" s="36"/>
      <c r="AO386" s="36">
        <v>737</v>
      </c>
      <c r="AP386" s="36">
        <v>22</v>
      </c>
      <c r="AQ386" s="36">
        <v>42</v>
      </c>
      <c r="AR386" s="36">
        <v>50</v>
      </c>
      <c r="AS386" s="36">
        <v>50</v>
      </c>
      <c r="AT386" s="36">
        <v>50</v>
      </c>
      <c r="AU386" s="36">
        <v>26</v>
      </c>
      <c r="AV386" s="36">
        <v>22</v>
      </c>
      <c r="AW386" s="36">
        <v>50</v>
      </c>
      <c r="AX386" s="36">
        <v>54</v>
      </c>
      <c r="AY386" s="36">
        <v>76</v>
      </c>
      <c r="AZ386" s="36"/>
      <c r="BA386" s="36">
        <v>13</v>
      </c>
      <c r="BB386" s="36">
        <v>5</v>
      </c>
      <c r="BC386" s="36">
        <v>24</v>
      </c>
      <c r="BD386" s="36">
        <v>11</v>
      </c>
      <c r="BE386" s="36">
        <v>13</v>
      </c>
      <c r="BF386" s="36">
        <v>12</v>
      </c>
      <c r="BG386" s="36">
        <v>6</v>
      </c>
      <c r="BH386" s="36">
        <v>14</v>
      </c>
      <c r="BI386" s="36">
        <v>4</v>
      </c>
      <c r="BJ386" s="36">
        <v>12</v>
      </c>
      <c r="BK386" s="36">
        <v>34</v>
      </c>
      <c r="BL386" s="36"/>
      <c r="BM386" s="36"/>
      <c r="BN386" s="36"/>
      <c r="BO386" s="36">
        <v>4</v>
      </c>
      <c r="BP386" s="36">
        <v>1</v>
      </c>
      <c r="BQ386" s="36">
        <v>5</v>
      </c>
      <c r="BR386" s="36">
        <v>3</v>
      </c>
      <c r="BS386" s="36">
        <v>5</v>
      </c>
      <c r="BT386" s="36">
        <v>5</v>
      </c>
      <c r="BU386" s="36">
        <v>7</v>
      </c>
      <c r="BV386" s="36">
        <v>6</v>
      </c>
      <c r="BW386" s="36">
        <v>2</v>
      </c>
      <c r="BX386" s="36"/>
      <c r="BY386" s="36"/>
      <c r="BZ386" s="36">
        <v>16</v>
      </c>
      <c r="CA386" s="36"/>
      <c r="CB386" s="36"/>
      <c r="CC386" s="36"/>
      <c r="CD386" s="36">
        <v>1</v>
      </c>
      <c r="CE386" s="36"/>
      <c r="CF386" s="36"/>
      <c r="CG386" s="36">
        <v>1</v>
      </c>
      <c r="CH386" s="36"/>
      <c r="CI386" s="36"/>
      <c r="CK386" s="4" t="b">
        <f t="shared" si="5"/>
        <v>0</v>
      </c>
    </row>
    <row r="387" spans="1:89" ht="60" customHeight="1">
      <c r="A387" s="32" t="s">
        <v>144</v>
      </c>
      <c r="B387" s="32" t="s">
        <v>151</v>
      </c>
      <c r="C387" s="32" t="s">
        <v>540</v>
      </c>
      <c r="D387" s="34"/>
      <c r="E387" s="34">
        <v>100</v>
      </c>
      <c r="F387" s="34">
        <v>100</v>
      </c>
      <c r="G387" s="34">
        <v>100</v>
      </c>
      <c r="H387" s="34">
        <v>100</v>
      </c>
      <c r="I387" s="34">
        <v>100</v>
      </c>
      <c r="J387" s="34">
        <v>100</v>
      </c>
      <c r="K387" s="34">
        <v>75</v>
      </c>
      <c r="L387" s="34">
        <v>75</v>
      </c>
      <c r="M387" s="34">
        <v>100</v>
      </c>
      <c r="N387" s="34">
        <v>100</v>
      </c>
      <c r="O387" s="34">
        <v>100</v>
      </c>
      <c r="P387" s="34"/>
      <c r="Q387" s="34"/>
      <c r="R387" s="34"/>
      <c r="S387" s="34"/>
      <c r="T387" s="34"/>
      <c r="U387" s="34"/>
      <c r="V387" s="34"/>
      <c r="W387" s="34"/>
      <c r="X387" s="34"/>
      <c r="Y387" s="34"/>
      <c r="Z387" s="34"/>
      <c r="AA387" s="34"/>
      <c r="AB387" s="36"/>
      <c r="AC387" s="36">
        <v>6</v>
      </c>
      <c r="AD387" s="36">
        <v>5</v>
      </c>
      <c r="AE387" s="36">
        <v>5</v>
      </c>
      <c r="AF387" s="36">
        <v>6</v>
      </c>
      <c r="AG387" s="36">
        <v>5</v>
      </c>
      <c r="AH387" s="36">
        <v>4</v>
      </c>
      <c r="AI387" s="36">
        <v>5</v>
      </c>
      <c r="AJ387" s="36">
        <v>3</v>
      </c>
      <c r="AK387" s="36">
        <v>2</v>
      </c>
      <c r="AL387" s="36">
        <v>2</v>
      </c>
      <c r="AM387" s="36">
        <v>8</v>
      </c>
      <c r="AN387" s="36"/>
      <c r="AO387" s="36">
        <v>48</v>
      </c>
      <c r="AP387" s="36">
        <v>8</v>
      </c>
      <c r="AQ387" s="36">
        <v>6</v>
      </c>
      <c r="AR387" s="36">
        <v>7</v>
      </c>
      <c r="AS387" s="36">
        <v>6</v>
      </c>
      <c r="AT387" s="36">
        <v>4</v>
      </c>
      <c r="AU387" s="36">
        <v>3</v>
      </c>
      <c r="AV387" s="36">
        <v>3</v>
      </c>
      <c r="AW387" s="36">
        <v>4</v>
      </c>
      <c r="AX387" s="36">
        <v>3</v>
      </c>
      <c r="AY387" s="36">
        <v>5</v>
      </c>
      <c r="AZ387" s="36"/>
      <c r="BA387" s="36">
        <v>2</v>
      </c>
      <c r="BB387" s="36">
        <v>2</v>
      </c>
      <c r="BC387" s="36">
        <v>2</v>
      </c>
      <c r="BD387" s="36">
        <v>3</v>
      </c>
      <c r="BE387" s="36">
        <v>2</v>
      </c>
      <c r="BF387" s="36">
        <v>2</v>
      </c>
      <c r="BG387" s="36">
        <v>1</v>
      </c>
      <c r="BH387" s="36">
        <v>5</v>
      </c>
      <c r="BI387" s="36">
        <v>2</v>
      </c>
      <c r="BJ387" s="36">
        <v>4</v>
      </c>
      <c r="BK387" s="36">
        <v>6</v>
      </c>
      <c r="BL387" s="36"/>
      <c r="BM387" s="36">
        <v>3</v>
      </c>
      <c r="BN387" s="36"/>
      <c r="BO387" s="36">
        <v>1</v>
      </c>
      <c r="BP387" s="36"/>
      <c r="BQ387" s="36">
        <v>2</v>
      </c>
      <c r="BR387" s="36"/>
      <c r="BS387" s="36"/>
      <c r="BT387" s="36">
        <v>2</v>
      </c>
      <c r="BU387" s="36">
        <v>5</v>
      </c>
      <c r="BV387" s="36"/>
      <c r="BW387" s="36"/>
      <c r="BX387" s="36"/>
      <c r="BY387" s="36"/>
      <c r="BZ387" s="36"/>
      <c r="CA387" s="36"/>
      <c r="CB387" s="36"/>
      <c r="CC387" s="36"/>
      <c r="CD387" s="36"/>
      <c r="CE387" s="36"/>
      <c r="CF387" s="36"/>
      <c r="CG387" s="36"/>
      <c r="CH387" s="36"/>
      <c r="CI387" s="36"/>
      <c r="CK387" s="4" t="b">
        <f t="shared" si="5"/>
        <v>0</v>
      </c>
    </row>
    <row r="388" spans="1:89" ht="60" customHeight="1">
      <c r="A388" s="32" t="s">
        <v>101</v>
      </c>
      <c r="B388" s="32" t="s">
        <v>242</v>
      </c>
      <c r="C388" s="32" t="s">
        <v>541</v>
      </c>
      <c r="D388" s="34"/>
      <c r="E388" s="34">
        <v>100</v>
      </c>
      <c r="F388" s="34">
        <v>100</v>
      </c>
      <c r="G388" s="34">
        <v>300</v>
      </c>
      <c r="H388" s="34">
        <v>100</v>
      </c>
      <c r="I388" s="34">
        <v>100</v>
      </c>
      <c r="J388" s="34">
        <v>100</v>
      </c>
      <c r="K388" s="34">
        <v>100</v>
      </c>
      <c r="L388" s="34">
        <v>100</v>
      </c>
      <c r="M388" s="34">
        <v>100</v>
      </c>
      <c r="N388" s="34">
        <v>100</v>
      </c>
      <c r="O388" s="34">
        <v>100</v>
      </c>
      <c r="P388" s="34"/>
      <c r="Q388" s="34">
        <v>100</v>
      </c>
      <c r="R388" s="34">
        <v>166.67</v>
      </c>
      <c r="S388" s="34">
        <v>300</v>
      </c>
      <c r="T388" s="34">
        <v>100</v>
      </c>
      <c r="U388" s="34">
        <v>100</v>
      </c>
      <c r="V388" s="34">
        <v>100</v>
      </c>
      <c r="W388" s="34">
        <v>100</v>
      </c>
      <c r="X388" s="34">
        <v>100</v>
      </c>
      <c r="Y388" s="34">
        <v>100</v>
      </c>
      <c r="Z388" s="34">
        <v>100</v>
      </c>
      <c r="AA388" s="34"/>
      <c r="AB388" s="36"/>
      <c r="AC388" s="36">
        <v>21</v>
      </c>
      <c r="AD388" s="36">
        <v>18</v>
      </c>
      <c r="AE388" s="36">
        <v>17</v>
      </c>
      <c r="AF388" s="36">
        <v>19</v>
      </c>
      <c r="AG388" s="36">
        <v>17</v>
      </c>
      <c r="AH388" s="36">
        <v>16</v>
      </c>
      <c r="AI388" s="36">
        <v>18</v>
      </c>
      <c r="AJ388" s="36">
        <v>19</v>
      </c>
      <c r="AK388" s="36">
        <v>17</v>
      </c>
      <c r="AL388" s="36">
        <v>18</v>
      </c>
      <c r="AM388" s="36">
        <v>18</v>
      </c>
      <c r="AN388" s="36"/>
      <c r="AO388" s="36">
        <v>18</v>
      </c>
      <c r="AP388" s="36">
        <v>18</v>
      </c>
      <c r="AQ388" s="36">
        <v>17</v>
      </c>
      <c r="AR388" s="36">
        <v>19</v>
      </c>
      <c r="AS388" s="36">
        <v>17</v>
      </c>
      <c r="AT388" s="36">
        <v>16</v>
      </c>
      <c r="AU388" s="36">
        <v>18</v>
      </c>
      <c r="AV388" s="36">
        <v>19</v>
      </c>
      <c r="AW388" s="36">
        <v>17</v>
      </c>
      <c r="AX388" s="36">
        <v>18</v>
      </c>
      <c r="AY388" s="36">
        <v>18</v>
      </c>
      <c r="AZ388" s="36"/>
      <c r="BA388" s="36">
        <v>22</v>
      </c>
      <c r="BB388" s="36">
        <v>23</v>
      </c>
      <c r="BC388" s="36">
        <v>26</v>
      </c>
      <c r="BD388" s="36">
        <v>26</v>
      </c>
      <c r="BE388" s="36">
        <v>26</v>
      </c>
      <c r="BF388" s="36">
        <v>22</v>
      </c>
      <c r="BG388" s="36">
        <v>21</v>
      </c>
      <c r="BH388" s="36">
        <v>9</v>
      </c>
      <c r="BI388" s="36">
        <v>24</v>
      </c>
      <c r="BJ388" s="36">
        <v>28</v>
      </c>
      <c r="BK388" s="36">
        <v>27</v>
      </c>
      <c r="BL388" s="36"/>
      <c r="BM388" s="36">
        <v>5</v>
      </c>
      <c r="BN388" s="36">
        <v>23</v>
      </c>
      <c r="BO388" s="36">
        <v>6</v>
      </c>
      <c r="BP388" s="36">
        <v>6</v>
      </c>
      <c r="BQ388" s="36">
        <v>5</v>
      </c>
      <c r="BR388" s="36">
        <v>1</v>
      </c>
      <c r="BS388" s="36">
        <v>3</v>
      </c>
      <c r="BT388" s="36">
        <v>2</v>
      </c>
      <c r="BU388" s="36">
        <v>5</v>
      </c>
      <c r="BV388" s="36">
        <v>9</v>
      </c>
      <c r="BW388" s="36">
        <v>7</v>
      </c>
      <c r="BX388" s="36"/>
      <c r="BY388" s="36"/>
      <c r="BZ388" s="36">
        <v>5</v>
      </c>
      <c r="CA388" s="36"/>
      <c r="CB388" s="36"/>
      <c r="CC388" s="36"/>
      <c r="CD388" s="36"/>
      <c r="CE388" s="36"/>
      <c r="CF388" s="36">
        <v>1</v>
      </c>
      <c r="CG388" s="36"/>
      <c r="CH388" s="36"/>
      <c r="CI388" s="36"/>
      <c r="CK388" s="4" t="b">
        <f t="shared" ref="CK388:CK398" si="6">ISNUMBER(D388)</f>
        <v>0</v>
      </c>
    </row>
    <row r="389" spans="1:89" ht="60" customHeight="1">
      <c r="A389" s="32" t="s">
        <v>101</v>
      </c>
      <c r="B389" s="32" t="s">
        <v>162</v>
      </c>
      <c r="C389" s="32" t="s">
        <v>542</v>
      </c>
      <c r="D389" s="34"/>
      <c r="E389" s="34">
        <v>100</v>
      </c>
      <c r="F389" s="34">
        <v>100</v>
      </c>
      <c r="G389" s="34">
        <v>100</v>
      </c>
      <c r="H389" s="34">
        <v>100</v>
      </c>
      <c r="I389" s="34">
        <v>100</v>
      </c>
      <c r="J389" s="34">
        <v>100</v>
      </c>
      <c r="K389" s="34">
        <v>100</v>
      </c>
      <c r="L389" s="34">
        <v>100</v>
      </c>
      <c r="M389" s="34">
        <v>100</v>
      </c>
      <c r="N389" s="34">
        <v>100</v>
      </c>
      <c r="O389" s="34"/>
      <c r="P389" s="34"/>
      <c r="Q389" s="34">
        <v>33.33</v>
      </c>
      <c r="R389" s="34">
        <v>100</v>
      </c>
      <c r="S389" s="34">
        <v>100</v>
      </c>
      <c r="T389" s="34">
        <v>100</v>
      </c>
      <c r="U389" s="34">
        <v>100</v>
      </c>
      <c r="V389" s="34">
        <v>100</v>
      </c>
      <c r="W389" s="34">
        <v>100</v>
      </c>
      <c r="X389" s="34">
        <v>100</v>
      </c>
      <c r="Y389" s="34">
        <v>100</v>
      </c>
      <c r="Z389" s="34">
        <v>100</v>
      </c>
      <c r="AA389" s="34"/>
      <c r="AB389" s="36"/>
      <c r="AC389" s="36">
        <v>91</v>
      </c>
      <c r="AD389" s="36">
        <v>24</v>
      </c>
      <c r="AE389" s="36">
        <v>21</v>
      </c>
      <c r="AF389" s="36">
        <v>22</v>
      </c>
      <c r="AG389" s="36">
        <v>23</v>
      </c>
      <c r="AH389" s="36">
        <v>23</v>
      </c>
      <c r="AI389" s="36">
        <v>27</v>
      </c>
      <c r="AJ389" s="36">
        <v>26</v>
      </c>
      <c r="AK389" s="36">
        <v>27</v>
      </c>
      <c r="AL389" s="36">
        <v>27</v>
      </c>
      <c r="AM389" s="36"/>
      <c r="AN389" s="36"/>
      <c r="AO389" s="36">
        <v>116</v>
      </c>
      <c r="AP389" s="36">
        <v>22</v>
      </c>
      <c r="AQ389" s="36">
        <v>20</v>
      </c>
      <c r="AR389" s="36">
        <v>19</v>
      </c>
      <c r="AS389" s="36">
        <v>20</v>
      </c>
      <c r="AT389" s="36">
        <v>22</v>
      </c>
      <c r="AU389" s="36">
        <v>25</v>
      </c>
      <c r="AV389" s="36">
        <v>26</v>
      </c>
      <c r="AW389" s="36">
        <v>24</v>
      </c>
      <c r="AX389" s="36">
        <v>25</v>
      </c>
      <c r="AY389" s="36"/>
      <c r="AZ389" s="36"/>
      <c r="BA389" s="36">
        <v>8</v>
      </c>
      <c r="BB389" s="36">
        <v>4</v>
      </c>
      <c r="BC389" s="36">
        <v>2</v>
      </c>
      <c r="BD389" s="36">
        <v>7</v>
      </c>
      <c r="BE389" s="36">
        <v>10</v>
      </c>
      <c r="BF389" s="36">
        <v>7</v>
      </c>
      <c r="BG389" s="36">
        <v>8</v>
      </c>
      <c r="BH389" s="36">
        <v>9</v>
      </c>
      <c r="BI389" s="36">
        <v>10</v>
      </c>
      <c r="BJ389" s="36">
        <v>22</v>
      </c>
      <c r="BK389" s="36"/>
      <c r="BL389" s="36"/>
      <c r="BM389" s="36"/>
      <c r="BN389" s="36"/>
      <c r="BO389" s="36"/>
      <c r="BP389" s="36"/>
      <c r="BQ389" s="36"/>
      <c r="BR389" s="36"/>
      <c r="BS389" s="36"/>
      <c r="BT389" s="36"/>
      <c r="BU389" s="36"/>
      <c r="BV389" s="36"/>
      <c r="BW389" s="36"/>
      <c r="BX389" s="36"/>
      <c r="BY389" s="36"/>
      <c r="BZ389" s="36"/>
      <c r="CA389" s="36"/>
      <c r="CB389" s="36"/>
      <c r="CC389" s="36"/>
      <c r="CD389" s="36"/>
      <c r="CE389" s="36"/>
      <c r="CF389" s="36"/>
      <c r="CG389" s="36"/>
      <c r="CH389" s="36"/>
      <c r="CI389" s="36"/>
      <c r="CK389" s="4" t="b">
        <f t="shared" si="6"/>
        <v>0</v>
      </c>
    </row>
    <row r="390" spans="1:89" ht="75" customHeight="1">
      <c r="A390" s="32" t="s">
        <v>124</v>
      </c>
      <c r="B390" s="32" t="s">
        <v>179</v>
      </c>
      <c r="C390" s="32" t="s">
        <v>543</v>
      </c>
      <c r="D390" s="34"/>
      <c r="E390" s="34">
        <v>50</v>
      </c>
      <c r="F390" s="34">
        <v>100</v>
      </c>
      <c r="G390" s="34"/>
      <c r="H390" s="34">
        <v>100</v>
      </c>
      <c r="I390" s="34">
        <v>100</v>
      </c>
      <c r="J390" s="34"/>
      <c r="K390" s="34">
        <v>100</v>
      </c>
      <c r="L390" s="34">
        <v>100</v>
      </c>
      <c r="M390" s="34">
        <v>75</v>
      </c>
      <c r="N390" s="34">
        <v>100</v>
      </c>
      <c r="O390" s="34">
        <v>100</v>
      </c>
      <c r="P390" s="34"/>
      <c r="Q390" s="34"/>
      <c r="R390" s="34">
        <v>100</v>
      </c>
      <c r="S390" s="34"/>
      <c r="T390" s="34">
        <v>75</v>
      </c>
      <c r="U390" s="34">
        <v>100</v>
      </c>
      <c r="V390" s="34"/>
      <c r="W390" s="34">
        <v>100</v>
      </c>
      <c r="X390" s="34">
        <v>100</v>
      </c>
      <c r="Y390" s="34">
        <v>75</v>
      </c>
      <c r="Z390" s="34">
        <v>100</v>
      </c>
      <c r="AA390" s="34">
        <v>75</v>
      </c>
      <c r="AB390" s="36"/>
      <c r="AC390" s="36">
        <v>49</v>
      </c>
      <c r="AD390" s="36">
        <v>68</v>
      </c>
      <c r="AE390" s="36"/>
      <c r="AF390" s="36">
        <v>64</v>
      </c>
      <c r="AG390" s="36">
        <v>66</v>
      </c>
      <c r="AH390" s="36"/>
      <c r="AI390" s="36">
        <v>49</v>
      </c>
      <c r="AJ390" s="36">
        <v>53</v>
      </c>
      <c r="AK390" s="36">
        <v>43</v>
      </c>
      <c r="AL390" s="36">
        <v>49</v>
      </c>
      <c r="AM390" s="36">
        <v>67</v>
      </c>
      <c r="AN390" s="36"/>
      <c r="AO390" s="36">
        <v>51</v>
      </c>
      <c r="AP390" s="36">
        <v>64</v>
      </c>
      <c r="AQ390" s="36"/>
      <c r="AR390" s="36">
        <v>61</v>
      </c>
      <c r="AS390" s="36">
        <v>60</v>
      </c>
      <c r="AT390" s="36"/>
      <c r="AU390" s="36">
        <v>52</v>
      </c>
      <c r="AV390" s="36">
        <v>61</v>
      </c>
      <c r="AW390" s="36">
        <v>44</v>
      </c>
      <c r="AX390" s="36">
        <v>46</v>
      </c>
      <c r="AY390" s="36">
        <v>56</v>
      </c>
      <c r="AZ390" s="36"/>
      <c r="BA390" s="36">
        <v>20</v>
      </c>
      <c r="BB390" s="36">
        <v>17</v>
      </c>
      <c r="BC390" s="36"/>
      <c r="BD390" s="36">
        <v>29</v>
      </c>
      <c r="BE390" s="36">
        <v>32</v>
      </c>
      <c r="BF390" s="36"/>
      <c r="BG390" s="36">
        <v>29</v>
      </c>
      <c r="BH390" s="36">
        <v>22</v>
      </c>
      <c r="BI390" s="36">
        <v>13</v>
      </c>
      <c r="BJ390" s="36">
        <v>44</v>
      </c>
      <c r="BK390" s="36">
        <v>14</v>
      </c>
      <c r="BL390" s="36"/>
      <c r="BM390" s="36">
        <v>2</v>
      </c>
      <c r="BN390" s="36"/>
      <c r="BO390" s="36"/>
      <c r="BP390" s="36">
        <v>1</v>
      </c>
      <c r="BQ390" s="36">
        <v>4</v>
      </c>
      <c r="BR390" s="36"/>
      <c r="BS390" s="36">
        <v>2</v>
      </c>
      <c r="BT390" s="36">
        <v>12</v>
      </c>
      <c r="BU390" s="36">
        <v>9</v>
      </c>
      <c r="BV390" s="36">
        <v>14</v>
      </c>
      <c r="BW390" s="36">
        <v>7</v>
      </c>
      <c r="BX390" s="36"/>
      <c r="BY390" s="36"/>
      <c r="BZ390" s="36"/>
      <c r="CA390" s="36"/>
      <c r="CB390" s="36"/>
      <c r="CC390" s="36"/>
      <c r="CD390" s="36"/>
      <c r="CE390" s="36"/>
      <c r="CF390" s="36"/>
      <c r="CG390" s="36"/>
      <c r="CH390" s="36"/>
      <c r="CI390" s="36"/>
      <c r="CK390" s="4" t="b">
        <f t="shared" si="6"/>
        <v>0</v>
      </c>
    </row>
    <row r="391" spans="1:89" ht="75" customHeight="1">
      <c r="A391" s="32" t="s">
        <v>109</v>
      </c>
      <c r="B391" s="32" t="s">
        <v>205</v>
      </c>
      <c r="C391" s="32" t="s">
        <v>544</v>
      </c>
      <c r="D391" s="34"/>
      <c r="E391" s="34">
        <v>100</v>
      </c>
      <c r="F391" s="34">
        <v>100</v>
      </c>
      <c r="G391" s="34">
        <v>100</v>
      </c>
      <c r="H391" s="34">
        <v>100</v>
      </c>
      <c r="I391" s="34">
        <v>100</v>
      </c>
      <c r="J391" s="34">
        <v>100</v>
      </c>
      <c r="K391" s="34">
        <v>100</v>
      </c>
      <c r="L391" s="34">
        <v>100</v>
      </c>
      <c r="M391" s="34">
        <v>100</v>
      </c>
      <c r="N391" s="34">
        <v>100</v>
      </c>
      <c r="O391" s="34"/>
      <c r="P391" s="34"/>
      <c r="Q391" s="34">
        <v>100</v>
      </c>
      <c r="R391" s="34">
        <v>100</v>
      </c>
      <c r="S391" s="34">
        <v>100</v>
      </c>
      <c r="T391" s="34">
        <v>100</v>
      </c>
      <c r="U391" s="34">
        <v>100</v>
      </c>
      <c r="V391" s="34">
        <v>100</v>
      </c>
      <c r="W391" s="34">
        <v>100</v>
      </c>
      <c r="X391" s="34">
        <v>100</v>
      </c>
      <c r="Y391" s="34">
        <v>100</v>
      </c>
      <c r="Z391" s="34">
        <v>100</v>
      </c>
      <c r="AA391" s="34"/>
      <c r="AB391" s="36"/>
      <c r="AC391" s="36">
        <v>24</v>
      </c>
      <c r="AD391" s="36">
        <v>29</v>
      </c>
      <c r="AE391" s="36">
        <v>31</v>
      </c>
      <c r="AF391" s="36">
        <v>30</v>
      </c>
      <c r="AG391" s="36">
        <v>31</v>
      </c>
      <c r="AH391" s="36">
        <v>29</v>
      </c>
      <c r="AI391" s="36"/>
      <c r="AJ391" s="36">
        <v>24</v>
      </c>
      <c r="AK391" s="36">
        <v>25</v>
      </c>
      <c r="AL391" s="36">
        <v>26</v>
      </c>
      <c r="AM391" s="36"/>
      <c r="AN391" s="36"/>
      <c r="AO391" s="36">
        <v>29</v>
      </c>
      <c r="AP391" s="36">
        <v>30</v>
      </c>
      <c r="AQ391" s="36">
        <v>31</v>
      </c>
      <c r="AR391" s="36">
        <v>31</v>
      </c>
      <c r="AS391" s="36">
        <v>32</v>
      </c>
      <c r="AT391" s="36">
        <v>30</v>
      </c>
      <c r="AU391" s="36">
        <v>24</v>
      </c>
      <c r="AV391" s="36">
        <v>25</v>
      </c>
      <c r="AW391" s="36">
        <v>24</v>
      </c>
      <c r="AX391" s="36">
        <v>21</v>
      </c>
      <c r="AY391" s="36"/>
      <c r="AZ391" s="36"/>
      <c r="BA391" s="36">
        <v>4</v>
      </c>
      <c r="BB391" s="36">
        <v>6</v>
      </c>
      <c r="BC391" s="36">
        <v>7</v>
      </c>
      <c r="BD391" s="36">
        <v>8</v>
      </c>
      <c r="BE391" s="36">
        <v>6</v>
      </c>
      <c r="BF391" s="36">
        <v>3</v>
      </c>
      <c r="BG391" s="36">
        <v>5</v>
      </c>
      <c r="BH391" s="36">
        <v>2</v>
      </c>
      <c r="BI391" s="36">
        <v>5</v>
      </c>
      <c r="BJ391" s="36">
        <v>2</v>
      </c>
      <c r="BK391" s="36"/>
      <c r="BL391" s="36"/>
      <c r="BM391" s="36">
        <v>2</v>
      </c>
      <c r="BN391" s="36">
        <v>4</v>
      </c>
      <c r="BO391" s="36">
        <v>9</v>
      </c>
      <c r="BP391" s="36">
        <v>6</v>
      </c>
      <c r="BQ391" s="36">
        <v>4</v>
      </c>
      <c r="BR391" s="36">
        <v>1</v>
      </c>
      <c r="BS391" s="36">
        <v>3</v>
      </c>
      <c r="BT391" s="36"/>
      <c r="BU391" s="36">
        <v>5</v>
      </c>
      <c r="BV391" s="36">
        <v>3</v>
      </c>
      <c r="BW391" s="36"/>
      <c r="BX391" s="36"/>
      <c r="BY391" s="36"/>
      <c r="BZ391" s="36"/>
      <c r="CA391" s="36"/>
      <c r="CB391" s="36"/>
      <c r="CC391" s="36"/>
      <c r="CD391" s="36">
        <v>7</v>
      </c>
      <c r="CE391" s="36"/>
      <c r="CF391" s="36"/>
      <c r="CG391" s="36"/>
      <c r="CH391" s="36"/>
      <c r="CI391" s="36"/>
      <c r="CK391" s="4" t="b">
        <f t="shared" si="6"/>
        <v>0</v>
      </c>
    </row>
    <row r="392" spans="1:89" ht="75" customHeight="1">
      <c r="A392" s="32" t="s">
        <v>87</v>
      </c>
      <c r="B392" s="32" t="s">
        <v>232</v>
      </c>
      <c r="C392" s="32" t="s">
        <v>545</v>
      </c>
      <c r="D392" s="34"/>
      <c r="E392" s="34"/>
      <c r="F392" s="34"/>
      <c r="G392" s="34"/>
      <c r="H392" s="34"/>
      <c r="I392" s="34"/>
      <c r="J392" s="34"/>
      <c r="K392" s="34"/>
      <c r="L392" s="34"/>
      <c r="M392" s="34"/>
      <c r="N392" s="34"/>
      <c r="O392" s="34"/>
      <c r="P392" s="34"/>
      <c r="Q392" s="34"/>
      <c r="R392" s="34"/>
      <c r="S392" s="34"/>
      <c r="T392" s="34"/>
      <c r="U392" s="34"/>
      <c r="V392" s="34"/>
      <c r="W392" s="34"/>
      <c r="X392" s="34"/>
      <c r="Y392" s="34"/>
      <c r="Z392" s="34"/>
      <c r="AA392" s="34"/>
      <c r="AB392" s="36"/>
      <c r="AC392" s="36"/>
      <c r="AD392" s="36"/>
      <c r="AE392" s="36">
        <v>36</v>
      </c>
      <c r="AF392" s="36">
        <v>30</v>
      </c>
      <c r="AG392" s="36"/>
      <c r="AH392" s="36">
        <v>66</v>
      </c>
      <c r="AI392" s="36">
        <v>36</v>
      </c>
      <c r="AJ392" s="36">
        <v>34</v>
      </c>
      <c r="AK392" s="36">
        <v>32</v>
      </c>
      <c r="AL392" s="36">
        <v>32</v>
      </c>
      <c r="AM392" s="36"/>
      <c r="AN392" s="36"/>
      <c r="AO392" s="36"/>
      <c r="AP392" s="36"/>
      <c r="AQ392" s="36">
        <v>26</v>
      </c>
      <c r="AR392" s="36">
        <v>35</v>
      </c>
      <c r="AS392" s="36"/>
      <c r="AT392" s="36">
        <v>72</v>
      </c>
      <c r="AU392" s="36">
        <v>34</v>
      </c>
      <c r="AV392" s="36">
        <v>38</v>
      </c>
      <c r="AW392" s="36">
        <v>35</v>
      </c>
      <c r="AX392" s="36">
        <v>29</v>
      </c>
      <c r="AY392" s="36"/>
      <c r="AZ392" s="36">
        <v>5</v>
      </c>
      <c r="BA392" s="36">
        <v>6</v>
      </c>
      <c r="BB392" s="36">
        <v>6</v>
      </c>
      <c r="BC392" s="36">
        <v>6</v>
      </c>
      <c r="BD392" s="36">
        <v>6</v>
      </c>
      <c r="BE392" s="36">
        <v>5</v>
      </c>
      <c r="BF392" s="36">
        <v>9</v>
      </c>
      <c r="BG392" s="36">
        <v>4</v>
      </c>
      <c r="BH392" s="36">
        <v>2</v>
      </c>
      <c r="BI392" s="36">
        <v>4</v>
      </c>
      <c r="BJ392" s="36">
        <v>6</v>
      </c>
      <c r="BK392" s="36"/>
      <c r="BL392" s="36">
        <v>1</v>
      </c>
      <c r="BM392" s="36">
        <v>4</v>
      </c>
      <c r="BN392" s="36">
        <v>4</v>
      </c>
      <c r="BO392" s="36">
        <v>2</v>
      </c>
      <c r="BP392" s="36">
        <v>7</v>
      </c>
      <c r="BQ392" s="36">
        <v>4</v>
      </c>
      <c r="BR392" s="36"/>
      <c r="BS392" s="36">
        <v>3</v>
      </c>
      <c r="BT392" s="36">
        <v>4</v>
      </c>
      <c r="BU392" s="36">
        <v>3</v>
      </c>
      <c r="BV392" s="36">
        <v>7</v>
      </c>
      <c r="BW392" s="36"/>
      <c r="BX392" s="36">
        <v>1</v>
      </c>
      <c r="BY392" s="36">
        <v>4</v>
      </c>
      <c r="BZ392" s="36">
        <v>5</v>
      </c>
      <c r="CA392" s="36">
        <v>2</v>
      </c>
      <c r="CB392" s="36">
        <v>5</v>
      </c>
      <c r="CC392" s="36">
        <v>2</v>
      </c>
      <c r="CD392" s="36"/>
      <c r="CE392" s="36">
        <v>4</v>
      </c>
      <c r="CF392" s="36">
        <v>3</v>
      </c>
      <c r="CG392" s="36">
        <v>3</v>
      </c>
      <c r="CH392" s="36">
        <v>5</v>
      </c>
      <c r="CI392" s="36"/>
      <c r="CK392" s="4" t="b">
        <f t="shared" si="6"/>
        <v>0</v>
      </c>
    </row>
    <row r="393" spans="1:89" ht="60" customHeight="1">
      <c r="A393" s="32" t="s">
        <v>87</v>
      </c>
      <c r="B393" s="32" t="s">
        <v>120</v>
      </c>
      <c r="C393" s="32" t="s">
        <v>546</v>
      </c>
      <c r="D393" s="34"/>
      <c r="E393" s="34">
        <v>62.5</v>
      </c>
      <c r="F393" s="34">
        <v>100</v>
      </c>
      <c r="G393" s="34">
        <v>100</v>
      </c>
      <c r="H393" s="34">
        <v>100</v>
      </c>
      <c r="I393" s="34">
        <v>100</v>
      </c>
      <c r="J393" s="34">
        <v>88.89</v>
      </c>
      <c r="K393" s="34">
        <v>100</v>
      </c>
      <c r="L393" s="34">
        <v>100</v>
      </c>
      <c r="M393" s="34">
        <v>100</v>
      </c>
      <c r="N393" s="34">
        <v>100</v>
      </c>
      <c r="O393" s="34">
        <v>87.5</v>
      </c>
      <c r="P393" s="34"/>
      <c r="Q393" s="34"/>
      <c r="R393" s="34"/>
      <c r="S393" s="34"/>
      <c r="T393" s="34"/>
      <c r="U393" s="34"/>
      <c r="V393" s="34"/>
      <c r="W393" s="34"/>
      <c r="X393" s="34"/>
      <c r="Y393" s="34"/>
      <c r="Z393" s="34"/>
      <c r="AA393" s="34"/>
      <c r="AB393" s="36"/>
      <c r="AC393" s="36">
        <v>51</v>
      </c>
      <c r="AD393" s="36">
        <v>45</v>
      </c>
      <c r="AE393" s="36">
        <v>31</v>
      </c>
      <c r="AF393" s="36">
        <v>59</v>
      </c>
      <c r="AG393" s="36">
        <v>40</v>
      </c>
      <c r="AH393" s="36">
        <v>32</v>
      </c>
      <c r="AI393" s="36">
        <v>46</v>
      </c>
      <c r="AJ393" s="36">
        <v>25</v>
      </c>
      <c r="AK393" s="36">
        <v>34</v>
      </c>
      <c r="AL393" s="36">
        <v>45</v>
      </c>
      <c r="AM393" s="36">
        <v>28</v>
      </c>
      <c r="AN393" s="36"/>
      <c r="AO393" s="36">
        <v>32</v>
      </c>
      <c r="AP393" s="36">
        <v>39</v>
      </c>
      <c r="AQ393" s="36">
        <v>50</v>
      </c>
      <c r="AR393" s="36">
        <v>62</v>
      </c>
      <c r="AS393" s="36">
        <v>37</v>
      </c>
      <c r="AT393" s="36">
        <v>25</v>
      </c>
      <c r="AU393" s="36">
        <v>45</v>
      </c>
      <c r="AV393" s="36">
        <v>55</v>
      </c>
      <c r="AW393" s="36">
        <v>41</v>
      </c>
      <c r="AX393" s="36">
        <v>37</v>
      </c>
      <c r="AY393" s="36">
        <v>23</v>
      </c>
      <c r="AZ393" s="36"/>
      <c r="BA393" s="36">
        <v>5</v>
      </c>
      <c r="BB393" s="36">
        <v>4</v>
      </c>
      <c r="BC393" s="36">
        <v>11</v>
      </c>
      <c r="BD393" s="36">
        <v>3</v>
      </c>
      <c r="BE393" s="36">
        <v>13</v>
      </c>
      <c r="BF393" s="36">
        <v>11</v>
      </c>
      <c r="BG393" s="36">
        <v>7</v>
      </c>
      <c r="BH393" s="36">
        <v>20</v>
      </c>
      <c r="BI393" s="36">
        <v>18</v>
      </c>
      <c r="BJ393" s="36">
        <v>9</v>
      </c>
      <c r="BK393" s="36">
        <v>12</v>
      </c>
      <c r="BL393" s="36"/>
      <c r="BM393" s="36">
        <v>2</v>
      </c>
      <c r="BN393" s="36">
        <v>4</v>
      </c>
      <c r="BO393" s="36">
        <v>8</v>
      </c>
      <c r="BP393" s="36">
        <v>3</v>
      </c>
      <c r="BQ393" s="36">
        <v>5</v>
      </c>
      <c r="BR393" s="36"/>
      <c r="BS393" s="36">
        <v>14</v>
      </c>
      <c r="BT393" s="36">
        <v>13</v>
      </c>
      <c r="BU393" s="36">
        <v>10</v>
      </c>
      <c r="BV393" s="36">
        <v>13</v>
      </c>
      <c r="BW393" s="36">
        <v>6</v>
      </c>
      <c r="BX393" s="36"/>
      <c r="BY393" s="36"/>
      <c r="BZ393" s="36"/>
      <c r="CA393" s="36">
        <v>2</v>
      </c>
      <c r="CB393" s="36"/>
      <c r="CC393" s="36"/>
      <c r="CD393" s="36"/>
      <c r="CE393" s="36">
        <v>1</v>
      </c>
      <c r="CF393" s="36">
        <v>1</v>
      </c>
      <c r="CG393" s="36">
        <v>4</v>
      </c>
      <c r="CH393" s="36">
        <v>8</v>
      </c>
      <c r="CI393" s="36"/>
      <c r="CK393" s="4" t="b">
        <f t="shared" si="6"/>
        <v>0</v>
      </c>
    </row>
    <row r="394" spans="1:89" ht="90" customHeight="1">
      <c r="A394" s="32" t="s">
        <v>144</v>
      </c>
      <c r="B394" s="32" t="s">
        <v>145</v>
      </c>
      <c r="C394" s="32" t="s">
        <v>547</v>
      </c>
      <c r="D394" s="34"/>
      <c r="E394" s="34">
        <v>25</v>
      </c>
      <c r="F394" s="34">
        <v>100</v>
      </c>
      <c r="G394" s="34">
        <v>100</v>
      </c>
      <c r="H394" s="34">
        <v>100</v>
      </c>
      <c r="I394" s="34">
        <v>100</v>
      </c>
      <c r="J394" s="34">
        <v>100</v>
      </c>
      <c r="K394" s="34">
        <v>100</v>
      </c>
      <c r="L394" s="34">
        <v>75</v>
      </c>
      <c r="M394" s="34">
        <v>100</v>
      </c>
      <c r="N394" s="34">
        <v>100</v>
      </c>
      <c r="O394" s="34">
        <v>100</v>
      </c>
      <c r="P394" s="34"/>
      <c r="Q394" s="34">
        <v>100</v>
      </c>
      <c r="R394" s="34"/>
      <c r="S394" s="34">
        <v>20</v>
      </c>
      <c r="T394" s="34"/>
      <c r="U394" s="34"/>
      <c r="V394" s="34"/>
      <c r="W394" s="34"/>
      <c r="X394" s="34"/>
      <c r="Y394" s="34"/>
      <c r="Z394" s="34"/>
      <c r="AA394" s="34"/>
      <c r="AB394" s="36"/>
      <c r="AC394" s="36">
        <v>24</v>
      </c>
      <c r="AD394" s="36">
        <v>6</v>
      </c>
      <c r="AE394" s="36">
        <v>11</v>
      </c>
      <c r="AF394" s="36">
        <v>6</v>
      </c>
      <c r="AG394" s="36">
        <v>12</v>
      </c>
      <c r="AH394" s="36">
        <v>4</v>
      </c>
      <c r="AI394" s="36">
        <v>4</v>
      </c>
      <c r="AJ394" s="36">
        <v>8</v>
      </c>
      <c r="AK394" s="36">
        <v>4</v>
      </c>
      <c r="AL394" s="36">
        <v>2</v>
      </c>
      <c r="AM394" s="36">
        <v>5</v>
      </c>
      <c r="AN394" s="36"/>
      <c r="AO394" s="36">
        <v>48</v>
      </c>
      <c r="AP394" s="36">
        <v>5</v>
      </c>
      <c r="AQ394" s="36">
        <v>8</v>
      </c>
      <c r="AR394" s="36">
        <v>5</v>
      </c>
      <c r="AS394" s="36">
        <v>7</v>
      </c>
      <c r="AT394" s="36">
        <v>5</v>
      </c>
      <c r="AU394" s="36">
        <v>10</v>
      </c>
      <c r="AV394" s="36">
        <v>6</v>
      </c>
      <c r="AW394" s="36">
        <v>9</v>
      </c>
      <c r="AX394" s="36">
        <v>5</v>
      </c>
      <c r="AY394" s="36">
        <v>8</v>
      </c>
      <c r="AZ394" s="36"/>
      <c r="BA394" s="36">
        <v>4</v>
      </c>
      <c r="BB394" s="36">
        <v>8</v>
      </c>
      <c r="BC394" s="36">
        <v>6</v>
      </c>
      <c r="BD394" s="36">
        <v>3</v>
      </c>
      <c r="BE394" s="36">
        <v>5</v>
      </c>
      <c r="BF394" s="36">
        <v>8</v>
      </c>
      <c r="BG394" s="36">
        <v>15</v>
      </c>
      <c r="BH394" s="36">
        <v>34</v>
      </c>
      <c r="BI394" s="36">
        <v>6</v>
      </c>
      <c r="BJ394" s="36">
        <v>6</v>
      </c>
      <c r="BK394" s="36">
        <v>4</v>
      </c>
      <c r="BL394" s="36"/>
      <c r="BM394" s="36"/>
      <c r="BN394" s="36">
        <v>2</v>
      </c>
      <c r="BO394" s="36"/>
      <c r="BP394" s="36"/>
      <c r="BQ394" s="36">
        <v>2</v>
      </c>
      <c r="BR394" s="36">
        <v>5</v>
      </c>
      <c r="BS394" s="36">
        <v>4</v>
      </c>
      <c r="BT394" s="36">
        <v>3</v>
      </c>
      <c r="BU394" s="36">
        <v>8</v>
      </c>
      <c r="BV394" s="36">
        <v>6</v>
      </c>
      <c r="BW394" s="36">
        <v>5</v>
      </c>
      <c r="BX394" s="36"/>
      <c r="BY394" s="36"/>
      <c r="BZ394" s="36"/>
      <c r="CA394" s="36"/>
      <c r="CB394" s="36"/>
      <c r="CC394" s="36"/>
      <c r="CD394" s="36"/>
      <c r="CE394" s="36"/>
      <c r="CF394" s="36"/>
      <c r="CG394" s="36"/>
      <c r="CH394" s="36">
        <v>7</v>
      </c>
      <c r="CI394" s="36"/>
      <c r="CK394" s="4" t="b">
        <f t="shared" si="6"/>
        <v>0</v>
      </c>
    </row>
    <row r="395" spans="1:89" ht="60" customHeight="1">
      <c r="A395" s="32" t="s">
        <v>144</v>
      </c>
      <c r="B395" s="32" t="s">
        <v>169</v>
      </c>
      <c r="C395" s="32" t="s">
        <v>548</v>
      </c>
      <c r="D395" s="34"/>
      <c r="E395" s="34">
        <v>100</v>
      </c>
      <c r="F395" s="34">
        <v>50</v>
      </c>
      <c r="G395" s="34"/>
      <c r="H395" s="34">
        <v>100</v>
      </c>
      <c r="I395" s="34">
        <v>100</v>
      </c>
      <c r="J395" s="34">
        <v>100</v>
      </c>
      <c r="K395" s="34">
        <v>100</v>
      </c>
      <c r="L395" s="34">
        <v>100</v>
      </c>
      <c r="M395" s="34">
        <v>100</v>
      </c>
      <c r="N395" s="34">
        <v>100</v>
      </c>
      <c r="O395" s="34">
        <v>150</v>
      </c>
      <c r="P395" s="34"/>
      <c r="Q395" s="34">
        <v>100</v>
      </c>
      <c r="R395" s="34">
        <v>50</v>
      </c>
      <c r="S395" s="34"/>
      <c r="T395" s="34">
        <v>100</v>
      </c>
      <c r="U395" s="34">
        <v>100</v>
      </c>
      <c r="V395" s="34">
        <v>100</v>
      </c>
      <c r="W395" s="34">
        <v>100</v>
      </c>
      <c r="X395" s="34">
        <v>100</v>
      </c>
      <c r="Y395" s="34">
        <v>100</v>
      </c>
      <c r="Z395" s="34">
        <v>100</v>
      </c>
      <c r="AA395" s="34">
        <v>150</v>
      </c>
      <c r="AB395" s="36"/>
      <c r="AC395" s="36">
        <v>2</v>
      </c>
      <c r="AD395" s="36">
        <v>10</v>
      </c>
      <c r="AE395" s="36"/>
      <c r="AF395" s="36">
        <v>13</v>
      </c>
      <c r="AG395" s="36">
        <v>10</v>
      </c>
      <c r="AH395" s="36">
        <v>11</v>
      </c>
      <c r="AI395" s="36">
        <v>4</v>
      </c>
      <c r="AJ395" s="36">
        <v>12</v>
      </c>
      <c r="AK395" s="36">
        <v>8</v>
      </c>
      <c r="AL395" s="36">
        <v>13</v>
      </c>
      <c r="AM395" s="36">
        <v>12</v>
      </c>
      <c r="AN395" s="36"/>
      <c r="AO395" s="36">
        <v>3</v>
      </c>
      <c r="AP395" s="36">
        <v>7</v>
      </c>
      <c r="AQ395" s="36">
        <v>2</v>
      </c>
      <c r="AR395" s="36">
        <v>10</v>
      </c>
      <c r="AS395" s="36">
        <v>8</v>
      </c>
      <c r="AT395" s="36">
        <v>15</v>
      </c>
      <c r="AU395" s="36">
        <v>4</v>
      </c>
      <c r="AV395" s="36">
        <v>10</v>
      </c>
      <c r="AW395" s="36">
        <v>8</v>
      </c>
      <c r="AX395" s="36">
        <v>9</v>
      </c>
      <c r="AY395" s="36">
        <v>13</v>
      </c>
      <c r="AZ395" s="36"/>
      <c r="BA395" s="36">
        <v>3</v>
      </c>
      <c r="BB395" s="36">
        <v>1</v>
      </c>
      <c r="BC395" s="36"/>
      <c r="BD395" s="36"/>
      <c r="BE395" s="36">
        <v>3</v>
      </c>
      <c r="BF395" s="36">
        <v>1</v>
      </c>
      <c r="BG395" s="36"/>
      <c r="BH395" s="36">
        <v>3</v>
      </c>
      <c r="BI395" s="36">
        <v>3</v>
      </c>
      <c r="BJ395" s="36">
        <v>1</v>
      </c>
      <c r="BK395" s="36">
        <v>2</v>
      </c>
      <c r="BL395" s="36"/>
      <c r="BM395" s="36">
        <v>3</v>
      </c>
      <c r="BN395" s="36"/>
      <c r="BO395" s="36"/>
      <c r="BP395" s="36">
        <v>2</v>
      </c>
      <c r="BQ395" s="36">
        <v>3</v>
      </c>
      <c r="BR395" s="36">
        <v>2</v>
      </c>
      <c r="BS395" s="36">
        <v>2</v>
      </c>
      <c r="BT395" s="36">
        <v>3</v>
      </c>
      <c r="BU395" s="36">
        <v>3</v>
      </c>
      <c r="BV395" s="36">
        <v>1</v>
      </c>
      <c r="BW395" s="36">
        <v>2</v>
      </c>
      <c r="BX395" s="36"/>
      <c r="BY395" s="36"/>
      <c r="BZ395" s="36"/>
      <c r="CA395" s="36"/>
      <c r="CB395" s="36">
        <v>4</v>
      </c>
      <c r="CC395" s="36"/>
      <c r="CD395" s="36">
        <v>2</v>
      </c>
      <c r="CE395" s="36"/>
      <c r="CF395" s="36"/>
      <c r="CG395" s="36"/>
      <c r="CH395" s="36"/>
      <c r="CI395" s="36"/>
      <c r="CK395" s="4" t="b">
        <f t="shared" si="6"/>
        <v>0</v>
      </c>
    </row>
    <row r="396" spans="1:89" ht="60" customHeight="1">
      <c r="A396" s="32" t="s">
        <v>109</v>
      </c>
      <c r="B396" s="32" t="s">
        <v>372</v>
      </c>
      <c r="C396" s="32" t="s">
        <v>549</v>
      </c>
      <c r="D396" s="34"/>
      <c r="E396" s="34">
        <v>100</v>
      </c>
      <c r="F396" s="34">
        <v>100</v>
      </c>
      <c r="G396" s="34">
        <v>100</v>
      </c>
      <c r="H396" s="34">
        <v>100</v>
      </c>
      <c r="I396" s="34">
        <v>100</v>
      </c>
      <c r="J396" s="34"/>
      <c r="K396" s="34">
        <v>100</v>
      </c>
      <c r="L396" s="34">
        <v>100</v>
      </c>
      <c r="M396" s="34">
        <v>100</v>
      </c>
      <c r="N396" s="34">
        <v>100</v>
      </c>
      <c r="O396" s="34">
        <v>100</v>
      </c>
      <c r="P396" s="34"/>
      <c r="Q396" s="34">
        <v>100</v>
      </c>
      <c r="R396" s="34">
        <v>100</v>
      </c>
      <c r="S396" s="34"/>
      <c r="T396" s="34"/>
      <c r="U396" s="34"/>
      <c r="V396" s="34"/>
      <c r="W396" s="34"/>
      <c r="X396" s="34"/>
      <c r="Y396" s="34"/>
      <c r="Z396" s="34">
        <v>100</v>
      </c>
      <c r="AA396" s="34">
        <v>100</v>
      </c>
      <c r="AB396" s="36"/>
      <c r="AC396" s="36">
        <v>93</v>
      </c>
      <c r="AD396" s="36">
        <v>81</v>
      </c>
      <c r="AE396" s="36">
        <v>20</v>
      </c>
      <c r="AF396" s="36">
        <v>20</v>
      </c>
      <c r="AG396" s="36">
        <v>19</v>
      </c>
      <c r="AH396" s="36"/>
      <c r="AI396" s="36">
        <v>17</v>
      </c>
      <c r="AJ396" s="36">
        <v>19</v>
      </c>
      <c r="AK396" s="36">
        <v>19</v>
      </c>
      <c r="AL396" s="36">
        <v>17</v>
      </c>
      <c r="AM396" s="36">
        <v>17</v>
      </c>
      <c r="AN396" s="36"/>
      <c r="AO396" s="36">
        <v>94</v>
      </c>
      <c r="AP396" s="36">
        <v>106</v>
      </c>
      <c r="AQ396" s="36">
        <v>23</v>
      </c>
      <c r="AR396" s="36">
        <v>24</v>
      </c>
      <c r="AS396" s="36">
        <v>26</v>
      </c>
      <c r="AT396" s="36"/>
      <c r="AU396" s="36">
        <v>23</v>
      </c>
      <c r="AV396" s="36">
        <v>19</v>
      </c>
      <c r="AW396" s="36">
        <v>23</v>
      </c>
      <c r="AX396" s="36">
        <v>21</v>
      </c>
      <c r="AY396" s="36">
        <v>21</v>
      </c>
      <c r="AZ396" s="36"/>
      <c r="BA396" s="36">
        <v>13</v>
      </c>
      <c r="BB396" s="36"/>
      <c r="BC396" s="36"/>
      <c r="BD396" s="36">
        <v>7</v>
      </c>
      <c r="BE396" s="36">
        <v>5</v>
      </c>
      <c r="BF396" s="36">
        <v>4</v>
      </c>
      <c r="BG396" s="36">
        <v>8</v>
      </c>
      <c r="BH396" s="36">
        <v>1</v>
      </c>
      <c r="BI396" s="36">
        <v>16</v>
      </c>
      <c r="BJ396" s="36">
        <v>19</v>
      </c>
      <c r="BK396" s="36">
        <v>1</v>
      </c>
      <c r="BL396" s="36"/>
      <c r="BM396" s="36"/>
      <c r="BN396" s="36"/>
      <c r="BO396" s="36"/>
      <c r="BP396" s="36">
        <v>2</v>
      </c>
      <c r="BQ396" s="36"/>
      <c r="BR396" s="36"/>
      <c r="BS396" s="36"/>
      <c r="BT396" s="36"/>
      <c r="BU396" s="36">
        <v>2</v>
      </c>
      <c r="BV396" s="36">
        <v>2</v>
      </c>
      <c r="BW396" s="36">
        <v>2</v>
      </c>
      <c r="BX396" s="36"/>
      <c r="BY396" s="36"/>
      <c r="BZ396" s="36"/>
      <c r="CA396" s="36">
        <v>3</v>
      </c>
      <c r="CB396" s="36"/>
      <c r="CC396" s="36"/>
      <c r="CD396" s="36"/>
      <c r="CE396" s="36"/>
      <c r="CF396" s="36"/>
      <c r="CG396" s="36"/>
      <c r="CH396" s="36"/>
      <c r="CI396" s="36"/>
      <c r="CK396" s="4" t="b">
        <f t="shared" si="6"/>
        <v>0</v>
      </c>
    </row>
    <row r="397" spans="1:89" ht="75" customHeight="1">
      <c r="A397" s="32" t="s">
        <v>124</v>
      </c>
      <c r="B397" s="32" t="s">
        <v>174</v>
      </c>
      <c r="C397" s="32" t="s">
        <v>550</v>
      </c>
      <c r="D397" s="34"/>
      <c r="E397" s="34"/>
      <c r="F397" s="34"/>
      <c r="G397" s="34"/>
      <c r="H397" s="34"/>
      <c r="I397" s="34">
        <v>50</v>
      </c>
      <c r="J397" s="34"/>
      <c r="K397" s="34">
        <v>75</v>
      </c>
      <c r="L397" s="34">
        <v>75</v>
      </c>
      <c r="M397" s="34">
        <v>100</v>
      </c>
      <c r="N397" s="34">
        <v>100</v>
      </c>
      <c r="O397" s="34">
        <v>75</v>
      </c>
      <c r="P397" s="34"/>
      <c r="Q397" s="34"/>
      <c r="R397" s="34"/>
      <c r="S397" s="34"/>
      <c r="T397" s="34"/>
      <c r="U397" s="34"/>
      <c r="V397" s="34"/>
      <c r="W397" s="34"/>
      <c r="X397" s="34"/>
      <c r="Y397" s="34"/>
      <c r="Z397" s="34"/>
      <c r="AA397" s="34"/>
      <c r="AB397" s="36"/>
      <c r="AC397" s="36"/>
      <c r="AD397" s="36">
        <v>21</v>
      </c>
      <c r="AE397" s="36">
        <v>12</v>
      </c>
      <c r="AF397" s="36">
        <v>12</v>
      </c>
      <c r="AG397" s="36">
        <v>7</v>
      </c>
      <c r="AH397" s="36"/>
      <c r="AI397" s="36">
        <v>4</v>
      </c>
      <c r="AJ397" s="36">
        <v>8</v>
      </c>
      <c r="AK397" s="36">
        <v>1</v>
      </c>
      <c r="AL397" s="36">
        <v>5</v>
      </c>
      <c r="AM397" s="36">
        <v>5</v>
      </c>
      <c r="AN397" s="36"/>
      <c r="AO397" s="36"/>
      <c r="AP397" s="36">
        <v>33</v>
      </c>
      <c r="AQ397" s="36">
        <v>27</v>
      </c>
      <c r="AR397" s="36">
        <v>10</v>
      </c>
      <c r="AS397" s="36">
        <v>4</v>
      </c>
      <c r="AT397" s="36"/>
      <c r="AU397" s="36">
        <v>5</v>
      </c>
      <c r="AV397" s="36">
        <v>3</v>
      </c>
      <c r="AW397" s="36">
        <v>7</v>
      </c>
      <c r="AX397" s="36">
        <v>6</v>
      </c>
      <c r="AY397" s="36">
        <v>2</v>
      </c>
      <c r="AZ397" s="36"/>
      <c r="BA397" s="36"/>
      <c r="BB397" s="36">
        <v>19</v>
      </c>
      <c r="BC397" s="36">
        <v>26</v>
      </c>
      <c r="BD397" s="36">
        <v>26</v>
      </c>
      <c r="BE397" s="36">
        <v>20</v>
      </c>
      <c r="BF397" s="36"/>
      <c r="BG397" s="36">
        <v>10</v>
      </c>
      <c r="BH397" s="36">
        <v>23</v>
      </c>
      <c r="BI397" s="36">
        <v>21</v>
      </c>
      <c r="BJ397" s="36">
        <v>28</v>
      </c>
      <c r="BK397" s="36">
        <v>31</v>
      </c>
      <c r="BL397" s="36"/>
      <c r="BM397" s="36"/>
      <c r="BN397" s="36">
        <v>86</v>
      </c>
      <c r="BO397" s="36">
        <v>29</v>
      </c>
      <c r="BP397" s="36">
        <v>11</v>
      </c>
      <c r="BQ397" s="36">
        <v>10</v>
      </c>
      <c r="BR397" s="36"/>
      <c r="BS397" s="36">
        <v>5</v>
      </c>
      <c r="BT397" s="36">
        <v>13</v>
      </c>
      <c r="BU397" s="36">
        <v>13</v>
      </c>
      <c r="BV397" s="36">
        <v>9</v>
      </c>
      <c r="BW397" s="36">
        <v>7</v>
      </c>
      <c r="BX397" s="36"/>
      <c r="BY397" s="36"/>
      <c r="BZ397" s="36">
        <v>54</v>
      </c>
      <c r="CA397" s="36">
        <v>2</v>
      </c>
      <c r="CB397" s="36">
        <v>3</v>
      </c>
      <c r="CC397" s="36">
        <v>3</v>
      </c>
      <c r="CD397" s="36"/>
      <c r="CE397" s="36"/>
      <c r="CF397" s="36">
        <v>2</v>
      </c>
      <c r="CG397" s="36">
        <v>3</v>
      </c>
      <c r="CH397" s="36">
        <v>2</v>
      </c>
      <c r="CI397" s="36">
        <v>3</v>
      </c>
      <c r="CK397" s="4" t="b">
        <f t="shared" si="6"/>
        <v>0</v>
      </c>
    </row>
    <row r="398" spans="1:89" ht="75" customHeight="1">
      <c r="A398" s="32" t="s">
        <v>124</v>
      </c>
      <c r="B398" s="32" t="s">
        <v>174</v>
      </c>
      <c r="C398" s="32" t="s">
        <v>551</v>
      </c>
      <c r="D398" s="34"/>
      <c r="E398" s="34"/>
      <c r="F398" s="34">
        <v>75</v>
      </c>
      <c r="G398" s="34">
        <v>100</v>
      </c>
      <c r="H398" s="34">
        <v>100</v>
      </c>
      <c r="I398" s="34"/>
      <c r="J398" s="34"/>
      <c r="K398" s="34">
        <v>80</v>
      </c>
      <c r="L398" s="34">
        <v>60</v>
      </c>
      <c r="M398" s="34">
        <v>100</v>
      </c>
      <c r="N398" s="34">
        <v>88.89</v>
      </c>
      <c r="O398" s="34">
        <v>75</v>
      </c>
      <c r="P398" s="34"/>
      <c r="Q398" s="34"/>
      <c r="R398" s="34">
        <v>60</v>
      </c>
      <c r="S398" s="34">
        <v>100</v>
      </c>
      <c r="T398" s="34">
        <v>100</v>
      </c>
      <c r="U398" s="34"/>
      <c r="V398" s="34"/>
      <c r="W398" s="34">
        <v>83.33</v>
      </c>
      <c r="X398" s="34">
        <v>100</v>
      </c>
      <c r="Y398" s="34">
        <v>80</v>
      </c>
      <c r="Z398" s="34">
        <v>100</v>
      </c>
      <c r="AA398" s="34">
        <v>180</v>
      </c>
      <c r="AB398" s="36"/>
      <c r="AC398" s="36">
        <v>309</v>
      </c>
      <c r="AD398" s="36">
        <v>107</v>
      </c>
      <c r="AE398" s="36">
        <v>161</v>
      </c>
      <c r="AF398" s="36">
        <v>122</v>
      </c>
      <c r="AG398" s="36">
        <v>197</v>
      </c>
      <c r="AH398" s="36"/>
      <c r="AI398" s="36">
        <v>133</v>
      </c>
      <c r="AJ398" s="36">
        <v>107</v>
      </c>
      <c r="AK398" s="36">
        <v>175</v>
      </c>
      <c r="AL398" s="36">
        <v>132</v>
      </c>
      <c r="AM398" s="36">
        <v>229</v>
      </c>
      <c r="AN398" s="36"/>
      <c r="AO398" s="36">
        <v>1042</v>
      </c>
      <c r="AP398" s="36">
        <v>103</v>
      </c>
      <c r="AQ398" s="36">
        <v>153</v>
      </c>
      <c r="AR398" s="36">
        <v>116</v>
      </c>
      <c r="AS398" s="36">
        <v>186</v>
      </c>
      <c r="AT398" s="36"/>
      <c r="AU398" s="36">
        <v>131</v>
      </c>
      <c r="AV398" s="36">
        <v>111</v>
      </c>
      <c r="AW398" s="36">
        <v>174</v>
      </c>
      <c r="AX398" s="36">
        <v>124</v>
      </c>
      <c r="AY398" s="36">
        <v>239</v>
      </c>
      <c r="AZ398" s="36"/>
      <c r="BA398" s="36">
        <v>28</v>
      </c>
      <c r="BB398" s="36">
        <v>51</v>
      </c>
      <c r="BC398" s="36">
        <v>59</v>
      </c>
      <c r="BD398" s="36">
        <v>40</v>
      </c>
      <c r="BE398" s="36">
        <v>36</v>
      </c>
      <c r="BF398" s="36">
        <v>55</v>
      </c>
      <c r="BG398" s="36">
        <v>53</v>
      </c>
      <c r="BH398" s="36">
        <v>40</v>
      </c>
      <c r="BI398" s="36">
        <v>46</v>
      </c>
      <c r="BJ398" s="36">
        <v>56</v>
      </c>
      <c r="BK398" s="36">
        <v>59</v>
      </c>
      <c r="BL398" s="36"/>
      <c r="BM398" s="36">
        <v>1</v>
      </c>
      <c r="BN398" s="36"/>
      <c r="BO398" s="36">
        <v>4</v>
      </c>
      <c r="BP398" s="36">
        <v>6</v>
      </c>
      <c r="BQ398" s="36">
        <v>20</v>
      </c>
      <c r="BR398" s="36">
        <v>24</v>
      </c>
      <c r="BS398" s="36">
        <v>25</v>
      </c>
      <c r="BT398" s="36">
        <v>16</v>
      </c>
      <c r="BU398" s="36">
        <v>29</v>
      </c>
      <c r="BV398" s="36">
        <v>27</v>
      </c>
      <c r="BW398" s="36">
        <v>22</v>
      </c>
      <c r="BX398" s="36"/>
      <c r="BY398" s="36"/>
      <c r="BZ398" s="36"/>
      <c r="CA398" s="36"/>
      <c r="CB398" s="36"/>
      <c r="CC398" s="36"/>
      <c r="CD398" s="36"/>
      <c r="CE398" s="36">
        <v>2</v>
      </c>
      <c r="CF398" s="36">
        <v>2</v>
      </c>
      <c r="CG398" s="36">
        <v>3</v>
      </c>
      <c r="CH398" s="36">
        <v>11</v>
      </c>
      <c r="CI398" s="36">
        <v>3</v>
      </c>
      <c r="CK398" s="4" t="b">
        <f t="shared" si="6"/>
        <v>0</v>
      </c>
    </row>
  </sheetData>
  <autoFilter ref="A1:CO1" xr:uid="{00000000-0001-0000-0000-000000000000}"/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C00000"/>
  </sheetPr>
  <dimension ref="A1:L415"/>
  <sheetViews>
    <sheetView workbookViewId="0">
      <selection activeCell="L1" sqref="A1:L1"/>
    </sheetView>
  </sheetViews>
  <sheetFormatPr defaultRowHeight="15"/>
  <cols>
    <col min="1" max="6" width="9.140625" style="7"/>
    <col min="7" max="7" width="11.5703125" style="7" bestFit="1" customWidth="1"/>
    <col min="8" max="16384" width="9.140625" style="7"/>
  </cols>
  <sheetData>
    <row r="1" spans="1:12" ht="45">
      <c r="A1" s="5" t="s">
        <v>557</v>
      </c>
      <c r="B1" s="5" t="s">
        <v>1</v>
      </c>
      <c r="C1" s="5" t="s">
        <v>2</v>
      </c>
      <c r="D1" s="6" t="s">
        <v>563</v>
      </c>
      <c r="E1" s="6" t="s">
        <v>564</v>
      </c>
      <c r="F1" s="6" t="s">
        <v>565</v>
      </c>
      <c r="G1" s="6" t="s">
        <v>566</v>
      </c>
      <c r="H1" s="5" t="s">
        <v>558</v>
      </c>
      <c r="I1" s="6" t="s">
        <v>559</v>
      </c>
      <c r="J1" s="5" t="s">
        <v>721</v>
      </c>
      <c r="K1" s="5" t="s">
        <v>567</v>
      </c>
      <c r="L1" s="5" t="s">
        <v>819</v>
      </c>
    </row>
    <row r="2" spans="1:12" ht="63.75">
      <c r="A2" s="8" t="str">
        <f>TRIM(SUBSTITUTE(CLEAN(Raw_Data!A2),CHAR(160)," "))</f>
        <v>Abuja Municipal Area Council</v>
      </c>
      <c r="B2" s="8" t="str">
        <f t="array" ref="B2">TRIM(SUBSTITUTE(CLEAN(Raw_Data!B2),CHAR(160)," "))</f>
        <v>Gui Ward</v>
      </c>
      <c r="C2" s="8" t="str">
        <f t="array" ref="C2">TRIM(SUBSTITUTE(CLEAN(Raw_Data!C2),CHAR(160)," "))</f>
        <v>063 Nigeria Air Force Base Hospital</v>
      </c>
      <c r="D2" s="7">
        <f>COUNTA(Raw_Data!D2:CI2)</f>
        <v>39</v>
      </c>
      <c r="E2" s="7">
        <f>F2-D2</f>
        <v>45</v>
      </c>
      <c r="F2" s="9">
        <f>INDEX(tblParameters[Value],MATCH("ExpectedValues",tblParameters[Parameter],0))</f>
        <v>84</v>
      </c>
      <c r="G2" s="7">
        <f>D2/F2</f>
        <v>0.4642857142857143</v>
      </c>
      <c r="H2" s="7" t="str">
        <f>LOOKUP(G2,tblIndicatorScore[Min],tblIndicatorScore[Rating])</f>
        <v>Poor</v>
      </c>
      <c r="I2" s="7">
        <f>LOOKUP(G2,tblIndicatorScore[Min],tblIndicatorScore[Score])</f>
        <v>0</v>
      </c>
      <c r="J2" s="7" t="str">
        <f>IF(OR(A2="",B2="",C2=""),"",IF(COUNTIFS($A:$A,A2,$B:$B,B2,$C:$C,C2)&gt;1,"Yes","No"))</f>
        <v>No</v>
      </c>
      <c r="K2" s="7" t="str">
        <f>IF(OR(TRIM(A2)="",TRIM(B2)="",TRIM(C2)="",D2&lt;=0,F2&lt;=0),"Yes","No")</f>
        <v>No</v>
      </c>
      <c r="L2" s="7" t="str">
        <f>IFERROR(
IF(K2="Yes","Incomplete",
IF(OR(
J2="Yes",
G2&lt;INDEX(tblParameters[Value],MATCH("MinimumAcceptCompleteness",tblParameters[Parameter],0))
),
"Review",
"Accept")),
"Parameter Error")</f>
        <v>Review</v>
      </c>
    </row>
    <row r="3" spans="1:12" ht="76.5">
      <c r="A3" s="8" t="str">
        <f>TRIM(SUBSTITUTE(CLEAN(Raw_Data!A3),CHAR(160)," "))</f>
        <v>Abuja Municipal Area Council</v>
      </c>
      <c r="B3" s="8" t="str">
        <f t="array" ref="B3">TRIM(SUBSTITUTE(CLEAN(Raw_Data!B3),CHAR(160)," "))</f>
        <v>City Centre Ward</v>
      </c>
      <c r="C3" s="8" t="str">
        <f t="array" ref="C3">TRIM(SUBSTITUTE(CLEAN(Raw_Data!C3),CHAR(160)," "))</f>
        <v>7 Guards Battalion Medical Reception Station Abuja</v>
      </c>
      <c r="D3" s="7">
        <f>COUNTA(Raw_Data!D3:CI3)</f>
        <v>50</v>
      </c>
      <c r="E3" s="7">
        <f t="shared" ref="E3:E66" si="0">F3-D3</f>
        <v>34</v>
      </c>
      <c r="F3" s="9">
        <f>INDEX(tblParameters[Value],MATCH("ExpectedValues",tblParameters[Parameter],0))</f>
        <v>84</v>
      </c>
      <c r="G3" s="7">
        <f t="shared" ref="G3:G66" si="1">D3/F3</f>
        <v>0.59523809523809523</v>
      </c>
      <c r="H3" s="7" t="str">
        <f>LOOKUP(G3,tblIndicatorScore[Min],tblIndicatorScore[Rating])</f>
        <v>Poor</v>
      </c>
      <c r="I3" s="7">
        <f>LOOKUP(G3,tblIndicatorScore[Min],tblIndicatorScore[Score])</f>
        <v>0</v>
      </c>
      <c r="J3" s="7" t="str">
        <f t="shared" ref="J3:J66" si="2">IF(OR(A3="",B3="",C3=""),"",IF(COUNTIFS($A:$A,A3,$B:$B,B3,$C:$C,C3)&gt;1,"Yes","No"))</f>
        <v>No</v>
      </c>
      <c r="K3" s="7" t="str">
        <f t="shared" ref="K3:K66" si="3">IF(OR(TRIM(A3)="",TRIM(B3)="",TRIM(C3)="",D3&lt;=0,F3&lt;=0),"Yes","No")</f>
        <v>No</v>
      </c>
      <c r="L3" s="7" t="str">
        <f>IFERROR(
IF(K3="Yes","Incomplete",
IF(OR(
J3="Yes",
G3&lt;INDEX(tblParameters[Value],MATCH("MinimumAcceptCompleteness",tblParameters[Parameter],0))
),
"Review",
"Accept")),
"Parameter Error")</f>
        <v>Review</v>
      </c>
    </row>
    <row r="4" spans="1:12" ht="76.5">
      <c r="A4" s="8" t="str">
        <f>TRIM(SUBSTITUTE(CLEAN(Raw_Data!A4),CHAR(160)," "))</f>
        <v>Abaji Local Government Area</v>
      </c>
      <c r="B4" s="8" t="str">
        <f t="array" ref="B4">TRIM(SUBSTITUTE(CLEAN(Raw_Data!B4),CHAR(160)," "))</f>
        <v>Central (Abaji) Ward</v>
      </c>
      <c r="C4" s="8" t="str">
        <f t="array" ref="C4">TRIM(SUBSTITUTE(CLEAN(Raw_Data!C4),CHAR(160)," "))</f>
        <v>Abaji New Township Primary Health Center</v>
      </c>
      <c r="D4" s="7">
        <f>COUNTA(Raw_Data!D4:CI4)</f>
        <v>65</v>
      </c>
      <c r="E4" s="7">
        <f t="shared" si="0"/>
        <v>19</v>
      </c>
      <c r="F4" s="9">
        <f>INDEX(tblParameters[Value],MATCH("ExpectedValues",tblParameters[Parameter],0))</f>
        <v>84</v>
      </c>
      <c r="G4" s="7">
        <f t="shared" si="1"/>
        <v>0.77380952380952384</v>
      </c>
      <c r="H4" s="7" t="str">
        <f>LOOKUP(G4,tblIndicatorScore[Min],tblIndicatorScore[Rating])</f>
        <v>Poor</v>
      </c>
      <c r="I4" s="7">
        <f>LOOKUP(G4,tblIndicatorScore[Min],tblIndicatorScore[Score])</f>
        <v>0</v>
      </c>
      <c r="J4" s="7" t="str">
        <f t="shared" si="2"/>
        <v>No</v>
      </c>
      <c r="K4" s="7" t="str">
        <f t="shared" si="3"/>
        <v>No</v>
      </c>
      <c r="L4" s="7" t="str">
        <f>IFERROR(
IF(K4="Yes","Incomplete",
IF(OR(
J4="Yes",
G4&lt;INDEX(tblParameters[Value],MATCH("MinimumAcceptCompleteness",tblParameters[Parameter],0))
),
"Review",
"Accept")),
"Parameter Error")</f>
        <v>Review</v>
      </c>
    </row>
    <row r="5" spans="1:12" ht="63.75">
      <c r="A5" s="8" t="str">
        <f>TRIM(SUBSTITUTE(CLEAN(Raw_Data!A5),CHAR(160)," "))</f>
        <v>Abaji Local Government Area</v>
      </c>
      <c r="B5" s="8" t="str">
        <f t="array" ref="B5">TRIM(SUBSTITUTE(CLEAN(Raw_Data!B5),CHAR(160)," "))</f>
        <v>Central (Abaji) Ward</v>
      </c>
      <c r="C5" s="8" t="str">
        <f t="array" ref="C5">TRIM(SUBSTITUTE(CLEAN(Raw_Data!C5),CHAR(160)," "))</f>
        <v>Abaji Central Primary Health Clinic</v>
      </c>
      <c r="D5" s="7">
        <f>COUNTA(Raw_Data!D5:CI5)</f>
        <v>43</v>
      </c>
      <c r="E5" s="7">
        <f t="shared" si="0"/>
        <v>41</v>
      </c>
      <c r="F5" s="9">
        <f>INDEX(tblParameters[Value],MATCH("ExpectedValues",tblParameters[Parameter],0))</f>
        <v>84</v>
      </c>
      <c r="G5" s="7">
        <f t="shared" si="1"/>
        <v>0.51190476190476186</v>
      </c>
      <c r="H5" s="7" t="str">
        <f>LOOKUP(G5,tblIndicatorScore[Min],tblIndicatorScore[Rating])</f>
        <v>Poor</v>
      </c>
      <c r="I5" s="7">
        <f>LOOKUP(G5,tblIndicatorScore[Min],tblIndicatorScore[Score])</f>
        <v>0</v>
      </c>
      <c r="J5" s="7" t="str">
        <f t="shared" si="2"/>
        <v>No</v>
      </c>
      <c r="K5" s="7" t="str">
        <f t="shared" si="3"/>
        <v>No</v>
      </c>
      <c r="L5" s="7" t="str">
        <f>IFERROR(
IF(K5="Yes","Incomplete",
IF(OR(
J5="Yes",
G5&lt;INDEX(tblParameters[Value],MATCH("MinimumAcceptCompleteness",tblParameters[Parameter],0))
),
"Review",
"Accept")),
"Parameter Error")</f>
        <v>Review</v>
      </c>
    </row>
    <row r="6" spans="1:12" ht="51">
      <c r="A6" s="8" t="str">
        <f>TRIM(SUBSTITUTE(CLEAN(Raw_Data!A6),CHAR(160)," "))</f>
        <v>Abaji Local Government Area</v>
      </c>
      <c r="B6" s="8" t="str">
        <f t="array" ref="B6">TRIM(SUBSTITUTE(CLEAN(Raw_Data!B6),CHAR(160)," "))</f>
        <v>North East Ward</v>
      </c>
      <c r="C6" s="8" t="str">
        <f t="array" ref="C6">TRIM(SUBSTITUTE(CLEAN(Raw_Data!C6),CHAR(160)," "))</f>
        <v>Abaji General Hospital</v>
      </c>
      <c r="D6" s="7">
        <f>COUNTA(Raw_Data!D6:CI6)</f>
        <v>57</v>
      </c>
      <c r="E6" s="7">
        <f t="shared" si="0"/>
        <v>27</v>
      </c>
      <c r="F6" s="9">
        <f>INDEX(tblParameters[Value],MATCH("ExpectedValues",tblParameters[Parameter],0))</f>
        <v>84</v>
      </c>
      <c r="G6" s="7">
        <f t="shared" si="1"/>
        <v>0.6785714285714286</v>
      </c>
      <c r="H6" s="7" t="str">
        <f>LOOKUP(G6,tblIndicatorScore[Min],tblIndicatorScore[Rating])</f>
        <v>Poor</v>
      </c>
      <c r="I6" s="7">
        <f>LOOKUP(G6,tblIndicatorScore[Min],tblIndicatorScore[Score])</f>
        <v>0</v>
      </c>
      <c r="J6" s="7" t="str">
        <f t="shared" si="2"/>
        <v>No</v>
      </c>
      <c r="K6" s="7" t="str">
        <f t="shared" si="3"/>
        <v>No</v>
      </c>
      <c r="L6" s="7" t="str">
        <f>IFERROR(
IF(K6="Yes","Incomplete",
IF(OR(
J6="Yes",
G6&lt;INDEX(tblParameters[Value],MATCH("MinimumAcceptCompleteness",tblParameters[Parameter],0))
),
"Review",
"Accept")),
"Parameter Error")</f>
        <v>Review</v>
      </c>
    </row>
    <row r="7" spans="1:12" ht="63.75">
      <c r="A7" s="8" t="str">
        <f>TRIM(SUBSTITUTE(CLEAN(Raw_Data!A7),CHAR(160)," "))</f>
        <v>Abaji Local Government Area</v>
      </c>
      <c r="B7" s="8" t="str">
        <f t="array" ref="B7">TRIM(SUBSTITUTE(CLEAN(Raw_Data!B7),CHAR(160)," "))</f>
        <v>North East Ward</v>
      </c>
      <c r="C7" s="8" t="str">
        <f t="array" ref="C7">TRIM(SUBSTITUTE(CLEAN(Raw_Data!C7),CHAR(160)," "))</f>
        <v>Abaji Maternal And Child Health Clinic</v>
      </c>
      <c r="D7" s="7">
        <f>COUNTA(Raw_Data!D7:CI7)</f>
        <v>46</v>
      </c>
      <c r="E7" s="7">
        <f t="shared" si="0"/>
        <v>38</v>
      </c>
      <c r="F7" s="9">
        <f>INDEX(tblParameters[Value],MATCH("ExpectedValues",tblParameters[Parameter],0))</f>
        <v>84</v>
      </c>
      <c r="G7" s="7">
        <f t="shared" si="1"/>
        <v>0.54761904761904767</v>
      </c>
      <c r="H7" s="7" t="str">
        <f>LOOKUP(G7,tblIndicatorScore[Min],tblIndicatorScore[Rating])</f>
        <v>Poor</v>
      </c>
      <c r="I7" s="7">
        <f>LOOKUP(G7,tblIndicatorScore[Min],tblIndicatorScore[Score])</f>
        <v>0</v>
      </c>
      <c r="J7" s="7" t="str">
        <f t="shared" si="2"/>
        <v>No</v>
      </c>
      <c r="K7" s="7" t="str">
        <f t="shared" si="3"/>
        <v>No</v>
      </c>
      <c r="L7" s="7" t="str">
        <f>IFERROR(
IF(K7="Yes","Incomplete",
IF(OR(
J7="Yes",
G7&lt;INDEX(tblParameters[Value],MATCH("MinimumAcceptCompleteness",tblParameters[Parameter],0))
),
"Review",
"Accept")),
"Parameter Error")</f>
        <v>Review</v>
      </c>
    </row>
    <row r="8" spans="1:12" ht="51">
      <c r="A8" s="8" t="str">
        <f>TRIM(SUBSTITUTE(CLEAN(Raw_Data!A8),CHAR(160)," "))</f>
        <v>Abaji Local Government Area</v>
      </c>
      <c r="B8" s="8" t="str">
        <f t="array" ref="B8">TRIM(SUBSTITUTE(CLEAN(Raw_Data!B8),CHAR(160)," "))</f>
        <v>Nuku Sabon Gari Ward</v>
      </c>
      <c r="C8" s="8" t="str">
        <f t="array" ref="C8">TRIM(SUBSTITUTE(CLEAN(Raw_Data!C8),CHAR(160)," "))</f>
        <v>Abattior Primary Health Clinic</v>
      </c>
      <c r="D8" s="7">
        <f>COUNTA(Raw_Data!D8:CI8)</f>
        <v>65</v>
      </c>
      <c r="E8" s="7">
        <f t="shared" si="0"/>
        <v>19</v>
      </c>
      <c r="F8" s="9">
        <f>INDEX(tblParameters[Value],MATCH("ExpectedValues",tblParameters[Parameter],0))</f>
        <v>84</v>
      </c>
      <c r="G8" s="7">
        <f t="shared" si="1"/>
        <v>0.77380952380952384</v>
      </c>
      <c r="H8" s="7" t="str">
        <f>LOOKUP(G8,tblIndicatorScore[Min],tblIndicatorScore[Rating])</f>
        <v>Poor</v>
      </c>
      <c r="I8" s="7">
        <f>LOOKUP(G8,tblIndicatorScore[Min],tblIndicatorScore[Score])</f>
        <v>0</v>
      </c>
      <c r="J8" s="7" t="str">
        <f t="shared" si="2"/>
        <v>No</v>
      </c>
      <c r="K8" s="7" t="str">
        <f t="shared" si="3"/>
        <v>No</v>
      </c>
      <c r="L8" s="7" t="str">
        <f>IFERROR(
IF(K8="Yes","Incomplete",
IF(OR(
J8="Yes",
G8&lt;INDEX(tblParameters[Value],MATCH("MinimumAcceptCompleteness",tblParameters[Parameter],0))
),
"Review",
"Accept")),
"Parameter Error")</f>
        <v>Review</v>
      </c>
    </row>
    <row r="9" spans="1:12" ht="51">
      <c r="A9" s="8" t="str">
        <f>TRIM(SUBSTITUTE(CLEAN(Raw_Data!A9),CHAR(160)," "))</f>
        <v>Kwali Local Government Area</v>
      </c>
      <c r="B9" s="8" t="str">
        <f t="array" ref="B9">TRIM(SUBSTITUTE(CLEAN(Raw_Data!B9),CHAR(160)," "))</f>
        <v>Kwali Ward</v>
      </c>
      <c r="C9" s="8" t="str">
        <f t="array" ref="C9">TRIM(SUBSTITUTE(CLEAN(Raw_Data!C9),CHAR(160)," "))</f>
        <v>Abu Fatima Maternity Clinic</v>
      </c>
      <c r="D9" s="7">
        <f>COUNTA(Raw_Data!D9:CI9)</f>
        <v>19</v>
      </c>
      <c r="E9" s="7">
        <f t="shared" si="0"/>
        <v>65</v>
      </c>
      <c r="F9" s="9">
        <f>INDEX(tblParameters[Value],MATCH("ExpectedValues",tblParameters[Parameter],0))</f>
        <v>84</v>
      </c>
      <c r="G9" s="7">
        <f t="shared" si="1"/>
        <v>0.22619047619047619</v>
      </c>
      <c r="H9" s="7" t="str">
        <f>LOOKUP(G9,tblIndicatorScore[Min],tblIndicatorScore[Rating])</f>
        <v>Poor</v>
      </c>
      <c r="I9" s="7">
        <f>LOOKUP(G9,tblIndicatorScore[Min],tblIndicatorScore[Score])</f>
        <v>0</v>
      </c>
      <c r="J9" s="7" t="str">
        <f t="shared" si="2"/>
        <v>No</v>
      </c>
      <c r="K9" s="7" t="str">
        <f t="shared" si="3"/>
        <v>No</v>
      </c>
      <c r="L9" s="7" t="str">
        <f>IFERROR(
IF(K9="Yes","Incomplete",
IF(OR(
J9="Yes",
G9&lt;INDEX(tblParameters[Value],MATCH("MinimumAcceptCompleteness",tblParameters[Parameter],0))
),
"Review",
"Accept")),
"Parameter Error")</f>
        <v>Review</v>
      </c>
    </row>
    <row r="10" spans="1:12" ht="51">
      <c r="A10" s="8" t="str">
        <f>TRIM(SUBSTITUTE(CLEAN(Raw_Data!A10),CHAR(160)," "))</f>
        <v>Abuja Municipal Area Council</v>
      </c>
      <c r="B10" s="8" t="str">
        <f t="array" ref="B10">TRIM(SUBSTITUTE(CLEAN(Raw_Data!B10),CHAR(160)," "))</f>
        <v>Garki Ward</v>
      </c>
      <c r="C10" s="8" t="str">
        <f t="array" ref="C10">TRIM(SUBSTITUTE(CLEAN(Raw_Data!C10),CHAR(160)," "))</f>
        <v>Abuja Clinic</v>
      </c>
      <c r="D10" s="7">
        <f>COUNTA(Raw_Data!D10:CI10)</f>
        <v>5</v>
      </c>
      <c r="E10" s="7">
        <f t="shared" si="0"/>
        <v>79</v>
      </c>
      <c r="F10" s="9">
        <f>INDEX(tblParameters[Value],MATCH("ExpectedValues",tblParameters[Parameter],0))</f>
        <v>84</v>
      </c>
      <c r="G10" s="7">
        <f t="shared" si="1"/>
        <v>5.9523809523809521E-2</v>
      </c>
      <c r="H10" s="7" t="str">
        <f>LOOKUP(G10,tblIndicatorScore[Min],tblIndicatorScore[Rating])</f>
        <v>Poor</v>
      </c>
      <c r="I10" s="7">
        <f>LOOKUP(G10,tblIndicatorScore[Min],tblIndicatorScore[Score])</f>
        <v>0</v>
      </c>
      <c r="J10" s="7" t="str">
        <f t="shared" si="2"/>
        <v>No</v>
      </c>
      <c r="K10" s="7" t="str">
        <f t="shared" si="3"/>
        <v>No</v>
      </c>
      <c r="L10" s="7" t="str">
        <f>IFERROR(
IF(K10="Yes","Incomplete",
IF(OR(
J10="Yes",
G10&lt;INDEX(tblParameters[Value],MATCH("MinimumAcceptCompleteness",tblParameters[Parameter],0))
),
"Review",
"Accept")),
"Parameter Error")</f>
        <v>Review</v>
      </c>
    </row>
    <row r="11" spans="1:12" ht="51">
      <c r="A11" s="8" t="str">
        <f>TRIM(SUBSTITUTE(CLEAN(Raw_Data!A11),CHAR(160)," "))</f>
        <v>Abuja Municipal Area Council</v>
      </c>
      <c r="B11" s="8" t="str">
        <f t="array" ref="B11">TRIM(SUBSTITUTE(CLEAN(Raw_Data!B11),CHAR(160)," "))</f>
        <v>Wuse Ward</v>
      </c>
      <c r="C11" s="8" t="str">
        <f t="array" ref="C11">TRIM(SUBSTITUTE(CLEAN(Raw_Data!C11),CHAR(160)," "))</f>
        <v>Abuja Clinics, Maitama</v>
      </c>
      <c r="D11" s="7">
        <f>COUNTA(Raw_Data!D11:CI11)</f>
        <v>16</v>
      </c>
      <c r="E11" s="7">
        <f t="shared" si="0"/>
        <v>68</v>
      </c>
      <c r="F11" s="9">
        <f>INDEX(tblParameters[Value],MATCH("ExpectedValues",tblParameters[Parameter],0))</f>
        <v>84</v>
      </c>
      <c r="G11" s="7">
        <f t="shared" si="1"/>
        <v>0.19047619047619047</v>
      </c>
      <c r="H11" s="7" t="str">
        <f>LOOKUP(G11,tblIndicatorScore[Min],tblIndicatorScore[Rating])</f>
        <v>Poor</v>
      </c>
      <c r="I11" s="7">
        <f>LOOKUP(G11,tblIndicatorScore[Min],tblIndicatorScore[Score])</f>
        <v>0</v>
      </c>
      <c r="J11" s="7" t="str">
        <f t="shared" si="2"/>
        <v>No</v>
      </c>
      <c r="K11" s="7" t="str">
        <f t="shared" si="3"/>
        <v>No</v>
      </c>
      <c r="L11" s="7" t="str">
        <f>IFERROR(
IF(K11="Yes","Incomplete",
IF(OR(
J11="Yes",
G11&lt;INDEX(tblParameters[Value],MATCH("MinimumAcceptCompleteness",tblParameters[Parameter],0))
),
"Review",
"Accept")),
"Parameter Error")</f>
        <v>Review</v>
      </c>
    </row>
    <row r="12" spans="1:12" ht="51">
      <c r="A12" s="8" t="str">
        <f>TRIM(SUBSTITUTE(CLEAN(Raw_Data!A12),CHAR(160)," "))</f>
        <v>Abuja Municipal Area Council</v>
      </c>
      <c r="B12" s="8" t="str">
        <f t="array" ref="B12">TRIM(SUBSTITUTE(CLEAN(Raw_Data!B12),CHAR(160)," "))</f>
        <v>City Centre Ward</v>
      </c>
      <c r="C12" s="8" t="str">
        <f t="array" ref="C12">TRIM(SUBSTITUTE(CLEAN(Raw_Data!C12),CHAR(160)," "))</f>
        <v>Abuja Police Hospital</v>
      </c>
      <c r="D12" s="7">
        <f>COUNTA(Raw_Data!D12:CI12)</f>
        <v>13</v>
      </c>
      <c r="E12" s="7">
        <f t="shared" si="0"/>
        <v>71</v>
      </c>
      <c r="F12" s="9">
        <f>INDEX(tblParameters[Value],MATCH("ExpectedValues",tblParameters[Parameter],0))</f>
        <v>84</v>
      </c>
      <c r="G12" s="7">
        <f t="shared" si="1"/>
        <v>0.15476190476190477</v>
      </c>
      <c r="H12" s="7" t="str">
        <f>LOOKUP(G12,tblIndicatorScore[Min],tblIndicatorScore[Rating])</f>
        <v>Poor</v>
      </c>
      <c r="I12" s="7">
        <f>LOOKUP(G12,tblIndicatorScore[Min],tblIndicatorScore[Score])</f>
        <v>0</v>
      </c>
      <c r="J12" s="7" t="str">
        <f t="shared" si="2"/>
        <v>No</v>
      </c>
      <c r="K12" s="7" t="str">
        <f t="shared" si="3"/>
        <v>No</v>
      </c>
      <c r="L12" s="7" t="str">
        <f>IFERROR(
IF(K12="Yes","Incomplete",
IF(OR(
J12="Yes",
G12&lt;INDEX(tblParameters[Value],MATCH("MinimumAcceptCompleteness",tblParameters[Parameter],0))
),
"Review",
"Accept")),
"Parameter Error")</f>
        <v>Review</v>
      </c>
    </row>
    <row r="13" spans="1:12" ht="51">
      <c r="A13" s="8" t="str">
        <f>TRIM(SUBSTITUTE(CLEAN(Raw_Data!A13),CHAR(160)," "))</f>
        <v>Kuje Local Government Area</v>
      </c>
      <c r="B13" s="8" t="str">
        <f t="array" ref="B13">TRIM(SUBSTITUTE(CLEAN(Raw_Data!B13),CHAR(160)," "))</f>
        <v>Kabi Ward</v>
      </c>
      <c r="C13" s="8" t="str">
        <f t="array" ref="C13">TRIM(SUBSTITUTE(CLEAN(Raw_Data!C13),CHAR(160)," "))</f>
        <v>Achimbi Primary Health Centre</v>
      </c>
      <c r="D13" s="7">
        <f>COUNTA(Raw_Data!D13:CI13)</f>
        <v>64</v>
      </c>
      <c r="E13" s="7">
        <f t="shared" si="0"/>
        <v>20</v>
      </c>
      <c r="F13" s="9">
        <f>INDEX(tblParameters[Value],MATCH("ExpectedValues",tblParameters[Parameter],0))</f>
        <v>84</v>
      </c>
      <c r="G13" s="7">
        <f t="shared" si="1"/>
        <v>0.76190476190476186</v>
      </c>
      <c r="H13" s="7" t="str">
        <f>LOOKUP(G13,tblIndicatorScore[Min],tblIndicatorScore[Rating])</f>
        <v>Poor</v>
      </c>
      <c r="I13" s="7">
        <f>LOOKUP(G13,tblIndicatorScore[Min],tblIndicatorScore[Score])</f>
        <v>0</v>
      </c>
      <c r="J13" s="7" t="str">
        <f t="shared" si="2"/>
        <v>No</v>
      </c>
      <c r="K13" s="7" t="str">
        <f t="shared" si="3"/>
        <v>No</v>
      </c>
      <c r="L13" s="7" t="str">
        <f>IFERROR(
IF(K13="Yes","Incomplete",
IF(OR(
J13="Yes",
G13&lt;INDEX(tblParameters[Value],MATCH("MinimumAcceptCompleteness",tblParameters[Parameter],0))
),
"Review",
"Accept")),
"Parameter Error")</f>
        <v>Review</v>
      </c>
    </row>
    <row r="14" spans="1:12" ht="51">
      <c r="A14" s="8" t="str">
        <f>TRIM(SUBSTITUTE(CLEAN(Raw_Data!A14),CHAR(160)," "))</f>
        <v>Abaji Local Government Area</v>
      </c>
      <c r="B14" s="8" t="str">
        <f t="array" ref="B14">TRIM(SUBSTITUTE(CLEAN(Raw_Data!B14),CHAR(160)," "))</f>
        <v>Yaba Ward</v>
      </c>
      <c r="C14" s="8" t="str">
        <f t="array" ref="C14">TRIM(SUBSTITUTE(CLEAN(Raw_Data!C14),CHAR(160)," "))</f>
        <v>Adagba Primary Health Clinic</v>
      </c>
      <c r="D14" s="7">
        <f>COUNTA(Raw_Data!D14:CI14)</f>
        <v>55</v>
      </c>
      <c r="E14" s="7">
        <f t="shared" si="0"/>
        <v>29</v>
      </c>
      <c r="F14" s="9">
        <f>INDEX(tblParameters[Value],MATCH("ExpectedValues",tblParameters[Parameter],0))</f>
        <v>84</v>
      </c>
      <c r="G14" s="7">
        <f t="shared" si="1"/>
        <v>0.65476190476190477</v>
      </c>
      <c r="H14" s="7" t="str">
        <f>LOOKUP(G14,tblIndicatorScore[Min],tblIndicatorScore[Rating])</f>
        <v>Poor</v>
      </c>
      <c r="I14" s="7">
        <f>LOOKUP(G14,tblIndicatorScore[Min],tblIndicatorScore[Score])</f>
        <v>0</v>
      </c>
      <c r="J14" s="7" t="str">
        <f t="shared" si="2"/>
        <v>No</v>
      </c>
      <c r="K14" s="7" t="str">
        <f t="shared" si="3"/>
        <v>No</v>
      </c>
      <c r="L14" s="7" t="str">
        <f>IFERROR(
IF(K14="Yes","Incomplete",
IF(OR(
J14="Yes",
G14&lt;INDEX(tblParameters[Value],MATCH("MinimumAcceptCompleteness",tblParameters[Parameter],0))
),
"Review",
"Accept")),
"Parameter Error")</f>
        <v>Review</v>
      </c>
    </row>
    <row r="15" spans="1:12" ht="51">
      <c r="A15" s="8" t="str">
        <f>TRIM(SUBSTITUTE(CLEAN(Raw_Data!A15),CHAR(160)," "))</f>
        <v>Kuje Local Government Area</v>
      </c>
      <c r="B15" s="8" t="str">
        <f t="array" ref="B15">TRIM(SUBSTITUTE(CLEAN(Raw_Data!B15),CHAR(160)," "))</f>
        <v>Kuje Central Ward</v>
      </c>
      <c r="C15" s="8" t="str">
        <f t="array" ref="C15">TRIM(SUBSTITUTE(CLEAN(Raw_Data!C15),CHAR(160)," "))</f>
        <v>Agape Biomedical Hospital</v>
      </c>
      <c r="D15" s="7">
        <f>COUNTA(Raw_Data!D15:CI15)</f>
        <v>9</v>
      </c>
      <c r="E15" s="7">
        <f t="shared" si="0"/>
        <v>75</v>
      </c>
      <c r="F15" s="9">
        <f>INDEX(tblParameters[Value],MATCH("ExpectedValues",tblParameters[Parameter],0))</f>
        <v>84</v>
      </c>
      <c r="G15" s="7">
        <f t="shared" si="1"/>
        <v>0.10714285714285714</v>
      </c>
      <c r="H15" s="7" t="str">
        <f>LOOKUP(G15,tblIndicatorScore[Min],tblIndicatorScore[Rating])</f>
        <v>Poor</v>
      </c>
      <c r="I15" s="7">
        <f>LOOKUP(G15,tblIndicatorScore[Min],tblIndicatorScore[Score])</f>
        <v>0</v>
      </c>
      <c r="J15" s="7" t="str">
        <f t="shared" si="2"/>
        <v>No</v>
      </c>
      <c r="K15" s="7" t="str">
        <f t="shared" si="3"/>
        <v>No</v>
      </c>
      <c r="L15" s="7" t="str">
        <f>IFERROR(
IF(K15="Yes","Incomplete",
IF(OR(
J15="Yes",
G15&lt;INDEX(tblParameters[Value],MATCH("MinimumAcceptCompleteness",tblParameters[Parameter],0))
),
"Review",
"Accept")),
"Parameter Error")</f>
        <v>Review</v>
      </c>
    </row>
    <row r="16" spans="1:12" ht="51">
      <c r="A16" s="8" t="str">
        <f>TRIM(SUBSTITUTE(CLEAN(Raw_Data!A16),CHAR(160)," "))</f>
        <v>Kuje Local Government Area</v>
      </c>
      <c r="B16" s="8" t="str">
        <f t="array" ref="B16">TRIM(SUBSTITUTE(CLEAN(Raw_Data!B16),CHAR(160)," "))</f>
        <v>Kabi Ward</v>
      </c>
      <c r="C16" s="8" t="str">
        <f t="array" ref="C16">TRIM(SUBSTITUTE(CLEAN(Raw_Data!C16),CHAR(160)," "))</f>
        <v>Agwai Primary Health Centre</v>
      </c>
      <c r="D16" s="7">
        <f>COUNTA(Raw_Data!D16:CI16)</f>
        <v>50</v>
      </c>
      <c r="E16" s="7">
        <f t="shared" si="0"/>
        <v>34</v>
      </c>
      <c r="F16" s="9">
        <f>INDEX(tblParameters[Value],MATCH("ExpectedValues",tblParameters[Parameter],0))</f>
        <v>84</v>
      </c>
      <c r="G16" s="7">
        <f t="shared" si="1"/>
        <v>0.59523809523809523</v>
      </c>
      <c r="H16" s="7" t="str">
        <f>LOOKUP(G16,tblIndicatorScore[Min],tblIndicatorScore[Rating])</f>
        <v>Poor</v>
      </c>
      <c r="I16" s="7">
        <f>LOOKUP(G16,tblIndicatorScore[Min],tblIndicatorScore[Score])</f>
        <v>0</v>
      </c>
      <c r="J16" s="7" t="str">
        <f t="shared" si="2"/>
        <v>No</v>
      </c>
      <c r="K16" s="7" t="str">
        <f t="shared" si="3"/>
        <v>No</v>
      </c>
      <c r="L16" s="7" t="str">
        <f>IFERROR(
IF(K16="Yes","Incomplete",
IF(OR(
J16="Yes",
G16&lt;INDEX(tblParameters[Value],MATCH("MinimumAcceptCompleteness",tblParameters[Parameter],0))
),
"Review",
"Accept")),
"Parameter Error")</f>
        <v>Review</v>
      </c>
    </row>
    <row r="17" spans="1:12" ht="51">
      <c r="A17" s="8" t="str">
        <f>TRIM(SUBSTITUTE(CLEAN(Raw_Data!A17),CHAR(160)," "))</f>
        <v>Abaji Local Government Area</v>
      </c>
      <c r="B17" s="8" t="str">
        <f t="array" ref="B17">TRIM(SUBSTITUTE(CLEAN(Raw_Data!B17),CHAR(160)," "))</f>
        <v>Pandagi Agyana Ward</v>
      </c>
      <c r="C17" s="8" t="str">
        <f t="array" ref="C17">TRIM(SUBSTITUTE(CLEAN(Raw_Data!C17),CHAR(160)," "))</f>
        <v>Agyana Primary Health Clinic</v>
      </c>
      <c r="D17" s="7">
        <f>COUNTA(Raw_Data!D17:CI17)</f>
        <v>65</v>
      </c>
      <c r="E17" s="7">
        <f t="shared" si="0"/>
        <v>19</v>
      </c>
      <c r="F17" s="9">
        <f>INDEX(tblParameters[Value],MATCH("ExpectedValues",tblParameters[Parameter],0))</f>
        <v>84</v>
      </c>
      <c r="G17" s="7">
        <f t="shared" si="1"/>
        <v>0.77380952380952384</v>
      </c>
      <c r="H17" s="7" t="str">
        <f>LOOKUP(G17,tblIndicatorScore[Min],tblIndicatorScore[Rating])</f>
        <v>Poor</v>
      </c>
      <c r="I17" s="7">
        <f>LOOKUP(G17,tblIndicatorScore[Min],tblIndicatorScore[Score])</f>
        <v>0</v>
      </c>
      <c r="J17" s="7" t="str">
        <f t="shared" si="2"/>
        <v>No</v>
      </c>
      <c r="K17" s="7" t="str">
        <f t="shared" si="3"/>
        <v>No</v>
      </c>
      <c r="L17" s="7" t="str">
        <f>IFERROR(
IF(K17="Yes","Incomplete",
IF(OR(
J17="Yes",
G17&lt;INDEX(tblParameters[Value],MATCH("MinimumAcceptCompleteness",tblParameters[Parameter],0))
),
"Review",
"Accept")),
"Parameter Error")</f>
        <v>Review</v>
      </c>
    </row>
    <row r="18" spans="1:12" ht="63.75">
      <c r="A18" s="8" t="str">
        <f>TRIM(SUBSTITUTE(CLEAN(Raw_Data!A18),CHAR(160)," "))</f>
        <v>Abuja Municipal Area Council</v>
      </c>
      <c r="B18" s="8" t="str">
        <f t="array" ref="B18">TRIM(SUBSTITUTE(CLEAN(Raw_Data!B18),CHAR(160)," "))</f>
        <v>Gui Ward</v>
      </c>
      <c r="C18" s="8" t="str">
        <f t="array" ref="C18">TRIM(SUBSTITUTE(CLEAN(Raw_Data!C18),CHAR(160)," "))</f>
        <v>Al-Nur Maternity Home (Iddo-Pada)</v>
      </c>
      <c r="D18" s="7">
        <f>COUNTA(Raw_Data!D18:CI18)</f>
        <v>29</v>
      </c>
      <c r="E18" s="7">
        <f t="shared" si="0"/>
        <v>55</v>
      </c>
      <c r="F18" s="9">
        <f>INDEX(tblParameters[Value],MATCH("ExpectedValues",tblParameters[Parameter],0))</f>
        <v>84</v>
      </c>
      <c r="G18" s="7">
        <f t="shared" si="1"/>
        <v>0.34523809523809523</v>
      </c>
      <c r="H18" s="7" t="str">
        <f>LOOKUP(G18,tblIndicatorScore[Min],tblIndicatorScore[Rating])</f>
        <v>Poor</v>
      </c>
      <c r="I18" s="7">
        <f>LOOKUP(G18,tblIndicatorScore[Min],tblIndicatorScore[Score])</f>
        <v>0</v>
      </c>
      <c r="J18" s="7" t="str">
        <f t="shared" si="2"/>
        <v>No</v>
      </c>
      <c r="K18" s="7" t="str">
        <f t="shared" si="3"/>
        <v>No</v>
      </c>
      <c r="L18" s="7" t="str">
        <f>IFERROR(
IF(K18="Yes","Incomplete",
IF(OR(
J18="Yes",
G18&lt;INDEX(tblParameters[Value],MATCH("MinimumAcceptCompleteness",tblParameters[Parameter],0))
),
"Review",
"Accept")),
"Parameter Error")</f>
        <v>Review</v>
      </c>
    </row>
    <row r="19" spans="1:12" ht="63.75">
      <c r="A19" s="8" t="str">
        <f>TRIM(SUBSTITUTE(CLEAN(Raw_Data!A19),CHAR(160)," "))</f>
        <v>Abuja Municipal Area Council</v>
      </c>
      <c r="B19" s="8" t="str">
        <f t="array" ref="B19">TRIM(SUBSTITUTE(CLEAN(Raw_Data!B19),CHAR(160)," "))</f>
        <v>Kabusa Ward</v>
      </c>
      <c r="C19" s="8" t="str">
        <f t="array" ref="C19">TRIM(SUBSTITUTE(CLEAN(Raw_Data!C19),CHAR(160)," "))</f>
        <v>Aleiyita Primary Health Care Centre</v>
      </c>
      <c r="D19" s="7">
        <f>COUNTA(Raw_Data!D19:CI19)</f>
        <v>59</v>
      </c>
      <c r="E19" s="7">
        <f t="shared" si="0"/>
        <v>25</v>
      </c>
      <c r="F19" s="9">
        <f>INDEX(tblParameters[Value],MATCH("ExpectedValues",tblParameters[Parameter],0))</f>
        <v>84</v>
      </c>
      <c r="G19" s="7">
        <f t="shared" si="1"/>
        <v>0.70238095238095233</v>
      </c>
      <c r="H19" s="7" t="str">
        <f>LOOKUP(G19,tblIndicatorScore[Min],tblIndicatorScore[Rating])</f>
        <v>Poor</v>
      </c>
      <c r="I19" s="7">
        <f>LOOKUP(G19,tblIndicatorScore[Min],tblIndicatorScore[Score])</f>
        <v>0</v>
      </c>
      <c r="J19" s="7" t="str">
        <f t="shared" si="2"/>
        <v>No</v>
      </c>
      <c r="K19" s="7" t="str">
        <f t="shared" si="3"/>
        <v>No</v>
      </c>
      <c r="L19" s="7" t="str">
        <f>IFERROR(
IF(K19="Yes","Incomplete",
IF(OR(
J19="Yes",
G19&lt;INDEX(tblParameters[Value],MATCH("MinimumAcceptCompleteness",tblParameters[Parameter],0))
),
"Review",
"Accept")),
"Parameter Error")</f>
        <v>Review</v>
      </c>
    </row>
    <row r="20" spans="1:12" ht="51">
      <c r="A20" s="8" t="str">
        <f>TRIM(SUBSTITUTE(CLEAN(Raw_Data!A20),CHAR(160)," "))</f>
        <v>Kuje Local Government Area</v>
      </c>
      <c r="B20" s="8" t="str">
        <f t="array" ref="B20">TRIM(SUBSTITUTE(CLEAN(Raw_Data!B20),CHAR(160)," "))</f>
        <v>Kuje Central Ward</v>
      </c>
      <c r="C20" s="8" t="str">
        <f t="array" ref="C20">TRIM(SUBSTITUTE(CLEAN(Raw_Data!C20),CHAR(160)," "))</f>
        <v>Alfad Specialist Clinic</v>
      </c>
      <c r="D20" s="7">
        <f>COUNTA(Raw_Data!D20:CI20)</f>
        <v>5</v>
      </c>
      <c r="E20" s="7">
        <f t="shared" si="0"/>
        <v>79</v>
      </c>
      <c r="F20" s="9">
        <f>INDEX(tblParameters[Value],MATCH("ExpectedValues",tblParameters[Parameter],0))</f>
        <v>84</v>
      </c>
      <c r="G20" s="7">
        <f t="shared" si="1"/>
        <v>5.9523809523809521E-2</v>
      </c>
      <c r="H20" s="7" t="str">
        <f>LOOKUP(G20,tblIndicatorScore[Min],tblIndicatorScore[Rating])</f>
        <v>Poor</v>
      </c>
      <c r="I20" s="7">
        <f>LOOKUP(G20,tblIndicatorScore[Min],tblIndicatorScore[Score])</f>
        <v>0</v>
      </c>
      <c r="J20" s="7" t="str">
        <f t="shared" si="2"/>
        <v>No</v>
      </c>
      <c r="K20" s="7" t="str">
        <f t="shared" si="3"/>
        <v>No</v>
      </c>
      <c r="L20" s="7" t="str">
        <f>IFERROR(
IF(K20="Yes","Incomplete",
IF(OR(
J20="Yes",
G20&lt;INDEX(tblParameters[Value],MATCH("MinimumAcceptCompleteness",tblParameters[Parameter],0))
),
"Review",
"Accept")),
"Parameter Error")</f>
        <v>Review</v>
      </c>
    </row>
    <row r="21" spans="1:12" ht="51">
      <c r="A21" s="8" t="str">
        <f>TRIM(SUBSTITUTE(CLEAN(Raw_Data!A21),CHAR(160)," "))</f>
        <v>Abuja Municipal Area Council</v>
      </c>
      <c r="B21" s="8" t="str">
        <f t="array" ref="B21">TRIM(SUBSTITUTE(CLEAN(Raw_Data!B21),CHAR(160)," "))</f>
        <v>City Centre Ward</v>
      </c>
      <c r="C21" s="8" t="str">
        <f t="array" ref="C21">TRIM(SUBSTITUTE(CLEAN(Raw_Data!C21),CHAR(160)," "))</f>
        <v>Alliance Clinic</v>
      </c>
      <c r="D21" s="7">
        <f>COUNTA(Raw_Data!D21:CI21)</f>
        <v>63</v>
      </c>
      <c r="E21" s="7">
        <f t="shared" si="0"/>
        <v>21</v>
      </c>
      <c r="F21" s="9">
        <f>INDEX(tblParameters[Value],MATCH("ExpectedValues",tblParameters[Parameter],0))</f>
        <v>84</v>
      </c>
      <c r="G21" s="7">
        <f t="shared" si="1"/>
        <v>0.75</v>
      </c>
      <c r="H21" s="7" t="str">
        <f>LOOKUP(G21,tblIndicatorScore[Min],tblIndicatorScore[Rating])</f>
        <v>Poor</v>
      </c>
      <c r="I21" s="7">
        <f>LOOKUP(G21,tblIndicatorScore[Min],tblIndicatorScore[Score])</f>
        <v>0</v>
      </c>
      <c r="J21" s="7" t="str">
        <f t="shared" si="2"/>
        <v>No</v>
      </c>
      <c r="K21" s="7" t="str">
        <f t="shared" si="3"/>
        <v>No</v>
      </c>
      <c r="L21" s="7" t="str">
        <f>IFERROR(
IF(K21="Yes","Incomplete",
IF(OR(
J21="Yes",
G21&lt;INDEX(tblParameters[Value],MATCH("MinimumAcceptCompleteness",tblParameters[Parameter],0))
),
"Review",
"Accept")),
"Parameter Error")</f>
        <v>Review</v>
      </c>
    </row>
    <row r="22" spans="1:12" ht="114.75">
      <c r="A22" s="8" t="str">
        <f>TRIM(SUBSTITUTE(CLEAN(Raw_Data!A22),CHAR(160)," "))</f>
        <v>Gwagwalada Local Government Area</v>
      </c>
      <c r="B22" s="8" t="str">
        <f t="array" ref="B22">TRIM(SUBSTITUTE(CLEAN(Raw_Data!B22),CHAR(160)," "))</f>
        <v>Quarters Ward</v>
      </c>
      <c r="C22" s="8" t="str">
        <f t="array" ref="C22">TRIM(SUBSTITUTE(CLEAN(Raw_Data!C22),CHAR(160)," "))</f>
        <v>Allied Specialist Hospital and Diagnostic Center Ltd Gwagwalada</v>
      </c>
      <c r="D22" s="7">
        <f>COUNTA(Raw_Data!D22:CI22)</f>
        <v>13</v>
      </c>
      <c r="E22" s="7">
        <f t="shared" si="0"/>
        <v>71</v>
      </c>
      <c r="F22" s="9">
        <f>INDEX(tblParameters[Value],MATCH("ExpectedValues",tblParameters[Parameter],0))</f>
        <v>84</v>
      </c>
      <c r="G22" s="7">
        <f t="shared" si="1"/>
        <v>0.15476190476190477</v>
      </c>
      <c r="H22" s="7" t="str">
        <f>LOOKUP(G22,tblIndicatorScore[Min],tblIndicatorScore[Rating])</f>
        <v>Poor</v>
      </c>
      <c r="I22" s="7">
        <f>LOOKUP(G22,tblIndicatorScore[Min],tblIndicatorScore[Score])</f>
        <v>0</v>
      </c>
      <c r="J22" s="7" t="str">
        <f t="shared" si="2"/>
        <v>No</v>
      </c>
      <c r="K22" s="7" t="str">
        <f t="shared" si="3"/>
        <v>No</v>
      </c>
      <c r="L22" s="7" t="str">
        <f>IFERROR(
IF(K22="Yes","Incomplete",
IF(OR(
J22="Yes",
G22&lt;INDEX(tblParameters[Value],MATCH("MinimumAcceptCompleteness",tblParameters[Parameter],0))
),
"Review",
"Accept")),
"Parameter Error")</f>
        <v>Review</v>
      </c>
    </row>
    <row r="23" spans="1:12" ht="51">
      <c r="A23" s="8" t="str">
        <f>TRIM(SUBSTITUTE(CLEAN(Raw_Data!A23),CHAR(160)," "))</f>
        <v>Kuje Local Government Area</v>
      </c>
      <c r="B23" s="8" t="str">
        <f t="array" ref="B23">TRIM(SUBSTITUTE(CLEAN(Raw_Data!B23),CHAR(160)," "))</f>
        <v>Chibiri Ward</v>
      </c>
      <c r="C23" s="8" t="str">
        <f t="array" ref="C23">TRIM(SUBSTITUTE(CLEAN(Raw_Data!C23),CHAR(160)," "))</f>
        <v>Allison Clinic and Maternity</v>
      </c>
      <c r="D23" s="7">
        <f>COUNTA(Raw_Data!D23:CI23)</f>
        <v>20</v>
      </c>
      <c r="E23" s="7">
        <f t="shared" si="0"/>
        <v>64</v>
      </c>
      <c r="F23" s="9">
        <f>INDEX(tblParameters[Value],MATCH("ExpectedValues",tblParameters[Parameter],0))</f>
        <v>84</v>
      </c>
      <c r="G23" s="7">
        <f t="shared" si="1"/>
        <v>0.23809523809523808</v>
      </c>
      <c r="H23" s="7" t="str">
        <f>LOOKUP(G23,tblIndicatorScore[Min],tblIndicatorScore[Rating])</f>
        <v>Poor</v>
      </c>
      <c r="I23" s="7">
        <f>LOOKUP(G23,tblIndicatorScore[Min],tblIndicatorScore[Score])</f>
        <v>0</v>
      </c>
      <c r="J23" s="7" t="str">
        <f t="shared" si="2"/>
        <v>No</v>
      </c>
      <c r="K23" s="7" t="str">
        <f t="shared" si="3"/>
        <v>No</v>
      </c>
      <c r="L23" s="7" t="str">
        <f>IFERROR(
IF(K23="Yes","Incomplete",
IF(OR(
J23="Yes",
G23&lt;INDEX(tblParameters[Value],MATCH("MinimumAcceptCompleteness",tblParameters[Parameter],0))
),
"Review",
"Accept")),
"Parameter Error")</f>
        <v>Review</v>
      </c>
    </row>
    <row r="24" spans="1:12" ht="76.5">
      <c r="A24" s="8" t="str">
        <f>TRIM(SUBSTITUTE(CLEAN(Raw_Data!A24),CHAR(160)," "))</f>
        <v>Abaji Local Government Area</v>
      </c>
      <c r="B24" s="8" t="str">
        <f t="array" ref="B24">TRIM(SUBSTITUTE(CLEAN(Raw_Data!B24),CHAR(160)," "))</f>
        <v>Gawu Ward</v>
      </c>
      <c r="C24" s="8" t="str">
        <f t="array" ref="C24">TRIM(SUBSTITUTE(CLEAN(Raw_Data!C24),CHAR(160)," "))</f>
        <v>Almadinatu-Nibrass Primary Health Clinic</v>
      </c>
      <c r="D24" s="7">
        <f>COUNTA(Raw_Data!D24:CI24)</f>
        <v>47</v>
      </c>
      <c r="E24" s="7">
        <f t="shared" si="0"/>
        <v>37</v>
      </c>
      <c r="F24" s="9">
        <f>INDEX(tblParameters[Value],MATCH("ExpectedValues",tblParameters[Parameter],0))</f>
        <v>84</v>
      </c>
      <c r="G24" s="7">
        <f t="shared" si="1"/>
        <v>0.55952380952380953</v>
      </c>
      <c r="H24" s="7" t="str">
        <f>LOOKUP(G24,tblIndicatorScore[Min],tblIndicatorScore[Rating])</f>
        <v>Poor</v>
      </c>
      <c r="I24" s="7">
        <f>LOOKUP(G24,tblIndicatorScore[Min],tblIndicatorScore[Score])</f>
        <v>0</v>
      </c>
      <c r="J24" s="7" t="str">
        <f t="shared" si="2"/>
        <v>No</v>
      </c>
      <c r="K24" s="7" t="str">
        <f t="shared" si="3"/>
        <v>No</v>
      </c>
      <c r="L24" s="7" t="str">
        <f>IFERROR(
IF(K24="Yes","Incomplete",
IF(OR(
J24="Yes",
G24&lt;INDEX(tblParameters[Value],MATCH("MinimumAcceptCompleteness",tblParameters[Parameter],0))
),
"Review",
"Accept")),
"Parameter Error")</f>
        <v>Review</v>
      </c>
    </row>
    <row r="25" spans="1:12" ht="51">
      <c r="A25" s="8" t="str">
        <f>TRIM(SUBSTITUTE(CLEAN(Raw_Data!A25),CHAR(160)," "))</f>
        <v>Abuja Municipal Area Council</v>
      </c>
      <c r="B25" s="8" t="str">
        <f t="array" ref="B25">TRIM(SUBSTITUTE(CLEAN(Raw_Data!B25),CHAR(160)," "))</f>
        <v>Karu Ward</v>
      </c>
      <c r="C25" s="8" t="str">
        <f t="array" ref="C25">TRIM(SUBSTITUTE(CLEAN(Raw_Data!C25),CHAR(160)," "))</f>
        <v>Alpha Clinic</v>
      </c>
      <c r="D25" s="7">
        <f>COUNTA(Raw_Data!D25:CI25)</f>
        <v>7</v>
      </c>
      <c r="E25" s="7">
        <f t="shared" si="0"/>
        <v>77</v>
      </c>
      <c r="F25" s="9">
        <f>INDEX(tblParameters[Value],MATCH("ExpectedValues",tblParameters[Parameter],0))</f>
        <v>84</v>
      </c>
      <c r="G25" s="7">
        <f t="shared" si="1"/>
        <v>8.3333333333333329E-2</v>
      </c>
      <c r="H25" s="7" t="str">
        <f>LOOKUP(G25,tblIndicatorScore[Min],tblIndicatorScore[Rating])</f>
        <v>Poor</v>
      </c>
      <c r="I25" s="7">
        <f>LOOKUP(G25,tblIndicatorScore[Min],tblIndicatorScore[Score])</f>
        <v>0</v>
      </c>
      <c r="J25" s="7" t="str">
        <f t="shared" si="2"/>
        <v>No</v>
      </c>
      <c r="K25" s="7" t="str">
        <f t="shared" si="3"/>
        <v>No</v>
      </c>
      <c r="L25" s="7" t="str">
        <f>IFERROR(
IF(K25="Yes","Incomplete",
IF(OR(
J25="Yes",
G25&lt;INDEX(tblParameters[Value],MATCH("MinimumAcceptCompleteness",tblParameters[Parameter],0))
),
"Review",
"Accept")),
"Parameter Error")</f>
        <v>Review</v>
      </c>
    </row>
    <row r="26" spans="1:12" ht="51">
      <c r="A26" s="8" t="str">
        <f>TRIM(SUBSTITUTE(CLEAN(Raw_Data!A26),CHAR(160)," "))</f>
        <v>Gwagwalada Local Government Area</v>
      </c>
      <c r="B26" s="8" t="str">
        <f t="array" ref="B26">TRIM(SUBSTITUTE(CLEAN(Raw_Data!B26),CHAR(160)," "))</f>
        <v>Tungan Maje Ward</v>
      </c>
      <c r="C26" s="8" t="str">
        <f t="array" ref="C26">TRIM(SUBSTITUTE(CLEAN(Raw_Data!C26),CHAR(160)," "))</f>
        <v>Anagada Health Clinic</v>
      </c>
      <c r="D26" s="7">
        <f>COUNTA(Raw_Data!D26:CI26)</f>
        <v>42</v>
      </c>
      <c r="E26" s="7">
        <f t="shared" si="0"/>
        <v>42</v>
      </c>
      <c r="F26" s="9">
        <f>INDEX(tblParameters[Value],MATCH("ExpectedValues",tblParameters[Parameter],0))</f>
        <v>84</v>
      </c>
      <c r="G26" s="7">
        <f t="shared" si="1"/>
        <v>0.5</v>
      </c>
      <c r="H26" s="7" t="str">
        <f>LOOKUP(G26,tblIndicatorScore[Min],tblIndicatorScore[Rating])</f>
        <v>Poor</v>
      </c>
      <c r="I26" s="7">
        <f>LOOKUP(G26,tblIndicatorScore[Min],tblIndicatorScore[Score])</f>
        <v>0</v>
      </c>
      <c r="J26" s="7" t="str">
        <f t="shared" si="2"/>
        <v>No</v>
      </c>
      <c r="K26" s="7" t="str">
        <f t="shared" si="3"/>
        <v>No</v>
      </c>
      <c r="L26" s="7" t="str">
        <f>IFERROR(
IF(K26="Yes","Incomplete",
IF(OR(
J26="Yes",
G26&lt;INDEX(tblParameters[Value],MATCH("MinimumAcceptCompleteness",tblParameters[Parameter],0))
),
"Review",
"Accept")),
"Parameter Error")</f>
        <v>Review</v>
      </c>
    </row>
    <row r="27" spans="1:12" ht="63.75">
      <c r="A27" s="8" t="str">
        <f>TRIM(SUBSTITUTE(CLEAN(Raw_Data!A27),CHAR(160)," "))</f>
        <v>Gwagwalada Local Government Area</v>
      </c>
      <c r="B27" s="8" t="str">
        <f t="array" ref="B27">TRIM(SUBSTITUTE(CLEAN(Raw_Data!B27),CHAR(160)," "))</f>
        <v>Central Ward</v>
      </c>
      <c r="C27" s="8" t="str">
        <f t="array" ref="C27">TRIM(SUBSTITUTE(CLEAN(Raw_Data!C27),CHAR(160)," "))</f>
        <v>Anguwa Dodo Primary Health Centre</v>
      </c>
      <c r="D27" s="7">
        <f>COUNTA(Raw_Data!D27:CI27)</f>
        <v>59</v>
      </c>
      <c r="E27" s="7">
        <f t="shared" si="0"/>
        <v>25</v>
      </c>
      <c r="F27" s="9">
        <f>INDEX(tblParameters[Value],MATCH("ExpectedValues",tblParameters[Parameter],0))</f>
        <v>84</v>
      </c>
      <c r="G27" s="7">
        <f t="shared" si="1"/>
        <v>0.70238095238095233</v>
      </c>
      <c r="H27" s="7" t="str">
        <f>LOOKUP(G27,tblIndicatorScore[Min],tblIndicatorScore[Rating])</f>
        <v>Poor</v>
      </c>
      <c r="I27" s="7">
        <f>LOOKUP(G27,tblIndicatorScore[Min],tblIndicatorScore[Score])</f>
        <v>0</v>
      </c>
      <c r="J27" s="7" t="str">
        <f t="shared" si="2"/>
        <v>No</v>
      </c>
      <c r="K27" s="7" t="str">
        <f t="shared" si="3"/>
        <v>No</v>
      </c>
      <c r="L27" s="7" t="str">
        <f>IFERROR(
IF(K27="Yes","Incomplete",
IF(OR(
J27="Yes",
G27&lt;INDEX(tblParameters[Value],MATCH("MinimumAcceptCompleteness",tblParameters[Parameter],0))
),
"Review",
"Accept")),
"Parameter Error")</f>
        <v>Review</v>
      </c>
    </row>
    <row r="28" spans="1:12" ht="51">
      <c r="A28" s="8" t="str">
        <f>TRIM(SUBSTITUTE(CLEAN(Raw_Data!A28),CHAR(160)," "))</f>
        <v>Abuja Municipal Area Council</v>
      </c>
      <c r="B28" s="8" t="str">
        <f t="array" ref="B28">TRIM(SUBSTITUTE(CLEAN(Raw_Data!B28),CHAR(160)," "))</f>
        <v>Garki Ward</v>
      </c>
      <c r="C28" s="8" t="str">
        <f t="array" ref="C28">TRIM(SUBSTITUTE(CLEAN(Raw_Data!C28),CHAR(160)," "))</f>
        <v>Apo Primary Health Centre</v>
      </c>
      <c r="D28" s="7">
        <f>COUNTA(Raw_Data!D28:CI28)</f>
        <v>67</v>
      </c>
      <c r="E28" s="7">
        <f t="shared" si="0"/>
        <v>17</v>
      </c>
      <c r="F28" s="9">
        <f>INDEX(tblParameters[Value],MATCH("ExpectedValues",tblParameters[Parameter],0))</f>
        <v>84</v>
      </c>
      <c r="G28" s="7">
        <f t="shared" si="1"/>
        <v>0.79761904761904767</v>
      </c>
      <c r="H28" s="7" t="str">
        <f>LOOKUP(G28,tblIndicatorScore[Min],tblIndicatorScore[Rating])</f>
        <v>Poor</v>
      </c>
      <c r="I28" s="7">
        <f>LOOKUP(G28,tblIndicatorScore[Min],tblIndicatorScore[Score])</f>
        <v>0</v>
      </c>
      <c r="J28" s="7" t="str">
        <f t="shared" si="2"/>
        <v>No</v>
      </c>
      <c r="K28" s="7" t="str">
        <f t="shared" si="3"/>
        <v>No</v>
      </c>
      <c r="L28" s="7" t="str">
        <f>IFERROR(
IF(K28="Yes","Incomplete",
IF(OR(
J28="Yes",
G28&lt;INDEX(tblParameters[Value],MATCH("MinimumAcceptCompleteness",tblParameters[Parameter],0))
),
"Review",
"Accept")),
"Parameter Error")</f>
        <v>Review</v>
      </c>
    </row>
    <row r="29" spans="1:12" ht="51">
      <c r="A29" s="8" t="str">
        <f>TRIM(SUBSTITUTE(CLEAN(Raw_Data!A29),CHAR(160)," "))</f>
        <v>Abuja Municipal Area Council</v>
      </c>
      <c r="B29" s="8" t="str">
        <f t="array" ref="B29">TRIM(SUBSTITUTE(CLEAN(Raw_Data!B29),CHAR(160)," "))</f>
        <v>Karu Ward</v>
      </c>
      <c r="C29" s="8" t="str">
        <f t="array" ref="C29">TRIM(SUBSTITUTE(CLEAN(Raw_Data!C29),CHAR(160)," "))</f>
        <v>Arewa Clinic and Maternity</v>
      </c>
      <c r="D29" s="7">
        <f>COUNTA(Raw_Data!D29:CI29)</f>
        <v>5</v>
      </c>
      <c r="E29" s="7">
        <f t="shared" si="0"/>
        <v>79</v>
      </c>
      <c r="F29" s="9">
        <f>INDEX(tblParameters[Value],MATCH("ExpectedValues",tblParameters[Parameter],0))</f>
        <v>84</v>
      </c>
      <c r="G29" s="7">
        <f t="shared" si="1"/>
        <v>5.9523809523809521E-2</v>
      </c>
      <c r="H29" s="7" t="str">
        <f>LOOKUP(G29,tblIndicatorScore[Min],tblIndicatorScore[Rating])</f>
        <v>Poor</v>
      </c>
      <c r="I29" s="7">
        <f>LOOKUP(G29,tblIndicatorScore[Min],tblIndicatorScore[Score])</f>
        <v>0</v>
      </c>
      <c r="J29" s="7" t="str">
        <f t="shared" si="2"/>
        <v>No</v>
      </c>
      <c r="K29" s="7" t="str">
        <f t="shared" si="3"/>
        <v>No</v>
      </c>
      <c r="L29" s="7" t="str">
        <f>IFERROR(
IF(K29="Yes","Incomplete",
IF(OR(
J29="Yes",
G29&lt;INDEX(tblParameters[Value],MATCH("MinimumAcceptCompleteness",tblParameters[Parameter],0))
),
"Review",
"Accept")),
"Parameter Error")</f>
        <v>Review</v>
      </c>
    </row>
    <row r="30" spans="1:12" ht="51">
      <c r="A30" s="8" t="str">
        <f>TRIM(SUBSTITUTE(CLEAN(Raw_Data!A30),CHAR(160)," "))</f>
        <v>Gwagwalada Local Government Area</v>
      </c>
      <c r="B30" s="8" t="str">
        <f t="array" ref="B30">TRIM(SUBSTITUTE(CLEAN(Raw_Data!B30),CHAR(160)," "))</f>
        <v>Ibwa Ward</v>
      </c>
      <c r="C30" s="8" t="str">
        <f t="array" ref="C30">TRIM(SUBSTITUTE(CLEAN(Raw_Data!C30),CHAR(160)," "))</f>
        <v>Army Barrack Health Centre</v>
      </c>
      <c r="D30" s="7">
        <f>COUNTA(Raw_Data!D30:CI30)</f>
        <v>47</v>
      </c>
      <c r="E30" s="7">
        <f t="shared" si="0"/>
        <v>37</v>
      </c>
      <c r="F30" s="9">
        <f>INDEX(tblParameters[Value],MATCH("ExpectedValues",tblParameters[Parameter],0))</f>
        <v>84</v>
      </c>
      <c r="G30" s="7">
        <f t="shared" si="1"/>
        <v>0.55952380952380953</v>
      </c>
      <c r="H30" s="7" t="str">
        <f>LOOKUP(G30,tblIndicatorScore[Min],tblIndicatorScore[Rating])</f>
        <v>Poor</v>
      </c>
      <c r="I30" s="7">
        <f>LOOKUP(G30,tblIndicatorScore[Min],tblIndicatorScore[Score])</f>
        <v>0</v>
      </c>
      <c r="J30" s="7" t="str">
        <f t="shared" si="2"/>
        <v>No</v>
      </c>
      <c r="K30" s="7" t="str">
        <f t="shared" si="3"/>
        <v>No</v>
      </c>
      <c r="L30" s="7" t="str">
        <f>IFERROR(
IF(K30="Yes","Incomplete",
IF(OR(
J30="Yes",
G30&lt;INDEX(tblParameters[Value],MATCH("MinimumAcceptCompleteness",tblParameters[Parameter],0))
),
"Review",
"Accept")),
"Parameter Error")</f>
        <v>Review</v>
      </c>
    </row>
    <row r="31" spans="1:12" ht="51">
      <c r="A31" s="8" t="str">
        <f>TRIM(SUBSTITUTE(CLEAN(Raw_Data!A31),CHAR(160)," "))</f>
        <v>Kwali Local Government Area</v>
      </c>
      <c r="B31" s="8" t="str">
        <f t="array" ref="B31">TRIM(SUBSTITUTE(CLEAN(Raw_Data!B31),CHAR(160)," "))</f>
        <v>Ashara Ward</v>
      </c>
      <c r="C31" s="8" t="str">
        <f t="array" ref="C31">TRIM(SUBSTITUTE(CLEAN(Raw_Data!C31),CHAR(160)," "))</f>
        <v>Ashara Basic Health Clinic</v>
      </c>
      <c r="D31" s="7">
        <f>COUNTA(Raw_Data!D31:CI31)</f>
        <v>56</v>
      </c>
      <c r="E31" s="7">
        <f t="shared" si="0"/>
        <v>28</v>
      </c>
      <c r="F31" s="9">
        <f>INDEX(tblParameters[Value],MATCH("ExpectedValues",tblParameters[Parameter],0))</f>
        <v>84</v>
      </c>
      <c r="G31" s="7">
        <f t="shared" si="1"/>
        <v>0.66666666666666663</v>
      </c>
      <c r="H31" s="7" t="str">
        <f>LOOKUP(G31,tblIndicatorScore[Min],tblIndicatorScore[Rating])</f>
        <v>Poor</v>
      </c>
      <c r="I31" s="7">
        <f>LOOKUP(G31,tblIndicatorScore[Min],tblIndicatorScore[Score])</f>
        <v>0</v>
      </c>
      <c r="J31" s="7" t="str">
        <f t="shared" si="2"/>
        <v>No</v>
      </c>
      <c r="K31" s="7" t="str">
        <f t="shared" si="3"/>
        <v>No</v>
      </c>
      <c r="L31" s="7" t="str">
        <f>IFERROR(
IF(K31="Yes","Incomplete",
IF(OR(
J31="Yes",
G31&lt;INDEX(tblParameters[Value],MATCH("MinimumAcceptCompleteness",tblParameters[Parameter],0))
),
"Review",
"Accept")),
"Parameter Error")</f>
        <v>Review</v>
      </c>
    </row>
    <row r="32" spans="1:12" ht="51">
      <c r="A32" s="8" t="str">
        <f>TRIM(SUBSTITUTE(CLEAN(Raw_Data!A32),CHAR(160)," "))</f>
        <v>Abuja Municipal Area Council</v>
      </c>
      <c r="B32" s="8" t="str">
        <f t="array" ref="B32">TRIM(SUBSTITUTE(CLEAN(Raw_Data!B32),CHAR(160)," "))</f>
        <v>City Centre Ward</v>
      </c>
      <c r="C32" s="8" t="str">
        <f t="array" ref="C32">TRIM(SUBSTITUTE(CLEAN(Raw_Data!C32),CHAR(160)," "))</f>
        <v>Asokoro General Hospital</v>
      </c>
      <c r="D32" s="7">
        <f>COUNTA(Raw_Data!D32:CI32)</f>
        <v>44</v>
      </c>
      <c r="E32" s="7">
        <f t="shared" si="0"/>
        <v>40</v>
      </c>
      <c r="F32" s="9">
        <f>INDEX(tblParameters[Value],MATCH("ExpectedValues",tblParameters[Parameter],0))</f>
        <v>84</v>
      </c>
      <c r="G32" s="7">
        <f t="shared" si="1"/>
        <v>0.52380952380952384</v>
      </c>
      <c r="H32" s="7" t="str">
        <f>LOOKUP(G32,tblIndicatorScore[Min],tblIndicatorScore[Rating])</f>
        <v>Poor</v>
      </c>
      <c r="I32" s="7">
        <f>LOOKUP(G32,tblIndicatorScore[Min],tblIndicatorScore[Score])</f>
        <v>0</v>
      </c>
      <c r="J32" s="7" t="str">
        <f t="shared" si="2"/>
        <v>No</v>
      </c>
      <c r="K32" s="7" t="str">
        <f t="shared" si="3"/>
        <v>No</v>
      </c>
      <c r="L32" s="7" t="str">
        <f>IFERROR(
IF(K32="Yes","Incomplete",
IF(OR(
J32="Yes",
G32&lt;INDEX(tblParameters[Value],MATCH("MinimumAcceptCompleteness",tblParameters[Parameter],0))
),
"Review",
"Accept")),
"Parameter Error")</f>
        <v>Review</v>
      </c>
    </row>
    <row r="33" spans="1:12" ht="51">
      <c r="A33" s="8" t="str">
        <f>TRIM(SUBSTITUTE(CLEAN(Raw_Data!A33),CHAR(160)," "))</f>
        <v>Bwari Local Government Area</v>
      </c>
      <c r="B33" s="8" t="str">
        <f t="array" ref="B33">TRIM(SUBSTITUTE(CLEAN(Raw_Data!B33),CHAR(160)," "))</f>
        <v>Dutse Ward</v>
      </c>
      <c r="C33" s="8" t="str">
        <f t="array" ref="C33">TRIM(SUBSTITUTE(CLEAN(Raw_Data!C33),CHAR(160)," "))</f>
        <v>Aujo Clinic and Maternity</v>
      </c>
      <c r="D33" s="7">
        <f>COUNTA(Raw_Data!D33:CI33)</f>
        <v>12</v>
      </c>
      <c r="E33" s="7">
        <f t="shared" si="0"/>
        <v>72</v>
      </c>
      <c r="F33" s="9">
        <f>INDEX(tblParameters[Value],MATCH("ExpectedValues",tblParameters[Parameter],0))</f>
        <v>84</v>
      </c>
      <c r="G33" s="7">
        <f t="shared" si="1"/>
        <v>0.14285714285714285</v>
      </c>
      <c r="H33" s="7" t="str">
        <f>LOOKUP(G33,tblIndicatorScore[Min],tblIndicatorScore[Rating])</f>
        <v>Poor</v>
      </c>
      <c r="I33" s="7">
        <f>LOOKUP(G33,tblIndicatorScore[Min],tblIndicatorScore[Score])</f>
        <v>0</v>
      </c>
      <c r="J33" s="7" t="str">
        <f t="shared" si="2"/>
        <v>No</v>
      </c>
      <c r="K33" s="7" t="str">
        <f t="shared" si="3"/>
        <v>No</v>
      </c>
      <c r="L33" s="7" t="str">
        <f>IFERROR(
IF(K33="Yes","Incomplete",
IF(OR(
J33="Yes",
G33&lt;INDEX(tblParameters[Value],MATCH("MinimumAcceptCompleteness",tblParameters[Parameter],0))
),
"Review",
"Accept")),
"Parameter Error")</f>
        <v>Review</v>
      </c>
    </row>
    <row r="34" spans="1:12" ht="51">
      <c r="A34" s="8" t="str">
        <f>TRIM(SUBSTITUTE(CLEAN(Raw_Data!A34),CHAR(160)," "))</f>
        <v>Abaji Local Government Area</v>
      </c>
      <c r="B34" s="8" t="str">
        <f t="array" ref="B34">TRIM(SUBSTITUTE(CLEAN(Raw_Data!B34),CHAR(160)," "))</f>
        <v>North East Ward</v>
      </c>
      <c r="C34" s="8" t="str">
        <f t="array" ref="C34">TRIM(SUBSTITUTE(CLEAN(Raw_Data!C34),CHAR(160)," "))</f>
        <v>Ayaura Primary Health Centre</v>
      </c>
      <c r="D34" s="7">
        <f>COUNTA(Raw_Data!D34:CI34)</f>
        <v>73</v>
      </c>
      <c r="E34" s="7">
        <f t="shared" si="0"/>
        <v>11</v>
      </c>
      <c r="F34" s="9">
        <f>INDEX(tblParameters[Value],MATCH("ExpectedValues",tblParameters[Parameter],0))</f>
        <v>84</v>
      </c>
      <c r="G34" s="7">
        <f t="shared" si="1"/>
        <v>0.86904761904761907</v>
      </c>
      <c r="H34" s="7" t="str">
        <f>LOOKUP(G34,tblIndicatorScore[Min],tblIndicatorScore[Rating])</f>
        <v>Fair</v>
      </c>
      <c r="I34" s="7">
        <f>LOOKUP(G34,tblIndicatorScore[Min],tblIndicatorScore[Score])</f>
        <v>1</v>
      </c>
      <c r="J34" s="7" t="str">
        <f t="shared" si="2"/>
        <v>No</v>
      </c>
      <c r="K34" s="7" t="str">
        <f t="shared" si="3"/>
        <v>No</v>
      </c>
      <c r="L34" s="7" t="str">
        <f>IFERROR(
IF(K34="Yes","Incomplete",
IF(OR(
J34="Yes",
G34&lt;INDEX(tblParameters[Value],MATCH("MinimumAcceptCompleteness",tblParameters[Parameter],0))
),
"Review",
"Accept")),
"Parameter Error")</f>
        <v>Review</v>
      </c>
    </row>
    <row r="35" spans="1:12" ht="51">
      <c r="A35" s="8" t="str">
        <f>TRIM(SUBSTITUTE(CLEAN(Raw_Data!A35),CHAR(160)," "))</f>
        <v>Kwali Local Government Area</v>
      </c>
      <c r="B35" s="8" t="str">
        <f t="array" ref="B35">TRIM(SUBSTITUTE(CLEAN(Raw_Data!B35),CHAR(160)," "))</f>
        <v>Pai Ward</v>
      </c>
      <c r="C35" s="8" t="str">
        <f t="array" ref="C35">TRIM(SUBSTITUTE(CLEAN(Raw_Data!C35),CHAR(160)," "))</f>
        <v>Bako Health Clinic</v>
      </c>
      <c r="D35" s="7">
        <f>COUNTA(Raw_Data!D35:CI35)</f>
        <v>56</v>
      </c>
      <c r="E35" s="7">
        <f t="shared" si="0"/>
        <v>28</v>
      </c>
      <c r="F35" s="9">
        <f>INDEX(tblParameters[Value],MATCH("ExpectedValues",tblParameters[Parameter],0))</f>
        <v>84</v>
      </c>
      <c r="G35" s="7">
        <f t="shared" si="1"/>
        <v>0.66666666666666663</v>
      </c>
      <c r="H35" s="7" t="str">
        <f>LOOKUP(G35,tblIndicatorScore[Min],tblIndicatorScore[Rating])</f>
        <v>Poor</v>
      </c>
      <c r="I35" s="7">
        <f>LOOKUP(G35,tblIndicatorScore[Min],tblIndicatorScore[Score])</f>
        <v>0</v>
      </c>
      <c r="J35" s="7" t="str">
        <f t="shared" si="2"/>
        <v>No</v>
      </c>
      <c r="K35" s="7" t="str">
        <f t="shared" si="3"/>
        <v>No</v>
      </c>
      <c r="L35" s="7" t="str">
        <f>IFERROR(
IF(K35="Yes","Incomplete",
IF(OR(
J35="Yes",
G35&lt;INDEX(tblParameters[Value],MATCH("MinimumAcceptCompleteness",tblParameters[Parameter],0))
),
"Review",
"Accept")),
"Parameter Error")</f>
        <v>Review</v>
      </c>
    </row>
    <row r="36" spans="1:12" ht="63.75">
      <c r="A36" s="8" t="str">
        <f>TRIM(SUBSTITUTE(CLEAN(Raw_Data!A36),CHAR(160)," "))</f>
        <v>Kwali Local Government Area</v>
      </c>
      <c r="B36" s="8" t="str">
        <f t="array" ref="B36">TRIM(SUBSTITUTE(CLEAN(Raw_Data!B36),CHAR(160)," "))</f>
        <v>Pai Ward</v>
      </c>
      <c r="C36" s="8" t="str">
        <f t="array" ref="C36">TRIM(SUBSTITUTE(CLEAN(Raw_Data!C36),CHAR(160)," "))</f>
        <v>Bako Wisdom Clinic and Maternity Home</v>
      </c>
      <c r="D36" s="7">
        <f>COUNTA(Raw_Data!D36:CI36)</f>
        <v>15</v>
      </c>
      <c r="E36" s="7">
        <f t="shared" si="0"/>
        <v>69</v>
      </c>
      <c r="F36" s="9">
        <f>INDEX(tblParameters[Value],MATCH("ExpectedValues",tblParameters[Parameter],0))</f>
        <v>84</v>
      </c>
      <c r="G36" s="7">
        <f t="shared" si="1"/>
        <v>0.17857142857142858</v>
      </c>
      <c r="H36" s="7" t="str">
        <f>LOOKUP(G36,tblIndicatorScore[Min],tblIndicatorScore[Rating])</f>
        <v>Poor</v>
      </c>
      <c r="I36" s="7">
        <f>LOOKUP(G36,tblIndicatorScore[Min],tblIndicatorScore[Score])</f>
        <v>0</v>
      </c>
      <c r="J36" s="7" t="str">
        <f t="shared" si="2"/>
        <v>No</v>
      </c>
      <c r="K36" s="7" t="str">
        <f t="shared" si="3"/>
        <v>No</v>
      </c>
      <c r="L36" s="7" t="str">
        <f>IFERROR(
IF(K36="Yes","Incomplete",
IF(OR(
J36="Yes",
G36&lt;INDEX(tblParameters[Value],MATCH("MinimumAcceptCompleteness",tblParameters[Parameter],0))
),
"Review",
"Accept")),
"Parameter Error")</f>
        <v>Review</v>
      </c>
    </row>
    <row r="37" spans="1:12" ht="51">
      <c r="A37" s="8" t="str">
        <f>TRIM(SUBSTITUTE(CLEAN(Raw_Data!A37),CHAR(160)," "))</f>
        <v>Bwari Local Government Area</v>
      </c>
      <c r="B37" s="8" t="str">
        <f t="array" ref="B37">TRIM(SUBSTITUTE(CLEAN(Raw_Data!B37),CHAR(160)," "))</f>
        <v>Bwari Central Ward</v>
      </c>
      <c r="C37" s="8" t="str">
        <f t="array" ref="C37">TRIM(SUBSTITUTE(CLEAN(Raw_Data!C37),CHAR(160)," "))</f>
        <v>Barangoni Primariy Health Clinic</v>
      </c>
      <c r="D37" s="7">
        <f>COUNTA(Raw_Data!D37:CI37)</f>
        <v>58</v>
      </c>
      <c r="E37" s="7">
        <f t="shared" si="0"/>
        <v>26</v>
      </c>
      <c r="F37" s="9">
        <f>INDEX(tblParameters[Value],MATCH("ExpectedValues",tblParameters[Parameter],0))</f>
        <v>84</v>
      </c>
      <c r="G37" s="7">
        <f t="shared" si="1"/>
        <v>0.69047619047619047</v>
      </c>
      <c r="H37" s="7" t="str">
        <f>LOOKUP(G37,tblIndicatorScore[Min],tblIndicatorScore[Rating])</f>
        <v>Poor</v>
      </c>
      <c r="I37" s="7">
        <f>LOOKUP(G37,tblIndicatorScore[Min],tblIndicatorScore[Score])</f>
        <v>0</v>
      </c>
      <c r="J37" s="7" t="str">
        <f t="shared" si="2"/>
        <v>No</v>
      </c>
      <c r="K37" s="7" t="str">
        <f t="shared" si="3"/>
        <v>No</v>
      </c>
      <c r="L37" s="7" t="str">
        <f>IFERROR(
IF(K37="Yes","Incomplete",
IF(OR(
J37="Yes",
G37&lt;INDEX(tblParameters[Value],MATCH("MinimumAcceptCompleteness",tblParameters[Parameter],0))
),
"Review",
"Accept")),
"Parameter Error")</f>
        <v>Review</v>
      </c>
    </row>
    <row r="38" spans="1:12" ht="51">
      <c r="A38" s="8" t="str">
        <f>TRIM(SUBSTITUTE(CLEAN(Raw_Data!A38),CHAR(160)," "))</f>
        <v>Abaji Local Government Area</v>
      </c>
      <c r="B38" s="8" t="str">
        <f t="array" ref="B38">TRIM(SUBSTITUTE(CLEAN(Raw_Data!B38),CHAR(160)," "))</f>
        <v>Gurdi Ward</v>
      </c>
      <c r="C38" s="8" t="str">
        <f t="array" ref="C38">TRIM(SUBSTITUTE(CLEAN(Raw_Data!C38),CHAR(160)," "))</f>
        <v>Bari-Bari Primary Health Clinic</v>
      </c>
      <c r="D38" s="7">
        <f>COUNTA(Raw_Data!D38:CI38)</f>
        <v>55</v>
      </c>
      <c r="E38" s="7">
        <f t="shared" si="0"/>
        <v>29</v>
      </c>
      <c r="F38" s="9">
        <f>INDEX(tblParameters[Value],MATCH("ExpectedValues",tblParameters[Parameter],0))</f>
        <v>84</v>
      </c>
      <c r="G38" s="7">
        <f t="shared" si="1"/>
        <v>0.65476190476190477</v>
      </c>
      <c r="H38" s="7" t="str">
        <f>LOOKUP(G38,tblIndicatorScore[Min],tblIndicatorScore[Rating])</f>
        <v>Poor</v>
      </c>
      <c r="I38" s="7">
        <f>LOOKUP(G38,tblIndicatorScore[Min],tblIndicatorScore[Score])</f>
        <v>0</v>
      </c>
      <c r="J38" s="7" t="str">
        <f t="shared" si="2"/>
        <v>No</v>
      </c>
      <c r="K38" s="7" t="str">
        <f t="shared" si="3"/>
        <v>No</v>
      </c>
      <c r="L38" s="7" t="str">
        <f>IFERROR(
IF(K38="Yes","Incomplete",
IF(OR(
J38="Yes",
G38&lt;INDEX(tblParameters[Value],MATCH("MinimumAcceptCompleteness",tblParameters[Parameter],0))
),
"Review",
"Accept")),
"Parameter Error")</f>
        <v>Review</v>
      </c>
    </row>
    <row r="39" spans="1:12" ht="76.5">
      <c r="A39" s="8" t="str">
        <f>TRIM(SUBSTITUTE(CLEAN(Raw_Data!A39),CHAR(160)," "))</f>
        <v>Abuja Municipal Area Council</v>
      </c>
      <c r="B39" s="8" t="str">
        <f t="array" ref="B39">TRIM(SUBSTITUTE(CLEAN(Raw_Data!B39),CHAR(160)," "))</f>
        <v>Jiwa Ward</v>
      </c>
      <c r="C39" s="8" t="str">
        <f t="array" ref="C39">TRIM(SUBSTITUTE(CLEAN(Raw_Data!C39),CHAR(160)," "))</f>
        <v>Bassan Jiwan Primary Health Care Centre</v>
      </c>
      <c r="D39" s="7">
        <f>COUNTA(Raw_Data!D39:CI39)</f>
        <v>66</v>
      </c>
      <c r="E39" s="7">
        <f t="shared" si="0"/>
        <v>18</v>
      </c>
      <c r="F39" s="9">
        <f>INDEX(tblParameters[Value],MATCH("ExpectedValues",tblParameters[Parameter],0))</f>
        <v>84</v>
      </c>
      <c r="G39" s="7">
        <f t="shared" si="1"/>
        <v>0.7857142857142857</v>
      </c>
      <c r="H39" s="7" t="str">
        <f>LOOKUP(G39,tblIndicatorScore[Min],tblIndicatorScore[Rating])</f>
        <v>Poor</v>
      </c>
      <c r="I39" s="7">
        <f>LOOKUP(G39,tblIndicatorScore[Min],tblIndicatorScore[Score])</f>
        <v>0</v>
      </c>
      <c r="J39" s="7" t="str">
        <f t="shared" si="2"/>
        <v>No</v>
      </c>
      <c r="K39" s="7" t="str">
        <f t="shared" si="3"/>
        <v>No</v>
      </c>
      <c r="L39" s="7" t="str">
        <f>IFERROR(
IF(K39="Yes","Incomplete",
IF(OR(
J39="Yes",
G39&lt;INDEX(tblParameters[Value],MATCH("MinimumAcceptCompleteness",tblParameters[Parameter],0))
),
"Review",
"Accept")),
"Parameter Error")</f>
        <v>Review</v>
      </c>
    </row>
    <row r="40" spans="1:12" ht="51">
      <c r="A40" s="8" t="str">
        <f>TRIM(SUBSTITUTE(CLEAN(Raw_Data!A40),CHAR(160)," "))</f>
        <v>Abuja Municipal Area Council</v>
      </c>
      <c r="B40" s="8" t="str">
        <f t="array" ref="B40">TRIM(SUBSTITUTE(CLEAN(Raw_Data!B40),CHAR(160)," "))</f>
        <v>City Centre Ward</v>
      </c>
      <c r="C40" s="8" t="str">
        <f t="array" ref="C40">TRIM(SUBSTITUTE(CLEAN(Raw_Data!C40),CHAR(160)," "))</f>
        <v>Bepos Clinic and Fertility Centre</v>
      </c>
      <c r="D40" s="7">
        <f>COUNTA(Raw_Data!D40:CI40)</f>
        <v>25</v>
      </c>
      <c r="E40" s="7">
        <f t="shared" si="0"/>
        <v>59</v>
      </c>
      <c r="F40" s="9">
        <f>INDEX(tblParameters[Value],MATCH("ExpectedValues",tblParameters[Parameter],0))</f>
        <v>84</v>
      </c>
      <c r="G40" s="7">
        <f t="shared" si="1"/>
        <v>0.29761904761904762</v>
      </c>
      <c r="H40" s="7" t="str">
        <f>LOOKUP(G40,tblIndicatorScore[Min],tblIndicatorScore[Rating])</f>
        <v>Poor</v>
      </c>
      <c r="I40" s="7">
        <f>LOOKUP(G40,tblIndicatorScore[Min],tblIndicatorScore[Score])</f>
        <v>0</v>
      </c>
      <c r="J40" s="7" t="str">
        <f t="shared" si="2"/>
        <v>No</v>
      </c>
      <c r="K40" s="7" t="str">
        <f t="shared" si="3"/>
        <v>No</v>
      </c>
      <c r="L40" s="7" t="str">
        <f>IFERROR(
IF(K40="Yes","Incomplete",
IF(OR(
J40="Yes",
G40&lt;INDEX(tblParameters[Value],MATCH("MinimumAcceptCompleteness",tblParameters[Parameter],0))
),
"Review",
"Accept")),
"Parameter Error")</f>
        <v>Review</v>
      </c>
    </row>
    <row r="41" spans="1:12" ht="51">
      <c r="A41" s="8" t="str">
        <f>TRIM(SUBSTITUTE(CLEAN(Raw_Data!A41),CHAR(160)," "))</f>
        <v>Kuje Local Government Area</v>
      </c>
      <c r="B41" s="8" t="str">
        <f t="array" ref="B41">TRIM(SUBSTITUTE(CLEAN(Raw_Data!B41),CHAR(160)," "))</f>
        <v>Kujekwa Ward</v>
      </c>
      <c r="C41" s="8" t="str">
        <f t="array" ref="C41">TRIM(SUBSTITUTE(CLEAN(Raw_Data!C41),CHAR(160)," "))</f>
        <v>Bida Primary Health Centre</v>
      </c>
      <c r="D41" s="7">
        <f>COUNTA(Raw_Data!D41:CI41)</f>
        <v>45</v>
      </c>
      <c r="E41" s="7">
        <f t="shared" si="0"/>
        <v>39</v>
      </c>
      <c r="F41" s="9">
        <f>INDEX(tblParameters[Value],MATCH("ExpectedValues",tblParameters[Parameter],0))</f>
        <v>84</v>
      </c>
      <c r="G41" s="7">
        <f t="shared" si="1"/>
        <v>0.5357142857142857</v>
      </c>
      <c r="H41" s="7" t="str">
        <f>LOOKUP(G41,tblIndicatorScore[Min],tblIndicatorScore[Rating])</f>
        <v>Poor</v>
      </c>
      <c r="I41" s="7">
        <f>LOOKUP(G41,tblIndicatorScore[Min],tblIndicatorScore[Score])</f>
        <v>0</v>
      </c>
      <c r="J41" s="7" t="str">
        <f t="shared" si="2"/>
        <v>No</v>
      </c>
      <c r="K41" s="7" t="str">
        <f t="shared" si="3"/>
        <v>No</v>
      </c>
      <c r="L41" s="7" t="str">
        <f>IFERROR(
IF(K41="Yes","Incomplete",
IF(OR(
J41="Yes",
G41&lt;INDEX(tblParameters[Value],MATCH("MinimumAcceptCompleteness",tblParameters[Parameter],0))
),
"Review",
"Accept")),
"Parameter Error")</f>
        <v>Review</v>
      </c>
    </row>
    <row r="42" spans="1:12" ht="51">
      <c r="A42" s="8" t="str">
        <f>TRIM(SUBSTITUTE(CLEAN(Raw_Data!A42),CHAR(160)," "))</f>
        <v>Abuja Municipal Area Council</v>
      </c>
      <c r="B42" s="8" t="str">
        <f t="array" ref="B42">TRIM(SUBSTITUTE(CLEAN(Raw_Data!B42),CHAR(160)," "))</f>
        <v>Nyanya Ward</v>
      </c>
      <c r="C42" s="8" t="str">
        <f t="array" ref="C42">TRIM(SUBSTITUTE(CLEAN(Raw_Data!C42),CHAR(160)," "))</f>
        <v>Bismol Medical Centre</v>
      </c>
      <c r="D42" s="7">
        <f>COUNTA(Raw_Data!D42:CI42)</f>
        <v>42</v>
      </c>
      <c r="E42" s="7">
        <f t="shared" si="0"/>
        <v>42</v>
      </c>
      <c r="F42" s="9">
        <f>INDEX(tblParameters[Value],MATCH("ExpectedValues",tblParameters[Parameter],0))</f>
        <v>84</v>
      </c>
      <c r="G42" s="7">
        <f t="shared" si="1"/>
        <v>0.5</v>
      </c>
      <c r="H42" s="7" t="str">
        <f>LOOKUP(G42,tblIndicatorScore[Min],tblIndicatorScore[Rating])</f>
        <v>Poor</v>
      </c>
      <c r="I42" s="7">
        <f>LOOKUP(G42,tblIndicatorScore[Min],tblIndicatorScore[Score])</f>
        <v>0</v>
      </c>
      <c r="J42" s="7" t="str">
        <f t="shared" si="2"/>
        <v>No</v>
      </c>
      <c r="K42" s="7" t="str">
        <f t="shared" si="3"/>
        <v>No</v>
      </c>
      <c r="L42" s="7" t="str">
        <f>IFERROR(
IF(K42="Yes","Incomplete",
IF(OR(
J42="Yes",
G42&lt;INDEX(tblParameters[Value],MATCH("MinimumAcceptCompleteness",tblParameters[Parameter],0))
),
"Review",
"Accept")),
"Parameter Error")</f>
        <v>Review</v>
      </c>
    </row>
    <row r="43" spans="1:12" ht="51">
      <c r="A43" s="8" t="str">
        <f>TRIM(SUBSTITUTE(CLEAN(Raw_Data!A43),CHAR(160)," "))</f>
        <v>Kwali Local Government Area</v>
      </c>
      <c r="B43" s="8" t="str">
        <f t="array" ref="B43">TRIM(SUBSTITUTE(CLEAN(Raw_Data!B43),CHAR(160)," "))</f>
        <v>Wako Ward</v>
      </c>
      <c r="C43" s="8" t="str">
        <f t="array" ref="C43">TRIM(SUBSTITUTE(CLEAN(Raw_Data!C43),CHAR(160)," "))</f>
        <v>Bukpe Primary Health Clinic</v>
      </c>
      <c r="D43" s="7">
        <f>COUNTA(Raw_Data!D43:CI43)</f>
        <v>57</v>
      </c>
      <c r="E43" s="7">
        <f t="shared" si="0"/>
        <v>27</v>
      </c>
      <c r="F43" s="9">
        <f>INDEX(tblParameters[Value],MATCH("ExpectedValues",tblParameters[Parameter],0))</f>
        <v>84</v>
      </c>
      <c r="G43" s="7">
        <f t="shared" si="1"/>
        <v>0.6785714285714286</v>
      </c>
      <c r="H43" s="7" t="str">
        <f>LOOKUP(G43,tblIndicatorScore[Min],tblIndicatorScore[Rating])</f>
        <v>Poor</v>
      </c>
      <c r="I43" s="7">
        <f>LOOKUP(G43,tblIndicatorScore[Min],tblIndicatorScore[Score])</f>
        <v>0</v>
      </c>
      <c r="J43" s="7" t="str">
        <f t="shared" si="2"/>
        <v>No</v>
      </c>
      <c r="K43" s="7" t="str">
        <f t="shared" si="3"/>
        <v>No</v>
      </c>
      <c r="L43" s="7" t="str">
        <f>IFERROR(
IF(K43="Yes","Incomplete",
IF(OR(
J43="Yes",
G43&lt;INDEX(tblParameters[Value],MATCH("MinimumAcceptCompleteness",tblParameters[Parameter],0))
),
"Review",
"Accept")),
"Parameter Error")</f>
        <v>Review</v>
      </c>
    </row>
    <row r="44" spans="1:12" ht="51">
      <c r="A44" s="8" t="str">
        <f>TRIM(SUBSTITUTE(CLEAN(Raw_Data!A44),CHAR(160)," "))</f>
        <v>Abuja Municipal Area Council</v>
      </c>
      <c r="B44" s="8" t="str">
        <f t="array" ref="B44">TRIM(SUBSTITUTE(CLEAN(Raw_Data!B44),CHAR(160)," "))</f>
        <v>Kabusa Ward</v>
      </c>
      <c r="C44" s="8" t="str">
        <f t="array" ref="C44">TRIM(SUBSTITUTE(CLEAN(Raw_Data!C44),CHAR(160)," "))</f>
        <v>Burum Health Clinic</v>
      </c>
      <c r="D44" s="7">
        <f>COUNTA(Raw_Data!D44:CI44)</f>
        <v>58</v>
      </c>
      <c r="E44" s="7">
        <f t="shared" si="0"/>
        <v>26</v>
      </c>
      <c r="F44" s="9">
        <f>INDEX(tblParameters[Value],MATCH("ExpectedValues",tblParameters[Parameter],0))</f>
        <v>84</v>
      </c>
      <c r="G44" s="7">
        <f t="shared" si="1"/>
        <v>0.69047619047619047</v>
      </c>
      <c r="H44" s="7" t="str">
        <f>LOOKUP(G44,tblIndicatorScore[Min],tblIndicatorScore[Rating])</f>
        <v>Poor</v>
      </c>
      <c r="I44" s="7">
        <f>LOOKUP(G44,tblIndicatorScore[Min],tblIndicatorScore[Score])</f>
        <v>0</v>
      </c>
      <c r="J44" s="7" t="str">
        <f t="shared" si="2"/>
        <v>No</v>
      </c>
      <c r="K44" s="7" t="str">
        <f t="shared" si="3"/>
        <v>No</v>
      </c>
      <c r="L44" s="7" t="str">
        <f>IFERROR(
IF(K44="Yes","Incomplete",
IF(OR(
J44="Yes",
G44&lt;INDEX(tblParameters[Value],MATCH("MinimumAcceptCompleteness",tblParameters[Parameter],0))
),
"Review",
"Accept")),
"Parameter Error")</f>
        <v>Review</v>
      </c>
    </row>
    <row r="45" spans="1:12" ht="51">
      <c r="A45" s="8" t="str">
        <f>TRIM(SUBSTITUTE(CLEAN(Raw_Data!A45),CHAR(160)," "))</f>
        <v>Kuje Local Government Area</v>
      </c>
      <c r="B45" s="8" t="str">
        <f t="array" ref="B45">TRIM(SUBSTITUTE(CLEAN(Raw_Data!B45),CHAR(160)," "))</f>
        <v>Kuje Central Ward</v>
      </c>
      <c r="C45" s="8" t="str">
        <f t="array" ref="C45">TRIM(SUBSTITUTE(CLEAN(Raw_Data!C45),CHAR(160)," "))</f>
        <v>Buzunkure Primary Health Centre</v>
      </c>
      <c r="D45" s="7">
        <f>COUNTA(Raw_Data!D45:CI45)</f>
        <v>57</v>
      </c>
      <c r="E45" s="7">
        <f t="shared" si="0"/>
        <v>27</v>
      </c>
      <c r="F45" s="9">
        <f>INDEX(tblParameters[Value],MATCH("ExpectedValues",tblParameters[Parameter],0))</f>
        <v>84</v>
      </c>
      <c r="G45" s="7">
        <f t="shared" si="1"/>
        <v>0.6785714285714286</v>
      </c>
      <c r="H45" s="7" t="str">
        <f>LOOKUP(G45,tblIndicatorScore[Min],tblIndicatorScore[Rating])</f>
        <v>Poor</v>
      </c>
      <c r="I45" s="7">
        <f>LOOKUP(G45,tblIndicatorScore[Min],tblIndicatorScore[Score])</f>
        <v>0</v>
      </c>
      <c r="J45" s="7" t="str">
        <f t="shared" si="2"/>
        <v>No</v>
      </c>
      <c r="K45" s="7" t="str">
        <f t="shared" si="3"/>
        <v>No</v>
      </c>
      <c r="L45" s="7" t="str">
        <f>IFERROR(
IF(K45="Yes","Incomplete",
IF(OR(
J45="Yes",
G45&lt;INDEX(tblParameters[Value],MATCH("MinimumAcceptCompleteness",tblParameters[Parameter],0))
),
"Review",
"Accept")),
"Parameter Error")</f>
        <v>Review</v>
      </c>
    </row>
    <row r="46" spans="1:12" ht="51">
      <c r="A46" s="8" t="str">
        <f>TRIM(SUBSTITUTE(CLEAN(Raw_Data!A46),CHAR(160)," "))</f>
        <v>Bwari Local Government Area</v>
      </c>
      <c r="B46" s="8" t="str">
        <f t="array" ref="B46">TRIM(SUBSTITUTE(CLEAN(Raw_Data!B46),CHAR(160)," "))</f>
        <v>Bwari Central Ward</v>
      </c>
      <c r="C46" s="8" t="str">
        <f t="array" ref="C46">TRIM(SUBSTITUTE(CLEAN(Raw_Data!C46),CHAR(160)," "))</f>
        <v>Bwari General Hospital</v>
      </c>
      <c r="D46" s="7">
        <f>COUNTA(Raw_Data!D46:CI46)</f>
        <v>70</v>
      </c>
      <c r="E46" s="7">
        <f t="shared" si="0"/>
        <v>14</v>
      </c>
      <c r="F46" s="9">
        <f>INDEX(tblParameters[Value],MATCH("ExpectedValues",tblParameters[Parameter],0))</f>
        <v>84</v>
      </c>
      <c r="G46" s="7">
        <f t="shared" si="1"/>
        <v>0.83333333333333337</v>
      </c>
      <c r="H46" s="7" t="str">
        <f>LOOKUP(G46,tblIndicatorScore[Min],tblIndicatorScore[Rating])</f>
        <v>Fair</v>
      </c>
      <c r="I46" s="7">
        <f>LOOKUP(G46,tblIndicatorScore[Min],tblIndicatorScore[Score])</f>
        <v>1</v>
      </c>
      <c r="J46" s="7" t="str">
        <f t="shared" si="2"/>
        <v>No</v>
      </c>
      <c r="K46" s="7" t="str">
        <f t="shared" si="3"/>
        <v>No</v>
      </c>
      <c r="L46" s="7" t="str">
        <f>IFERROR(
IF(K46="Yes","Incomplete",
IF(OR(
J46="Yes",
G46&lt;INDEX(tblParameters[Value],MATCH("MinimumAcceptCompleteness",tblParameters[Parameter],0))
),
"Review",
"Accept")),
"Parameter Error")</f>
        <v>Review</v>
      </c>
    </row>
    <row r="47" spans="1:12" ht="63.75">
      <c r="A47" s="8" t="str">
        <f>TRIM(SUBSTITUTE(CLEAN(Raw_Data!A47),CHAR(160)," "))</f>
        <v>Bwari Local Government Area</v>
      </c>
      <c r="B47" s="8" t="str">
        <f t="array" ref="B47">TRIM(SUBSTITUTE(CLEAN(Raw_Data!B47),CHAR(160)," "))</f>
        <v>Kuduru Ward</v>
      </c>
      <c r="C47" s="8" t="str">
        <f t="array" ref="C47">TRIM(SUBSTITUTE(CLEAN(Raw_Data!C47),CHAR(160)," "))</f>
        <v>Bwari Town Primary Health Center</v>
      </c>
      <c r="D47" s="7">
        <f>COUNTA(Raw_Data!D47:CI47)</f>
        <v>59</v>
      </c>
      <c r="E47" s="7">
        <f t="shared" si="0"/>
        <v>25</v>
      </c>
      <c r="F47" s="9">
        <f>INDEX(tblParameters[Value],MATCH("ExpectedValues",tblParameters[Parameter],0))</f>
        <v>84</v>
      </c>
      <c r="G47" s="7">
        <f t="shared" si="1"/>
        <v>0.70238095238095233</v>
      </c>
      <c r="H47" s="7" t="str">
        <f>LOOKUP(G47,tblIndicatorScore[Min],tblIndicatorScore[Rating])</f>
        <v>Poor</v>
      </c>
      <c r="I47" s="7">
        <f>LOOKUP(G47,tblIndicatorScore[Min],tblIndicatorScore[Score])</f>
        <v>0</v>
      </c>
      <c r="J47" s="7" t="str">
        <f t="shared" si="2"/>
        <v>No</v>
      </c>
      <c r="K47" s="7" t="str">
        <f t="shared" si="3"/>
        <v>No</v>
      </c>
      <c r="L47" s="7" t="str">
        <f>IFERROR(
IF(K47="Yes","Incomplete",
IF(OR(
J47="Yes",
G47&lt;INDEX(tblParameters[Value],MATCH("MinimumAcceptCompleteness",tblParameters[Parameter],0))
),
"Review",
"Accept")),
"Parameter Error")</f>
        <v>Review</v>
      </c>
    </row>
    <row r="48" spans="1:12" ht="51">
      <c r="A48" s="8" t="str">
        <f>TRIM(SUBSTITUTE(CLEAN(Raw_Data!A48),CHAR(160)," "))</f>
        <v>Bwari Local Government Area</v>
      </c>
      <c r="B48" s="8" t="str">
        <f t="array" ref="B48">TRIM(SUBSTITUTE(CLEAN(Raw_Data!B48),CHAR(160)," "))</f>
        <v>Byazhin Ward</v>
      </c>
      <c r="C48" s="8" t="str">
        <f t="array" ref="C48">TRIM(SUBSTITUTE(CLEAN(Raw_Data!C48),CHAR(160)," "))</f>
        <v>Byazhin Primary Health Center</v>
      </c>
      <c r="D48" s="7">
        <f>COUNTA(Raw_Data!D48:CI48)</f>
        <v>73</v>
      </c>
      <c r="E48" s="7">
        <f t="shared" si="0"/>
        <v>11</v>
      </c>
      <c r="F48" s="9">
        <f>INDEX(tblParameters[Value],MATCH("ExpectedValues",tblParameters[Parameter],0))</f>
        <v>84</v>
      </c>
      <c r="G48" s="7">
        <f t="shared" si="1"/>
        <v>0.86904761904761907</v>
      </c>
      <c r="H48" s="7" t="str">
        <f>LOOKUP(G48,tblIndicatorScore[Min],tblIndicatorScore[Rating])</f>
        <v>Fair</v>
      </c>
      <c r="I48" s="7">
        <f>LOOKUP(G48,tblIndicatorScore[Min],tblIndicatorScore[Score])</f>
        <v>1</v>
      </c>
      <c r="J48" s="7" t="str">
        <f t="shared" si="2"/>
        <v>No</v>
      </c>
      <c r="K48" s="7" t="str">
        <f t="shared" si="3"/>
        <v>No</v>
      </c>
      <c r="L48" s="7" t="str">
        <f>IFERROR(
IF(K48="Yes","Incomplete",
IF(OR(
J48="Yes",
G48&lt;INDEX(tblParameters[Value],MATCH("MinimumAcceptCompleteness",tblParameters[Parameter],0))
),
"Review",
"Accept")),
"Parameter Error")</f>
        <v>Review</v>
      </c>
    </row>
    <row r="49" spans="1:12" ht="51">
      <c r="A49" s="8" t="str">
        <f>TRIM(SUBSTITUTE(CLEAN(Raw_Data!A49),CHAR(160)," "))</f>
        <v>Abuja Municipal Area Council</v>
      </c>
      <c r="B49" s="8" t="str">
        <f t="array" ref="B49">TRIM(SUBSTITUTE(CLEAN(Raw_Data!B49),CHAR(160)," "))</f>
        <v>Garki Ward</v>
      </c>
      <c r="C49" s="8" t="str">
        <f t="array" ref="C49">TRIM(SUBSTITUTE(CLEAN(Raw_Data!C49),CHAR(160)," "))</f>
        <v>Cedar Crest Hospital</v>
      </c>
      <c r="D49" s="7">
        <f>COUNTA(Raw_Data!D49:CI49)</f>
        <v>48</v>
      </c>
      <c r="E49" s="7">
        <f t="shared" si="0"/>
        <v>36</v>
      </c>
      <c r="F49" s="9">
        <f>INDEX(tblParameters[Value],MATCH("ExpectedValues",tblParameters[Parameter],0))</f>
        <v>84</v>
      </c>
      <c r="G49" s="7">
        <f t="shared" si="1"/>
        <v>0.5714285714285714</v>
      </c>
      <c r="H49" s="7" t="str">
        <f>LOOKUP(G49,tblIndicatorScore[Min],tblIndicatorScore[Rating])</f>
        <v>Poor</v>
      </c>
      <c r="I49" s="7">
        <f>LOOKUP(G49,tblIndicatorScore[Min],tblIndicatorScore[Score])</f>
        <v>0</v>
      </c>
      <c r="J49" s="7" t="str">
        <f t="shared" si="2"/>
        <v>No</v>
      </c>
      <c r="K49" s="7" t="str">
        <f t="shared" si="3"/>
        <v>No</v>
      </c>
      <c r="L49" s="7" t="str">
        <f>IFERROR(
IF(K49="Yes","Incomplete",
IF(OR(
J49="Yes",
G49&lt;INDEX(tblParameters[Value],MATCH("MinimumAcceptCompleteness",tblParameters[Parameter],0))
),
"Review",
"Accept")),
"Parameter Error")</f>
        <v>Review</v>
      </c>
    </row>
    <row r="50" spans="1:12" ht="51">
      <c r="A50" s="8" t="str">
        <f>TRIM(SUBSTITUTE(CLEAN(Raw_Data!A50),CHAR(160)," "))</f>
        <v>Abuja Municipal Area Council</v>
      </c>
      <c r="B50" s="8" t="str">
        <f t="array" ref="B50">TRIM(SUBSTITUTE(CLEAN(Raw_Data!B50),CHAR(160)," "))</f>
        <v>Garki Ward</v>
      </c>
      <c r="C50" s="8" t="str">
        <f t="array" ref="C50">TRIM(SUBSTITUTE(CLEAN(Raw_Data!C50),CHAR(160)," "))</f>
        <v>Central Bank of Nigeria Clinic</v>
      </c>
      <c r="D50" s="7">
        <f>COUNTA(Raw_Data!D50:CI50)</f>
        <v>65</v>
      </c>
      <c r="E50" s="7">
        <f t="shared" si="0"/>
        <v>19</v>
      </c>
      <c r="F50" s="9">
        <f>INDEX(tblParameters[Value],MATCH("ExpectedValues",tblParameters[Parameter],0))</f>
        <v>84</v>
      </c>
      <c r="G50" s="7">
        <f t="shared" si="1"/>
        <v>0.77380952380952384</v>
      </c>
      <c r="H50" s="7" t="str">
        <f>LOOKUP(G50,tblIndicatorScore[Min],tblIndicatorScore[Rating])</f>
        <v>Poor</v>
      </c>
      <c r="I50" s="7">
        <f>LOOKUP(G50,tblIndicatorScore[Min],tblIndicatorScore[Score])</f>
        <v>0</v>
      </c>
      <c r="J50" s="7" t="str">
        <f t="shared" si="2"/>
        <v>No</v>
      </c>
      <c r="K50" s="7" t="str">
        <f t="shared" si="3"/>
        <v>No</v>
      </c>
      <c r="L50" s="7" t="str">
        <f>IFERROR(
IF(K50="Yes","Incomplete",
IF(OR(
J50="Yes",
G50&lt;INDEX(tblParameters[Value],MATCH("MinimumAcceptCompleteness",tblParameters[Parameter],0))
),
"Review",
"Accept")),
"Parameter Error")</f>
        <v>Review</v>
      </c>
    </row>
    <row r="51" spans="1:12" ht="51">
      <c r="A51" s="8" t="str">
        <f>TRIM(SUBSTITUTE(CLEAN(Raw_Data!A51),CHAR(160)," "))</f>
        <v>Kuje Local Government Area</v>
      </c>
      <c r="B51" s="8" t="str">
        <f t="array" ref="B51">TRIM(SUBSTITUTE(CLEAN(Raw_Data!B51),CHAR(160)," "))</f>
        <v>Chibiri Ward</v>
      </c>
      <c r="C51" s="8" t="str">
        <f t="array" ref="C51">TRIM(SUBSTITUTE(CLEAN(Raw_Data!C51),CHAR(160)," "))</f>
        <v>Chibiri Primary Health Centre</v>
      </c>
      <c r="D51" s="7">
        <f>COUNTA(Raw_Data!D51:CI51)</f>
        <v>53</v>
      </c>
      <c r="E51" s="7">
        <f t="shared" si="0"/>
        <v>31</v>
      </c>
      <c r="F51" s="9">
        <f>INDEX(tblParameters[Value],MATCH("ExpectedValues",tblParameters[Parameter],0))</f>
        <v>84</v>
      </c>
      <c r="G51" s="7">
        <f t="shared" si="1"/>
        <v>0.63095238095238093</v>
      </c>
      <c r="H51" s="7" t="str">
        <f>LOOKUP(G51,tblIndicatorScore[Min],tblIndicatorScore[Rating])</f>
        <v>Poor</v>
      </c>
      <c r="I51" s="7">
        <f>LOOKUP(G51,tblIndicatorScore[Min],tblIndicatorScore[Score])</f>
        <v>0</v>
      </c>
      <c r="J51" s="7" t="str">
        <f t="shared" si="2"/>
        <v>No</v>
      </c>
      <c r="K51" s="7" t="str">
        <f t="shared" si="3"/>
        <v>No</v>
      </c>
      <c r="L51" s="7" t="str">
        <f>IFERROR(
IF(K51="Yes","Incomplete",
IF(OR(
J51="Yes",
G51&lt;INDEX(tblParameters[Value],MATCH("MinimumAcceptCompleteness",tblParameters[Parameter],0))
),
"Review",
"Accept")),
"Parameter Error")</f>
        <v>Review</v>
      </c>
    </row>
    <row r="52" spans="1:12" ht="63.75">
      <c r="A52" s="8" t="str">
        <f>TRIM(SUBSTITUTE(CLEAN(Raw_Data!A52),CHAR(160)," "))</f>
        <v>Gwagwalada Local Government Area</v>
      </c>
      <c r="B52" s="8" t="str">
        <f t="array" ref="B52">TRIM(SUBSTITUTE(CLEAN(Raw_Data!B52),CHAR(160)," "))</f>
        <v>Zuba Ward</v>
      </c>
      <c r="C52" s="8" t="str">
        <f t="array" ref="C52">TRIM(SUBSTITUTE(CLEAN(Raw_Data!C52),CHAR(160)," "))</f>
        <v>Chibuzor Clinic And Maternity, Zuba</v>
      </c>
      <c r="D52" s="7">
        <f>COUNTA(Raw_Data!D52:CI52)</f>
        <v>11</v>
      </c>
      <c r="E52" s="7">
        <f t="shared" si="0"/>
        <v>73</v>
      </c>
      <c r="F52" s="9">
        <f>INDEX(tblParameters[Value],MATCH("ExpectedValues",tblParameters[Parameter],0))</f>
        <v>84</v>
      </c>
      <c r="G52" s="7">
        <f t="shared" si="1"/>
        <v>0.13095238095238096</v>
      </c>
      <c r="H52" s="7" t="str">
        <f>LOOKUP(G52,tblIndicatorScore[Min],tblIndicatorScore[Rating])</f>
        <v>Poor</v>
      </c>
      <c r="I52" s="7">
        <f>LOOKUP(G52,tblIndicatorScore[Min],tblIndicatorScore[Score])</f>
        <v>0</v>
      </c>
      <c r="J52" s="7" t="str">
        <f t="shared" si="2"/>
        <v>No</v>
      </c>
      <c r="K52" s="7" t="str">
        <f t="shared" si="3"/>
        <v>No</v>
      </c>
      <c r="L52" s="7" t="str">
        <f>IFERROR(
IF(K52="Yes","Incomplete",
IF(OR(
J52="Yes",
G52&lt;INDEX(tblParameters[Value],MATCH("MinimumAcceptCompleteness",tblParameters[Parameter],0))
),
"Review",
"Accept")),
"Parameter Error")</f>
        <v>Review</v>
      </c>
    </row>
    <row r="53" spans="1:12" ht="51">
      <c r="A53" s="8" t="str">
        <f>TRIM(SUBSTITUTE(CLEAN(Raw_Data!A53),CHAR(160)," "))</f>
        <v>Kwali Local Government Area</v>
      </c>
      <c r="B53" s="8" t="str">
        <f t="array" ref="B53">TRIM(SUBSTITUTE(CLEAN(Raw_Data!B53),CHAR(160)," "))</f>
        <v>Wako Ward</v>
      </c>
      <c r="C53" s="8" t="str">
        <f t="array" ref="C53">TRIM(SUBSTITUTE(CLEAN(Raw_Data!C53),CHAR(160)," "))</f>
        <v>Chida Primary Health Clinic</v>
      </c>
      <c r="D53" s="7">
        <f>COUNTA(Raw_Data!D53:CI53)</f>
        <v>54</v>
      </c>
      <c r="E53" s="7">
        <f t="shared" si="0"/>
        <v>30</v>
      </c>
      <c r="F53" s="9">
        <f>INDEX(tblParameters[Value],MATCH("ExpectedValues",tblParameters[Parameter],0))</f>
        <v>84</v>
      </c>
      <c r="G53" s="7">
        <f t="shared" si="1"/>
        <v>0.6428571428571429</v>
      </c>
      <c r="H53" s="7" t="str">
        <f>LOOKUP(G53,tblIndicatorScore[Min],tblIndicatorScore[Rating])</f>
        <v>Poor</v>
      </c>
      <c r="I53" s="7">
        <f>LOOKUP(G53,tblIndicatorScore[Min],tblIndicatorScore[Score])</f>
        <v>0</v>
      </c>
      <c r="J53" s="7" t="str">
        <f t="shared" si="2"/>
        <v>No</v>
      </c>
      <c r="K53" s="7" t="str">
        <f t="shared" si="3"/>
        <v>No</v>
      </c>
      <c r="L53" s="7" t="str">
        <f>IFERROR(
IF(K53="Yes","Incomplete",
IF(OR(
J53="Yes",
G53&lt;INDEX(tblParameters[Value],MATCH("MinimumAcceptCompleteness",tblParameters[Parameter],0))
),
"Review",
"Accept")),
"Parameter Error")</f>
        <v>Review</v>
      </c>
    </row>
    <row r="54" spans="1:12" ht="51">
      <c r="A54" s="8" t="str">
        <f>TRIM(SUBSTITUTE(CLEAN(Raw_Data!A54),CHAR(160)," "))</f>
        <v>Bwari Local Government Area</v>
      </c>
      <c r="B54" s="8" t="str">
        <f t="array" ref="B54">TRIM(SUBSTITUTE(CLEAN(Raw_Data!B54),CHAR(160)," "))</f>
        <v>Byazhin Ward</v>
      </c>
      <c r="C54" s="8" t="str">
        <f t="array" ref="C54">TRIM(SUBSTITUTE(CLEAN(Raw_Data!C54),CHAR(160)," "))</f>
        <v>Chikakore Primary Health Clinic</v>
      </c>
      <c r="D54" s="7">
        <f>COUNTA(Raw_Data!D54:CI54)</f>
        <v>51</v>
      </c>
      <c r="E54" s="7">
        <f t="shared" si="0"/>
        <v>33</v>
      </c>
      <c r="F54" s="9">
        <f>INDEX(tblParameters[Value],MATCH("ExpectedValues",tblParameters[Parameter],0))</f>
        <v>84</v>
      </c>
      <c r="G54" s="7">
        <f t="shared" si="1"/>
        <v>0.6071428571428571</v>
      </c>
      <c r="H54" s="7" t="str">
        <f>LOOKUP(G54,tblIndicatorScore[Min],tblIndicatorScore[Rating])</f>
        <v>Poor</v>
      </c>
      <c r="I54" s="7">
        <f>LOOKUP(G54,tblIndicatorScore[Min],tblIndicatorScore[Score])</f>
        <v>0</v>
      </c>
      <c r="J54" s="7" t="str">
        <f t="shared" si="2"/>
        <v>No</v>
      </c>
      <c r="K54" s="7" t="str">
        <f t="shared" si="3"/>
        <v>No</v>
      </c>
      <c r="L54" s="7" t="str">
        <f>IFERROR(
IF(K54="Yes","Incomplete",
IF(OR(
J54="Yes",
G54&lt;INDEX(tblParameters[Value],MATCH("MinimumAcceptCompleteness",tblParameters[Parameter],0))
),
"Review",
"Accept")),
"Parameter Error")</f>
        <v>Review</v>
      </c>
    </row>
    <row r="55" spans="1:12" ht="51">
      <c r="A55" s="8" t="str">
        <f>TRIM(SUBSTITUTE(CLEAN(Raw_Data!A55),CHAR(160)," "))</f>
        <v>Abuja Municipal Area Council</v>
      </c>
      <c r="B55" s="8" t="str">
        <f t="array" ref="B55">TRIM(SUBSTITUTE(CLEAN(Raw_Data!B55),CHAR(160)," "))</f>
        <v>Wuse Ward</v>
      </c>
      <c r="C55" s="8" t="str">
        <f t="array" ref="C55">TRIM(SUBSTITUTE(CLEAN(Raw_Data!C55),CHAR(160)," "))</f>
        <v>Children Care and Wellness Clinic</v>
      </c>
      <c r="D55" s="7">
        <f>COUNTA(Raw_Data!D55:CI55)</f>
        <v>26</v>
      </c>
      <c r="E55" s="7">
        <f t="shared" si="0"/>
        <v>58</v>
      </c>
      <c r="F55" s="9">
        <f>INDEX(tblParameters[Value],MATCH("ExpectedValues",tblParameters[Parameter],0))</f>
        <v>84</v>
      </c>
      <c r="G55" s="7">
        <f t="shared" si="1"/>
        <v>0.30952380952380953</v>
      </c>
      <c r="H55" s="7" t="str">
        <f>LOOKUP(G55,tblIndicatorScore[Min],tblIndicatorScore[Rating])</f>
        <v>Poor</v>
      </c>
      <c r="I55" s="7">
        <f>LOOKUP(G55,tblIndicatorScore[Min],tblIndicatorScore[Score])</f>
        <v>0</v>
      </c>
      <c r="J55" s="7" t="str">
        <f t="shared" si="2"/>
        <v>No</v>
      </c>
      <c r="K55" s="7" t="str">
        <f t="shared" si="3"/>
        <v>No</v>
      </c>
      <c r="L55" s="7" t="str">
        <f>IFERROR(
IF(K55="Yes","Incomplete",
IF(OR(
J55="Yes",
G55&lt;INDEX(tblParameters[Value],MATCH("MinimumAcceptCompleteness",tblParameters[Parameter],0))
),
"Review",
"Accept")),
"Parameter Error")</f>
        <v>Review</v>
      </c>
    </row>
    <row r="56" spans="1:12" ht="51">
      <c r="A56" s="8" t="str">
        <f>TRIM(SUBSTITUTE(CLEAN(Raw_Data!A56),CHAR(160)," "))</f>
        <v>Gwagwalada Local Government Area</v>
      </c>
      <c r="B56" s="8" t="str">
        <f t="array" ref="B56">TRIM(SUBSTITUTE(CLEAN(Raw_Data!B56),CHAR(160)," "))</f>
        <v>Ikwa Ward</v>
      </c>
      <c r="C56" s="8" t="str">
        <f t="array" ref="C56">TRIM(SUBSTITUTE(CLEAN(Raw_Data!C56),CHAR(160)," "))</f>
        <v>Chitumu Primary Health Clinic</v>
      </c>
      <c r="D56" s="7">
        <f>COUNTA(Raw_Data!D56:CI56)</f>
        <v>65</v>
      </c>
      <c r="E56" s="7">
        <f t="shared" si="0"/>
        <v>19</v>
      </c>
      <c r="F56" s="9">
        <f>INDEX(tblParameters[Value],MATCH("ExpectedValues",tblParameters[Parameter],0))</f>
        <v>84</v>
      </c>
      <c r="G56" s="7">
        <f t="shared" si="1"/>
        <v>0.77380952380952384</v>
      </c>
      <c r="H56" s="7" t="str">
        <f>LOOKUP(G56,tblIndicatorScore[Min],tblIndicatorScore[Rating])</f>
        <v>Poor</v>
      </c>
      <c r="I56" s="7">
        <f>LOOKUP(G56,tblIndicatorScore[Min],tblIndicatorScore[Score])</f>
        <v>0</v>
      </c>
      <c r="J56" s="7" t="str">
        <f t="shared" si="2"/>
        <v>No</v>
      </c>
      <c r="K56" s="7" t="str">
        <f t="shared" si="3"/>
        <v>No</v>
      </c>
      <c r="L56" s="7" t="str">
        <f>IFERROR(
IF(K56="Yes","Incomplete",
IF(OR(
J56="Yes",
G56&lt;INDEX(tblParameters[Value],MATCH("MinimumAcceptCompleteness",tblParameters[Parameter],0))
),
"Review",
"Accept")),
"Parameter Error")</f>
        <v>Review</v>
      </c>
    </row>
    <row r="57" spans="1:12" ht="63.75">
      <c r="A57" s="8" t="str">
        <f>TRIM(SUBSTITUTE(CLEAN(Raw_Data!A57),CHAR(160)," "))</f>
        <v>Abuja Municipal Area Council</v>
      </c>
      <c r="B57" s="8" t="str">
        <f t="array" ref="B57">TRIM(SUBSTITUTE(CLEAN(Raw_Data!B57),CHAR(160)," "))</f>
        <v>Orozo Ward</v>
      </c>
      <c r="C57" s="8" t="str">
        <f t="array" ref="C57">TRIM(SUBSTITUTE(CLEAN(Raw_Data!C57),CHAR(160)," "))</f>
        <v>Chorin-Bisa Primary Health Centre</v>
      </c>
      <c r="D57" s="7">
        <f>COUNTA(Raw_Data!D57:CI57)</f>
        <v>48</v>
      </c>
      <c r="E57" s="7">
        <f t="shared" si="0"/>
        <v>36</v>
      </c>
      <c r="F57" s="9">
        <f>INDEX(tblParameters[Value],MATCH("ExpectedValues",tblParameters[Parameter],0))</f>
        <v>84</v>
      </c>
      <c r="G57" s="7">
        <f t="shared" si="1"/>
        <v>0.5714285714285714</v>
      </c>
      <c r="H57" s="7" t="str">
        <f>LOOKUP(G57,tblIndicatorScore[Min],tblIndicatorScore[Rating])</f>
        <v>Poor</v>
      </c>
      <c r="I57" s="7">
        <f>LOOKUP(G57,tblIndicatorScore[Min],tblIndicatorScore[Score])</f>
        <v>0</v>
      </c>
      <c r="J57" s="7" t="str">
        <f t="shared" si="2"/>
        <v>No</v>
      </c>
      <c r="K57" s="7" t="str">
        <f t="shared" si="3"/>
        <v>No</v>
      </c>
      <c r="L57" s="7" t="str">
        <f>IFERROR(
IF(K57="Yes","Incomplete",
IF(OR(
J57="Yes",
G57&lt;INDEX(tblParameters[Value],MATCH("MinimumAcceptCompleteness",tblParameters[Parameter],0))
),
"Review",
"Accept")),
"Parameter Error")</f>
        <v>Review</v>
      </c>
    </row>
    <row r="58" spans="1:12" ht="51">
      <c r="A58" s="8" t="str">
        <f>TRIM(SUBSTITUTE(CLEAN(Raw_Data!A58),CHAR(160)," "))</f>
        <v>Kuje Local Government Area</v>
      </c>
      <c r="B58" s="8" t="str">
        <f t="array" ref="B58">TRIM(SUBSTITUTE(CLEAN(Raw_Data!B58),CHAR(160)," "))</f>
        <v>Chibiri Ward</v>
      </c>
      <c r="C58" s="8" t="str">
        <f t="array" ref="C58">TRIM(SUBSTITUTE(CLEAN(Raw_Data!C58),CHAR(160)," "))</f>
        <v>Chukuku Primary Health Centre</v>
      </c>
      <c r="D58" s="7">
        <f>COUNTA(Raw_Data!D58:CI58)</f>
        <v>62</v>
      </c>
      <c r="E58" s="7">
        <f t="shared" si="0"/>
        <v>22</v>
      </c>
      <c r="F58" s="9">
        <f>INDEX(tblParameters[Value],MATCH("ExpectedValues",tblParameters[Parameter],0))</f>
        <v>84</v>
      </c>
      <c r="G58" s="7">
        <f t="shared" si="1"/>
        <v>0.73809523809523814</v>
      </c>
      <c r="H58" s="7" t="str">
        <f>LOOKUP(G58,tblIndicatorScore[Min],tblIndicatorScore[Rating])</f>
        <v>Poor</v>
      </c>
      <c r="I58" s="7">
        <f>LOOKUP(G58,tblIndicatorScore[Min],tblIndicatorScore[Score])</f>
        <v>0</v>
      </c>
      <c r="J58" s="7" t="str">
        <f t="shared" si="2"/>
        <v>No</v>
      </c>
      <c r="K58" s="7" t="str">
        <f t="shared" si="3"/>
        <v>No</v>
      </c>
      <c r="L58" s="7" t="str">
        <f>IFERROR(
IF(K58="Yes","Incomplete",
IF(OR(
J58="Yes",
G58&lt;INDEX(tblParameters[Value],MATCH("MinimumAcceptCompleteness",tblParameters[Parameter],0))
),
"Review",
"Accept")),
"Parameter Error")</f>
        <v>Review</v>
      </c>
    </row>
    <row r="59" spans="1:12" ht="63.75">
      <c r="A59" s="8" t="str">
        <f>TRIM(SUBSTITUTE(CLEAN(Raw_Data!A59),CHAR(160)," "))</f>
        <v>Kwali Local Government Area</v>
      </c>
      <c r="B59" s="8" t="str">
        <f t="array" ref="B59">TRIM(SUBSTITUTE(CLEAN(Raw_Data!B59),CHAR(160)," "))</f>
        <v>Kilankwa Ward</v>
      </c>
      <c r="C59" s="8" t="str">
        <f t="array" ref="C59">TRIM(SUBSTITUTE(CLEAN(Raw_Data!C59),CHAR(160)," "))</f>
        <v>Chukuku Tsoho Primary Health Entre</v>
      </c>
      <c r="D59" s="7">
        <f>COUNTA(Raw_Data!D59:CI59)</f>
        <v>69</v>
      </c>
      <c r="E59" s="7">
        <f t="shared" si="0"/>
        <v>15</v>
      </c>
      <c r="F59" s="9">
        <f>INDEX(tblParameters[Value],MATCH("ExpectedValues",tblParameters[Parameter],0))</f>
        <v>84</v>
      </c>
      <c r="G59" s="7">
        <f t="shared" si="1"/>
        <v>0.8214285714285714</v>
      </c>
      <c r="H59" s="7" t="str">
        <f>LOOKUP(G59,tblIndicatorScore[Min],tblIndicatorScore[Rating])</f>
        <v>Fair</v>
      </c>
      <c r="I59" s="7">
        <f>LOOKUP(G59,tblIndicatorScore[Min],tblIndicatorScore[Score])</f>
        <v>1</v>
      </c>
      <c r="J59" s="7" t="str">
        <f t="shared" si="2"/>
        <v>No</v>
      </c>
      <c r="K59" s="7" t="str">
        <f t="shared" si="3"/>
        <v>No</v>
      </c>
      <c r="L59" s="7" t="str">
        <f>IFERROR(
IF(K59="Yes","Incomplete",
IF(OR(
J59="Yes",
G59&lt;INDEX(tblParameters[Value],MATCH("MinimumAcceptCompleteness",tblParameters[Parameter],0))
),
"Review",
"Accept")),
"Parameter Error")</f>
        <v>Review</v>
      </c>
    </row>
    <row r="60" spans="1:12" ht="51">
      <c r="A60" s="8" t="str">
        <f>TRIM(SUBSTITUTE(CLEAN(Raw_Data!A60),CHAR(160)," "))</f>
        <v>Abuja Municipal Area Council</v>
      </c>
      <c r="B60" s="8" t="str">
        <f t="array" ref="B60">TRIM(SUBSTITUTE(CLEAN(Raw_Data!B60),CHAR(160)," "))</f>
        <v>Orozo Ward</v>
      </c>
      <c r="C60" s="8" t="str">
        <f t="array" ref="C60">TRIM(SUBSTITUTE(CLEAN(Raw_Data!C60),CHAR(160)," "))</f>
        <v>Cornelia Clinic and Maternity</v>
      </c>
      <c r="D60" s="7">
        <f>COUNTA(Raw_Data!D60:CI60)</f>
        <v>60</v>
      </c>
      <c r="E60" s="7">
        <f t="shared" si="0"/>
        <v>24</v>
      </c>
      <c r="F60" s="9">
        <f>INDEX(tblParameters[Value],MATCH("ExpectedValues",tblParameters[Parameter],0))</f>
        <v>84</v>
      </c>
      <c r="G60" s="7">
        <f t="shared" si="1"/>
        <v>0.7142857142857143</v>
      </c>
      <c r="H60" s="7" t="str">
        <f>LOOKUP(G60,tblIndicatorScore[Min],tblIndicatorScore[Rating])</f>
        <v>Poor</v>
      </c>
      <c r="I60" s="7">
        <f>LOOKUP(G60,tblIndicatorScore[Min],tblIndicatorScore[Score])</f>
        <v>0</v>
      </c>
      <c r="J60" s="7" t="str">
        <f t="shared" si="2"/>
        <v>No</v>
      </c>
      <c r="K60" s="7" t="str">
        <f t="shared" si="3"/>
        <v>No</v>
      </c>
      <c r="L60" s="7" t="str">
        <f>IFERROR(
IF(K60="Yes","Incomplete",
IF(OR(
J60="Yes",
G60&lt;INDEX(tblParameters[Value],MATCH("MinimumAcceptCompleteness",tblParameters[Parameter],0))
),
"Review",
"Accept")),
"Parameter Error")</f>
        <v>Review</v>
      </c>
    </row>
    <row r="61" spans="1:12" ht="51">
      <c r="A61" s="8" t="str">
        <f>TRIM(SUBSTITUTE(CLEAN(Raw_Data!A61),CHAR(160)," "))</f>
        <v>Abuja Municipal Area Council</v>
      </c>
      <c r="B61" s="8" t="str">
        <f t="array" ref="B61">TRIM(SUBSTITUTE(CLEAN(Raw_Data!B61),CHAR(160)," "))</f>
        <v>Karu Ward</v>
      </c>
      <c r="C61" s="8" t="str">
        <f t="array" ref="C61">TRIM(SUBSTITUTE(CLEAN(Raw_Data!C61),CHAR(160)," "))</f>
        <v>Cornelian Jubilee Hospital (Jikwoyi)</v>
      </c>
      <c r="D61" s="7">
        <f>COUNTA(Raw_Data!D61:CI61)</f>
        <v>5</v>
      </c>
      <c r="E61" s="7">
        <f t="shared" si="0"/>
        <v>79</v>
      </c>
      <c r="F61" s="9">
        <f>INDEX(tblParameters[Value],MATCH("ExpectedValues",tblParameters[Parameter],0))</f>
        <v>84</v>
      </c>
      <c r="G61" s="7">
        <f t="shared" si="1"/>
        <v>5.9523809523809521E-2</v>
      </c>
      <c r="H61" s="7" t="str">
        <f>LOOKUP(G61,tblIndicatorScore[Min],tblIndicatorScore[Rating])</f>
        <v>Poor</v>
      </c>
      <c r="I61" s="7">
        <f>LOOKUP(G61,tblIndicatorScore[Min],tblIndicatorScore[Score])</f>
        <v>0</v>
      </c>
      <c r="J61" s="7" t="str">
        <f t="shared" si="2"/>
        <v>No</v>
      </c>
      <c r="K61" s="7" t="str">
        <f t="shared" si="3"/>
        <v>No</v>
      </c>
      <c r="L61" s="7" t="str">
        <f>IFERROR(
IF(K61="Yes","Incomplete",
IF(OR(
J61="Yes",
G61&lt;INDEX(tblParameters[Value],MATCH("MinimumAcceptCompleteness",tblParameters[Parameter],0))
),
"Review",
"Accept")),
"Parameter Error")</f>
        <v>Review</v>
      </c>
    </row>
    <row r="62" spans="1:12" ht="63.75">
      <c r="A62" s="8" t="str">
        <f>TRIM(SUBSTITUTE(CLEAN(Raw_Data!A62),CHAR(160)," "))</f>
        <v>Abuja Municipal Area Council</v>
      </c>
      <c r="B62" s="8" t="str">
        <f t="array" ref="B62">TRIM(SUBSTITUTE(CLEAN(Raw_Data!B62),CHAR(160)," "))</f>
        <v>Gwagwa Ward</v>
      </c>
      <c r="C62" s="8" t="str">
        <f t="array" ref="C62">TRIM(SUBSTITUTE(CLEAN(Raw_Data!C62),CHAR(160)," "))</f>
        <v>Cream Medics Clinic &amp; Maternity (Gwagwa)</v>
      </c>
      <c r="D62" s="7">
        <f>COUNTA(Raw_Data!D62:CI62)</f>
        <v>2</v>
      </c>
      <c r="E62" s="7">
        <f t="shared" si="0"/>
        <v>82</v>
      </c>
      <c r="F62" s="9">
        <f>INDEX(tblParameters[Value],MATCH("ExpectedValues",tblParameters[Parameter],0))</f>
        <v>84</v>
      </c>
      <c r="G62" s="7">
        <f t="shared" si="1"/>
        <v>2.3809523809523808E-2</v>
      </c>
      <c r="H62" s="7" t="str">
        <f>LOOKUP(G62,tblIndicatorScore[Min],tblIndicatorScore[Rating])</f>
        <v>Poor</v>
      </c>
      <c r="I62" s="7">
        <f>LOOKUP(G62,tblIndicatorScore[Min],tblIndicatorScore[Score])</f>
        <v>0</v>
      </c>
      <c r="J62" s="7" t="str">
        <f t="shared" si="2"/>
        <v>No</v>
      </c>
      <c r="K62" s="7" t="str">
        <f t="shared" si="3"/>
        <v>No</v>
      </c>
      <c r="L62" s="7" t="str">
        <f>IFERROR(
IF(K62="Yes","Incomplete",
IF(OR(
J62="Yes",
G62&lt;INDEX(tblParameters[Value],MATCH("MinimumAcceptCompleteness",tblParameters[Parameter],0))
),
"Review",
"Accept")),
"Parameter Error")</f>
        <v>Review</v>
      </c>
    </row>
    <row r="63" spans="1:12" ht="51">
      <c r="A63" s="8" t="str">
        <f>TRIM(SUBSTITUTE(CLEAN(Raw_Data!A63),CHAR(160)," "))</f>
        <v>Abuja Municipal Area Council</v>
      </c>
      <c r="B63" s="8" t="str">
        <f t="array" ref="B63">TRIM(SUBSTITUTE(CLEAN(Raw_Data!B63),CHAR(160)," "))</f>
        <v>City Centre Ward</v>
      </c>
      <c r="C63" s="8" t="str">
        <f t="array" ref="C63">TRIM(SUBSTITUTE(CLEAN(Raw_Data!C63),CHAR(160)," "))</f>
        <v>Crystal Paediatric Clinic</v>
      </c>
      <c r="D63" s="7">
        <f>COUNTA(Raw_Data!D63:CI63)</f>
        <v>9</v>
      </c>
      <c r="E63" s="7">
        <f t="shared" si="0"/>
        <v>75</v>
      </c>
      <c r="F63" s="9">
        <f>INDEX(tblParameters[Value],MATCH("ExpectedValues",tblParameters[Parameter],0))</f>
        <v>84</v>
      </c>
      <c r="G63" s="7">
        <f t="shared" si="1"/>
        <v>0.10714285714285714</v>
      </c>
      <c r="H63" s="7" t="str">
        <f>LOOKUP(G63,tblIndicatorScore[Min],tblIndicatorScore[Rating])</f>
        <v>Poor</v>
      </c>
      <c r="I63" s="7">
        <f>LOOKUP(G63,tblIndicatorScore[Min],tblIndicatorScore[Score])</f>
        <v>0</v>
      </c>
      <c r="J63" s="7" t="str">
        <f t="shared" si="2"/>
        <v>No</v>
      </c>
      <c r="K63" s="7" t="str">
        <f t="shared" si="3"/>
        <v>No</v>
      </c>
      <c r="L63" s="7" t="str">
        <f>IFERROR(
IF(K63="Yes","Incomplete",
IF(OR(
J63="Yes",
G63&lt;INDEX(tblParameters[Value],MATCH("MinimumAcceptCompleteness",tblParameters[Parameter],0))
),
"Review",
"Accept")),
"Parameter Error")</f>
        <v>Review</v>
      </c>
    </row>
    <row r="64" spans="1:12" ht="76.5">
      <c r="A64" s="8" t="str">
        <f>TRIM(SUBSTITUTE(CLEAN(Raw_Data!A64),CHAR(160)," "))</f>
        <v>Kwali Local Government Area</v>
      </c>
      <c r="B64" s="8" t="str">
        <f t="array" ref="B64">TRIM(SUBSTITUTE(CLEAN(Raw_Data!B64),CHAR(160)," "))</f>
        <v>Pai Ward</v>
      </c>
      <c r="C64" s="8" t="str">
        <f t="array" ref="C64">TRIM(SUBSTITUTE(CLEAN(Raw_Data!C64),CHAR(160)," "))</f>
        <v>Dabi/Bako Comprehensive Health Centre</v>
      </c>
      <c r="D64" s="7">
        <f>COUNTA(Raw_Data!D64:CI64)</f>
        <v>69</v>
      </c>
      <c r="E64" s="7">
        <f t="shared" si="0"/>
        <v>15</v>
      </c>
      <c r="F64" s="9">
        <f>INDEX(tblParameters[Value],MATCH("ExpectedValues",tblParameters[Parameter],0))</f>
        <v>84</v>
      </c>
      <c r="G64" s="7">
        <f t="shared" si="1"/>
        <v>0.8214285714285714</v>
      </c>
      <c r="H64" s="7" t="str">
        <f>LOOKUP(G64,tblIndicatorScore[Min],tblIndicatorScore[Rating])</f>
        <v>Fair</v>
      </c>
      <c r="I64" s="7">
        <f>LOOKUP(G64,tblIndicatorScore[Min],tblIndicatorScore[Score])</f>
        <v>1</v>
      </c>
      <c r="J64" s="7" t="str">
        <f t="shared" si="2"/>
        <v>No</v>
      </c>
      <c r="K64" s="7" t="str">
        <f t="shared" si="3"/>
        <v>No</v>
      </c>
      <c r="L64" s="7" t="str">
        <f>IFERROR(
IF(K64="Yes","Incomplete",
IF(OR(
J64="Yes",
G64&lt;INDEX(tblParameters[Value],MATCH("MinimumAcceptCompleteness",tblParameters[Parameter],0))
),
"Review",
"Accept")),
"Parameter Error")</f>
        <v>Review</v>
      </c>
    </row>
    <row r="65" spans="1:12" ht="51">
      <c r="A65" s="8" t="str">
        <f>TRIM(SUBSTITUTE(CLEAN(Raw_Data!A65),CHAR(160)," "))</f>
        <v>Kwali Local Government Area</v>
      </c>
      <c r="B65" s="8" t="str">
        <f t="array" ref="B65">TRIM(SUBSTITUTE(CLEAN(Raw_Data!B65),CHAR(160)," "))</f>
        <v>Dafa Ward</v>
      </c>
      <c r="C65" s="8" t="str">
        <f t="array" ref="C65">TRIM(SUBSTITUTE(CLEAN(Raw_Data!C65),CHAR(160)," "))</f>
        <v>Dafa Health Clinic</v>
      </c>
      <c r="D65" s="7">
        <f>COUNTA(Raw_Data!D65:CI65)</f>
        <v>65</v>
      </c>
      <c r="E65" s="7">
        <f t="shared" si="0"/>
        <v>19</v>
      </c>
      <c r="F65" s="9">
        <f>INDEX(tblParameters[Value],MATCH("ExpectedValues",tblParameters[Parameter],0))</f>
        <v>84</v>
      </c>
      <c r="G65" s="7">
        <f t="shared" si="1"/>
        <v>0.77380952380952384</v>
      </c>
      <c r="H65" s="7" t="str">
        <f>LOOKUP(G65,tblIndicatorScore[Min],tblIndicatorScore[Rating])</f>
        <v>Poor</v>
      </c>
      <c r="I65" s="7">
        <f>LOOKUP(G65,tblIndicatorScore[Min],tblIndicatorScore[Score])</f>
        <v>0</v>
      </c>
      <c r="J65" s="7" t="str">
        <f t="shared" si="2"/>
        <v>No</v>
      </c>
      <c r="K65" s="7" t="str">
        <f t="shared" si="3"/>
        <v>No</v>
      </c>
      <c r="L65" s="7" t="str">
        <f>IFERROR(
IF(K65="Yes","Incomplete",
IF(OR(
J65="Yes",
G65&lt;INDEX(tblParameters[Value],MATCH("MinimumAcceptCompleteness",tblParameters[Parameter],0))
),
"Review",
"Accept")),
"Parameter Error")</f>
        <v>Review</v>
      </c>
    </row>
    <row r="66" spans="1:12" ht="51">
      <c r="A66" s="8" t="str">
        <f>TRIM(SUBSTITUTE(CLEAN(Raw_Data!A66),CHAR(160)," "))</f>
        <v>Kuje Local Government Area</v>
      </c>
      <c r="B66" s="8" t="str">
        <f t="array" ref="B66">TRIM(SUBSTITUTE(CLEAN(Raw_Data!B66),CHAR(160)," "))</f>
        <v>Gaube Ward</v>
      </c>
      <c r="C66" s="8" t="str">
        <f t="array" ref="C66">TRIM(SUBSTITUTE(CLEAN(Raw_Data!C66),CHAR(160)," "))</f>
        <v>Dafara Primary Health Centre</v>
      </c>
      <c r="D66" s="7">
        <f>COUNTA(Raw_Data!D66:CI66)</f>
        <v>39</v>
      </c>
      <c r="E66" s="7">
        <f t="shared" si="0"/>
        <v>45</v>
      </c>
      <c r="F66" s="9">
        <f>INDEX(tblParameters[Value],MATCH("ExpectedValues",tblParameters[Parameter],0))</f>
        <v>84</v>
      </c>
      <c r="G66" s="7">
        <f t="shared" si="1"/>
        <v>0.4642857142857143</v>
      </c>
      <c r="H66" s="7" t="str">
        <f>LOOKUP(G66,tblIndicatorScore[Min],tblIndicatorScore[Rating])</f>
        <v>Poor</v>
      </c>
      <c r="I66" s="7">
        <f>LOOKUP(G66,tblIndicatorScore[Min],tblIndicatorScore[Score])</f>
        <v>0</v>
      </c>
      <c r="J66" s="7" t="str">
        <f t="shared" si="2"/>
        <v>No</v>
      </c>
      <c r="K66" s="7" t="str">
        <f t="shared" si="3"/>
        <v>No</v>
      </c>
      <c r="L66" s="7" t="str">
        <f>IFERROR(
IF(K66="Yes","Incomplete",
IF(OR(
J66="Yes",
G66&lt;INDEX(tblParameters[Value],MATCH("MinimumAcceptCompleteness",tblParameters[Parameter],0))
),
"Review",
"Accept")),
"Parameter Error")</f>
        <v>Review</v>
      </c>
    </row>
    <row r="67" spans="1:12" ht="51">
      <c r="A67" s="8" t="str">
        <f>TRIM(SUBSTITUTE(CLEAN(Raw_Data!A67),CHAR(160)," "))</f>
        <v>Gwagwalada Local Government Area</v>
      </c>
      <c r="B67" s="8" t="str">
        <f t="array" ref="B67">TRIM(SUBSTITUTE(CLEAN(Raw_Data!B67),CHAR(160)," "))</f>
        <v>Central Ward</v>
      </c>
      <c r="C67" s="8" t="str">
        <f t="array" ref="C67">TRIM(SUBSTITUTE(CLEAN(Raw_Data!C67),CHAR(160)," "))</f>
        <v>Dagiri Primary Health Clinic</v>
      </c>
      <c r="D67" s="7">
        <f>COUNTA(Raw_Data!D67:CI67)</f>
        <v>61</v>
      </c>
      <c r="E67" s="7">
        <f t="shared" ref="E67:E130" si="4">F67-D67</f>
        <v>23</v>
      </c>
      <c r="F67" s="9">
        <f>INDEX(tblParameters[Value],MATCH("ExpectedValues",tblParameters[Parameter],0))</f>
        <v>84</v>
      </c>
      <c r="G67" s="7">
        <f t="shared" ref="G67:G130" si="5">D67/F67</f>
        <v>0.72619047619047616</v>
      </c>
      <c r="H67" s="7" t="str">
        <f>LOOKUP(G67,tblIndicatorScore[Min],tblIndicatorScore[Rating])</f>
        <v>Poor</v>
      </c>
      <c r="I67" s="7">
        <f>LOOKUP(G67,tblIndicatorScore[Min],tblIndicatorScore[Score])</f>
        <v>0</v>
      </c>
      <c r="J67" s="7" t="str">
        <f t="shared" ref="J67:J130" si="6">IF(OR(A67="",B67="",C67=""),"",IF(COUNTIFS($A:$A,A67,$B:$B,B67,$C:$C,C67)&gt;1,"Yes","No"))</f>
        <v>No</v>
      </c>
      <c r="K67" s="7" t="str">
        <f t="shared" ref="K67:K130" si="7">IF(OR(TRIM(A67)="",TRIM(B67)="",TRIM(C67)="",D67&lt;=0,F67&lt;=0),"Yes","No")</f>
        <v>No</v>
      </c>
      <c r="L67" s="7" t="str">
        <f>IFERROR(
IF(K67="Yes","Incomplete",
IF(OR(
J67="Yes",
G67&lt;INDEX(tblParameters[Value],MATCH("MinimumAcceptCompleteness",tblParameters[Parameter],0))
),
"Review",
"Accept")),
"Parameter Error")</f>
        <v>Review</v>
      </c>
    </row>
    <row r="68" spans="1:12" ht="63.75">
      <c r="A68" s="8" t="str">
        <f>TRIM(SUBSTITUTE(CLEAN(Raw_Data!A68),CHAR(160)," "))</f>
        <v>Abuja Municipal Area Council</v>
      </c>
      <c r="B68" s="8" t="str">
        <f t="array" ref="B68">TRIM(SUBSTITUTE(CLEAN(Raw_Data!B68),CHAR(160)," "))</f>
        <v>Jiwa Ward</v>
      </c>
      <c r="C68" s="8" t="str">
        <f t="array" ref="C68">TRIM(SUBSTITUTE(CLEAN(Raw_Data!C68),CHAR(160)," "))</f>
        <v>Dakwa Dantata Primary Health Clinic</v>
      </c>
      <c r="D68" s="7">
        <f>COUNTA(Raw_Data!D68:CI68)</f>
        <v>49</v>
      </c>
      <c r="E68" s="7">
        <f t="shared" si="4"/>
        <v>35</v>
      </c>
      <c r="F68" s="9">
        <f>INDEX(tblParameters[Value],MATCH("ExpectedValues",tblParameters[Parameter],0))</f>
        <v>84</v>
      </c>
      <c r="G68" s="7">
        <f t="shared" si="5"/>
        <v>0.58333333333333337</v>
      </c>
      <c r="H68" s="7" t="str">
        <f>LOOKUP(G68,tblIndicatorScore[Min],tblIndicatorScore[Rating])</f>
        <v>Poor</v>
      </c>
      <c r="I68" s="7">
        <f>LOOKUP(G68,tblIndicatorScore[Min],tblIndicatorScore[Score])</f>
        <v>0</v>
      </c>
      <c r="J68" s="7" t="str">
        <f t="shared" si="6"/>
        <v>No</v>
      </c>
      <c r="K68" s="7" t="str">
        <f t="shared" si="7"/>
        <v>No</v>
      </c>
      <c r="L68" s="7" t="str">
        <f>IFERROR(
IF(K68="Yes","Incomplete",
IF(OR(
J68="Yes",
G68&lt;INDEX(tblParameters[Value],MATCH("MinimumAcceptCompleteness",tblParameters[Parameter],0))
),
"Review",
"Accept")),
"Parameter Error")</f>
        <v>Review</v>
      </c>
    </row>
    <row r="69" spans="1:12" ht="51">
      <c r="A69" s="8" t="str">
        <f>TRIM(SUBSTITUTE(CLEAN(Raw_Data!A69),CHAR(160)," "))</f>
        <v>Bwari Local Government Area</v>
      </c>
      <c r="B69" s="8" t="str">
        <f t="array" ref="B69">TRIM(SUBSTITUTE(CLEAN(Raw_Data!B69),CHAR(160)," "))</f>
        <v>Kubwa Ward</v>
      </c>
      <c r="C69" s="8" t="str">
        <f t="array" ref="C69">TRIM(SUBSTITUTE(CLEAN(Raw_Data!C69),CHAR(160)," "))</f>
        <v>Dakwa Primary Health Clinic</v>
      </c>
      <c r="D69" s="7">
        <f>COUNTA(Raw_Data!D69:CI69)</f>
        <v>66</v>
      </c>
      <c r="E69" s="7">
        <f t="shared" si="4"/>
        <v>18</v>
      </c>
      <c r="F69" s="9">
        <f>INDEX(tblParameters[Value],MATCH("ExpectedValues",tblParameters[Parameter],0))</f>
        <v>84</v>
      </c>
      <c r="G69" s="7">
        <f t="shared" si="5"/>
        <v>0.7857142857142857</v>
      </c>
      <c r="H69" s="7" t="str">
        <f>LOOKUP(G69,tblIndicatorScore[Min],tblIndicatorScore[Rating])</f>
        <v>Poor</v>
      </c>
      <c r="I69" s="7">
        <f>LOOKUP(G69,tblIndicatorScore[Min],tblIndicatorScore[Score])</f>
        <v>0</v>
      </c>
      <c r="J69" s="7" t="str">
        <f t="shared" si="6"/>
        <v>No</v>
      </c>
      <c r="K69" s="7" t="str">
        <f t="shared" si="7"/>
        <v>No</v>
      </c>
      <c r="L69" s="7" t="str">
        <f>IFERROR(
IF(K69="Yes","Incomplete",
IF(OR(
J69="Yes",
G69&lt;INDEX(tblParameters[Value],MATCH("MinimumAcceptCompleteness",tblParameters[Parameter],0))
),
"Review",
"Accept")),
"Parameter Error")</f>
        <v>Review</v>
      </c>
    </row>
    <row r="70" spans="1:12" ht="51">
      <c r="A70" s="8" t="str">
        <f>TRIM(SUBSTITUTE(CLEAN(Raw_Data!A70),CHAR(160)," "))</f>
        <v>Abuja Municipal Area Council</v>
      </c>
      <c r="B70" s="8" t="str">
        <f t="array" ref="B70">TRIM(SUBSTITUTE(CLEAN(Raw_Data!B70),CHAR(160)," "))</f>
        <v>Garki Ward</v>
      </c>
      <c r="C70" s="8" t="str">
        <f t="array" ref="C70">TRIM(SUBSTITUTE(CLEAN(Raw_Data!C70),CHAR(160)," "))</f>
        <v>Damagaza Primary Health Centre</v>
      </c>
      <c r="D70" s="7">
        <f>COUNTA(Raw_Data!D70:CI70)</f>
        <v>57</v>
      </c>
      <c r="E70" s="7">
        <f t="shared" si="4"/>
        <v>27</v>
      </c>
      <c r="F70" s="9">
        <f>INDEX(tblParameters[Value],MATCH("ExpectedValues",tblParameters[Parameter],0))</f>
        <v>84</v>
      </c>
      <c r="G70" s="7">
        <f t="shared" si="5"/>
        <v>0.6785714285714286</v>
      </c>
      <c r="H70" s="7" t="str">
        <f>LOOKUP(G70,tblIndicatorScore[Min],tblIndicatorScore[Rating])</f>
        <v>Poor</v>
      </c>
      <c r="I70" s="7">
        <f>LOOKUP(G70,tblIndicatorScore[Min],tblIndicatorScore[Score])</f>
        <v>0</v>
      </c>
      <c r="J70" s="7" t="str">
        <f t="shared" si="6"/>
        <v>No</v>
      </c>
      <c r="K70" s="7" t="str">
        <f t="shared" si="7"/>
        <v>No</v>
      </c>
      <c r="L70" s="7" t="str">
        <f>IFERROR(
IF(K70="Yes","Incomplete",
IF(OR(
J70="Yes",
G70&lt;INDEX(tblParameters[Value],MATCH("MinimumAcceptCompleteness",tblParameters[Parameter],0))
),
"Review",
"Accept")),
"Parameter Error")</f>
        <v>Review</v>
      </c>
    </row>
    <row r="71" spans="1:12" ht="51">
      <c r="A71" s="8" t="str">
        <f>TRIM(SUBSTITUTE(CLEAN(Raw_Data!A71),CHAR(160)," "))</f>
        <v>Kwali Local Government Area</v>
      </c>
      <c r="B71" s="8" t="str">
        <f t="array" ref="B71">TRIM(SUBSTITUTE(CLEAN(Raw_Data!B71),CHAR(160)," "))</f>
        <v>Kundu Ward</v>
      </c>
      <c r="C71" s="8" t="str">
        <f t="array" ref="C71">TRIM(SUBSTITUTE(CLEAN(Raw_Data!C71),CHAR(160)," "))</f>
        <v>Damakusa Primary Health Clinic</v>
      </c>
      <c r="D71" s="7">
        <f>COUNTA(Raw_Data!D71:CI71)</f>
        <v>62</v>
      </c>
      <c r="E71" s="7">
        <f t="shared" si="4"/>
        <v>22</v>
      </c>
      <c r="F71" s="9">
        <f>INDEX(tblParameters[Value],MATCH("ExpectedValues",tblParameters[Parameter],0))</f>
        <v>84</v>
      </c>
      <c r="G71" s="7">
        <f t="shared" si="5"/>
        <v>0.73809523809523814</v>
      </c>
      <c r="H71" s="7" t="str">
        <f>LOOKUP(G71,tblIndicatorScore[Min],tblIndicatorScore[Rating])</f>
        <v>Poor</v>
      </c>
      <c r="I71" s="7">
        <f>LOOKUP(G71,tblIndicatorScore[Min],tblIndicatorScore[Score])</f>
        <v>0</v>
      </c>
      <c r="J71" s="7" t="str">
        <f t="shared" si="6"/>
        <v>No</v>
      </c>
      <c r="K71" s="7" t="str">
        <f t="shared" si="7"/>
        <v>No</v>
      </c>
      <c r="L71" s="7" t="str">
        <f>IFERROR(
IF(K71="Yes","Incomplete",
IF(OR(
J71="Yes",
G71&lt;INDEX(tblParameters[Value],MATCH("MinimumAcceptCompleteness",tblParameters[Parameter],0))
),
"Review",
"Accept")),
"Parameter Error")</f>
        <v>Review</v>
      </c>
    </row>
    <row r="72" spans="1:12" ht="51">
      <c r="A72" s="8" t="str">
        <f>TRIM(SUBSTITUTE(CLEAN(Raw_Data!A72),CHAR(160)," "))</f>
        <v>Kwali Local Government Area</v>
      </c>
      <c r="B72" s="8" t="str">
        <f t="array" ref="B72">TRIM(SUBSTITUTE(CLEAN(Raw_Data!B72),CHAR(160)," "))</f>
        <v>Wako Ward</v>
      </c>
      <c r="C72" s="8" t="str">
        <f t="array" ref="C72">TRIM(SUBSTITUTE(CLEAN(Raw_Data!C72),CHAR(160)," "))</f>
        <v>Dangara Health Clinic</v>
      </c>
      <c r="D72" s="7">
        <f>COUNTA(Raw_Data!D72:CI72)</f>
        <v>56</v>
      </c>
      <c r="E72" s="7">
        <f t="shared" si="4"/>
        <v>28</v>
      </c>
      <c r="F72" s="9">
        <f>INDEX(tblParameters[Value],MATCH("ExpectedValues",tblParameters[Parameter],0))</f>
        <v>84</v>
      </c>
      <c r="G72" s="7">
        <f t="shared" si="5"/>
        <v>0.66666666666666663</v>
      </c>
      <c r="H72" s="7" t="str">
        <f>LOOKUP(G72,tblIndicatorScore[Min],tblIndicatorScore[Rating])</f>
        <v>Poor</v>
      </c>
      <c r="I72" s="7">
        <f>LOOKUP(G72,tblIndicatorScore[Min],tblIndicatorScore[Score])</f>
        <v>0</v>
      </c>
      <c r="J72" s="7" t="str">
        <f t="shared" si="6"/>
        <v>No</v>
      </c>
      <c r="K72" s="7" t="str">
        <f t="shared" si="7"/>
        <v>No</v>
      </c>
      <c r="L72" s="7" t="str">
        <f>IFERROR(
IF(K72="Yes","Incomplete",
IF(OR(
J72="Yes",
G72&lt;INDEX(tblParameters[Value],MATCH("MinimumAcceptCompleteness",tblParameters[Parameter],0))
),
"Review",
"Accept")),
"Parameter Error")</f>
        <v>Review</v>
      </c>
    </row>
    <row r="73" spans="1:12" ht="51">
      <c r="A73" s="8" t="str">
        <f>TRIM(SUBSTITUTE(CLEAN(Raw_Data!A73),CHAR(160)," "))</f>
        <v>Kwali Local Government Area</v>
      </c>
      <c r="B73" s="8" t="str">
        <f t="array" ref="B73">TRIM(SUBSTITUTE(CLEAN(Raw_Data!B73),CHAR(160)," "))</f>
        <v>Wako Ward</v>
      </c>
      <c r="C73" s="8" t="str">
        <f t="array" ref="C73">TRIM(SUBSTITUTE(CLEAN(Raw_Data!C73),CHAR(160)," "))</f>
        <v>Dapa Primary Health Clinic</v>
      </c>
      <c r="D73" s="7">
        <f>COUNTA(Raw_Data!D73:CI73)</f>
        <v>70</v>
      </c>
      <c r="E73" s="7">
        <f t="shared" si="4"/>
        <v>14</v>
      </c>
      <c r="F73" s="9">
        <f>INDEX(tblParameters[Value],MATCH("ExpectedValues",tblParameters[Parameter],0))</f>
        <v>84</v>
      </c>
      <c r="G73" s="7">
        <f t="shared" si="5"/>
        <v>0.83333333333333337</v>
      </c>
      <c r="H73" s="7" t="str">
        <f>LOOKUP(G73,tblIndicatorScore[Min],tblIndicatorScore[Rating])</f>
        <v>Fair</v>
      </c>
      <c r="I73" s="7">
        <f>LOOKUP(G73,tblIndicatorScore[Min],tblIndicatorScore[Score])</f>
        <v>1</v>
      </c>
      <c r="J73" s="7" t="str">
        <f t="shared" si="6"/>
        <v>No</v>
      </c>
      <c r="K73" s="7" t="str">
        <f t="shared" si="7"/>
        <v>No</v>
      </c>
      <c r="L73" s="7" t="str">
        <f>IFERROR(
IF(K73="Yes","Incomplete",
IF(OR(
J73="Yes",
G73&lt;INDEX(tblParameters[Value],MATCH("MinimumAcceptCompleteness",tblParameters[Parameter],0))
),
"Review",
"Accept")),
"Parameter Error")</f>
        <v>Review</v>
      </c>
    </row>
    <row r="74" spans="1:12" ht="51">
      <c r="A74" s="8" t="str">
        <f>TRIM(SUBSTITUTE(CLEAN(Raw_Data!A74),CHAR(160)," "))</f>
        <v>Kuje Local Government Area</v>
      </c>
      <c r="B74" s="8" t="str">
        <f t="array" ref="B74">TRIM(SUBSTITUTE(CLEAN(Raw_Data!B74),CHAR(160)," "))</f>
        <v>Gudunkarya Ward</v>
      </c>
      <c r="C74" s="8" t="str">
        <f t="array" ref="C74">TRIM(SUBSTITUTE(CLEAN(Raw_Data!C74),CHAR(160)," "))</f>
        <v>Darka Primary Health Clinic</v>
      </c>
      <c r="D74" s="7">
        <f>COUNTA(Raw_Data!D74:CI74)</f>
        <v>61</v>
      </c>
      <c r="E74" s="7">
        <f t="shared" si="4"/>
        <v>23</v>
      </c>
      <c r="F74" s="9">
        <f>INDEX(tblParameters[Value],MATCH("ExpectedValues",tblParameters[Parameter],0))</f>
        <v>84</v>
      </c>
      <c r="G74" s="7">
        <f t="shared" si="5"/>
        <v>0.72619047619047616</v>
      </c>
      <c r="H74" s="7" t="str">
        <f>LOOKUP(G74,tblIndicatorScore[Min],tblIndicatorScore[Rating])</f>
        <v>Poor</v>
      </c>
      <c r="I74" s="7">
        <f>LOOKUP(G74,tblIndicatorScore[Min],tblIndicatorScore[Score])</f>
        <v>0</v>
      </c>
      <c r="J74" s="7" t="str">
        <f t="shared" si="6"/>
        <v>No</v>
      </c>
      <c r="K74" s="7" t="str">
        <f t="shared" si="7"/>
        <v>No</v>
      </c>
      <c r="L74" s="7" t="str">
        <f>IFERROR(
IF(K74="Yes","Incomplete",
IF(OR(
J74="Yes",
G74&lt;INDEX(tblParameters[Value],MATCH("MinimumAcceptCompleteness",tblParameters[Parameter],0))
),
"Review",
"Accept")),
"Parameter Error")</f>
        <v>Review</v>
      </c>
    </row>
    <row r="75" spans="1:12" ht="76.5">
      <c r="A75" s="8" t="str">
        <f>TRIM(SUBSTITUTE(CLEAN(Raw_Data!A75),CHAR(160)," "))</f>
        <v>Bwari Local Government Area</v>
      </c>
      <c r="B75" s="8" t="str">
        <f t="array" ref="B75">TRIM(SUBSTITUTE(CLEAN(Raw_Data!B75),CHAR(160)," "))</f>
        <v>Usuma Ward</v>
      </c>
      <c r="C75" s="8" t="str">
        <f t="array" ref="C75">TRIM(SUBSTITUTE(CLEAN(Raw_Data!C75),CHAR(160)," "))</f>
        <v>Daughters of Charity St Vincent Hospital</v>
      </c>
      <c r="D75" s="7">
        <f>COUNTA(Raw_Data!D75:CI75)</f>
        <v>56</v>
      </c>
      <c r="E75" s="7">
        <f t="shared" si="4"/>
        <v>28</v>
      </c>
      <c r="F75" s="9">
        <f>INDEX(tblParameters[Value],MATCH("ExpectedValues",tblParameters[Parameter],0))</f>
        <v>84</v>
      </c>
      <c r="G75" s="7">
        <f t="shared" si="5"/>
        <v>0.66666666666666663</v>
      </c>
      <c r="H75" s="7" t="str">
        <f>LOOKUP(G75,tblIndicatorScore[Min],tblIndicatorScore[Rating])</f>
        <v>Poor</v>
      </c>
      <c r="I75" s="7">
        <f>LOOKUP(G75,tblIndicatorScore[Min],tblIndicatorScore[Score])</f>
        <v>0</v>
      </c>
      <c r="J75" s="7" t="str">
        <f t="shared" si="6"/>
        <v>No</v>
      </c>
      <c r="K75" s="7" t="str">
        <f t="shared" si="7"/>
        <v>No</v>
      </c>
      <c r="L75" s="7" t="str">
        <f>IFERROR(
IF(K75="Yes","Incomplete",
IF(OR(
J75="Yes",
G75&lt;INDEX(tblParameters[Value],MATCH("MinimumAcceptCompleteness",tblParameters[Parameter],0))
),
"Review",
"Accept")),
"Parameter Error")</f>
        <v>Review</v>
      </c>
    </row>
    <row r="76" spans="1:12" ht="51">
      <c r="A76" s="8" t="str">
        <f>TRIM(SUBSTITUTE(CLEAN(Raw_Data!A76),CHAR(160)," "))</f>
        <v>Bwari Local Government Area</v>
      </c>
      <c r="B76" s="8" t="str">
        <f t="array" ref="B76">TRIM(SUBSTITUTE(CLEAN(Raw_Data!B76),CHAR(160)," "))</f>
        <v>Dutse Ward</v>
      </c>
      <c r="C76" s="8" t="str">
        <f t="array" ref="C76">TRIM(SUBSTITUTE(CLEAN(Raw_Data!C76),CHAR(160)," "))</f>
        <v>Dawaki Primary Health Centre</v>
      </c>
      <c r="D76" s="7">
        <f>COUNTA(Raw_Data!D76:CI76)</f>
        <v>63</v>
      </c>
      <c r="E76" s="7">
        <f t="shared" si="4"/>
        <v>21</v>
      </c>
      <c r="F76" s="9">
        <f>INDEX(tblParameters[Value],MATCH("ExpectedValues",tblParameters[Parameter],0))</f>
        <v>84</v>
      </c>
      <c r="G76" s="7">
        <f t="shared" si="5"/>
        <v>0.75</v>
      </c>
      <c r="H76" s="7" t="str">
        <f>LOOKUP(G76,tblIndicatorScore[Min],tblIndicatorScore[Rating])</f>
        <v>Poor</v>
      </c>
      <c r="I76" s="7">
        <f>LOOKUP(G76,tblIndicatorScore[Min],tblIndicatorScore[Score])</f>
        <v>0</v>
      </c>
      <c r="J76" s="7" t="str">
        <f t="shared" si="6"/>
        <v>No</v>
      </c>
      <c r="K76" s="7" t="str">
        <f t="shared" si="7"/>
        <v>No</v>
      </c>
      <c r="L76" s="7" t="str">
        <f>IFERROR(
IF(K76="Yes","Incomplete",
IF(OR(
J76="Yes",
G76&lt;INDEX(tblParameters[Value],MATCH("MinimumAcceptCompleteness",tblParameters[Parameter],0))
),
"Review",
"Accept")),
"Parameter Error")</f>
        <v>Review</v>
      </c>
    </row>
    <row r="77" spans="1:12" ht="76.5">
      <c r="A77" s="8" t="str">
        <f>TRIM(SUBSTITUTE(CLEAN(Raw_Data!A77),CHAR(160)," "))</f>
        <v>Abuja Municipal Area Council</v>
      </c>
      <c r="B77" s="8" t="str">
        <f t="array" ref="B77">TRIM(SUBSTITUTE(CLEAN(Raw_Data!B77),CHAR(160)," "))</f>
        <v>Gui Ward</v>
      </c>
      <c r="C77" s="8" t="str">
        <f t="array" ref="C77">TRIM(SUBSTITUTE(CLEAN(Raw_Data!C77),CHAR(160)," "))</f>
        <v>Defense Headquarters Medical Centre Abuja</v>
      </c>
      <c r="D77" s="7">
        <f>COUNTA(Raw_Data!D77:CI77)</f>
        <v>38</v>
      </c>
      <c r="E77" s="7">
        <f t="shared" si="4"/>
        <v>46</v>
      </c>
      <c r="F77" s="9">
        <f>INDEX(tblParameters[Value],MATCH("ExpectedValues",tblParameters[Parameter],0))</f>
        <v>84</v>
      </c>
      <c r="G77" s="7">
        <f t="shared" si="5"/>
        <v>0.45238095238095238</v>
      </c>
      <c r="H77" s="7" t="str">
        <f>LOOKUP(G77,tblIndicatorScore[Min],tblIndicatorScore[Rating])</f>
        <v>Poor</v>
      </c>
      <c r="I77" s="7">
        <f>LOOKUP(G77,tblIndicatorScore[Min],tblIndicatorScore[Score])</f>
        <v>0</v>
      </c>
      <c r="J77" s="7" t="str">
        <f t="shared" si="6"/>
        <v>No</v>
      </c>
      <c r="K77" s="7" t="str">
        <f t="shared" si="7"/>
        <v>No</v>
      </c>
      <c r="L77" s="7" t="str">
        <f>IFERROR(
IF(K77="Yes","Incomplete",
IF(OR(
J77="Yes",
G77&lt;INDEX(tblParameters[Value],MATCH("MinimumAcceptCompleteness",tblParameters[Parameter],0))
),
"Review",
"Accept")),
"Parameter Error")</f>
        <v>Review</v>
      </c>
    </row>
    <row r="78" spans="1:12" ht="63.75">
      <c r="A78" s="8" t="str">
        <f>TRIM(SUBSTITUTE(CLEAN(Raw_Data!A78),CHAR(160)," "))</f>
        <v>Bwari Local Government Area</v>
      </c>
      <c r="B78" s="8" t="str">
        <f t="array" ref="B78">TRIM(SUBSTITUTE(CLEAN(Raw_Data!B78),CHAR(160)," "))</f>
        <v>Kubwa Ward</v>
      </c>
      <c r="C78" s="8" t="str">
        <f t="array" ref="C78">TRIM(SUBSTITUTE(CLEAN(Raw_Data!C78),CHAR(160)," "))</f>
        <v>Dei Dei Primary Health Care Center</v>
      </c>
      <c r="D78" s="7">
        <f>COUNTA(Raw_Data!D78:CI78)</f>
        <v>64</v>
      </c>
      <c r="E78" s="7">
        <f t="shared" si="4"/>
        <v>20</v>
      </c>
      <c r="F78" s="9">
        <f>INDEX(tblParameters[Value],MATCH("ExpectedValues",tblParameters[Parameter],0))</f>
        <v>84</v>
      </c>
      <c r="G78" s="7">
        <f t="shared" si="5"/>
        <v>0.76190476190476186</v>
      </c>
      <c r="H78" s="7" t="str">
        <f>LOOKUP(G78,tblIndicatorScore[Min],tblIndicatorScore[Rating])</f>
        <v>Poor</v>
      </c>
      <c r="I78" s="7">
        <f>LOOKUP(G78,tblIndicatorScore[Min],tblIndicatorScore[Score])</f>
        <v>0</v>
      </c>
      <c r="J78" s="7" t="str">
        <f t="shared" si="6"/>
        <v>No</v>
      </c>
      <c r="K78" s="7" t="str">
        <f t="shared" si="7"/>
        <v>No</v>
      </c>
      <c r="L78" s="7" t="str">
        <f>IFERROR(
IF(K78="Yes","Incomplete",
IF(OR(
J78="Yes",
G78&lt;INDEX(tblParameters[Value],MATCH("MinimumAcceptCompleteness",tblParameters[Parameter],0))
),
"Review",
"Accept")),
"Parameter Error")</f>
        <v>Review</v>
      </c>
    </row>
    <row r="79" spans="1:12" ht="51">
      <c r="A79" s="8" t="str">
        <f>TRIM(SUBSTITUTE(CLEAN(Raw_Data!A79),CHAR(160)," "))</f>
        <v>Abuja Municipal Area Council</v>
      </c>
      <c r="B79" s="8" t="str">
        <f t="array" ref="B79">TRIM(SUBSTITUTE(CLEAN(Raw_Data!B79),CHAR(160)," "))</f>
        <v>Gwagwa Ward</v>
      </c>
      <c r="C79" s="8" t="str">
        <f t="array" ref="C79">TRIM(SUBSTITUTE(CLEAN(Raw_Data!C79),CHAR(160)," "))</f>
        <v>Dei Dei Primary Health Centre</v>
      </c>
      <c r="D79" s="7">
        <f>COUNTA(Raw_Data!D79:CI79)</f>
        <v>53</v>
      </c>
      <c r="E79" s="7">
        <f t="shared" si="4"/>
        <v>31</v>
      </c>
      <c r="F79" s="9">
        <f>INDEX(tblParameters[Value],MATCH("ExpectedValues",tblParameters[Parameter],0))</f>
        <v>84</v>
      </c>
      <c r="G79" s="7">
        <f t="shared" si="5"/>
        <v>0.63095238095238093</v>
      </c>
      <c r="H79" s="7" t="str">
        <f>LOOKUP(G79,tblIndicatorScore[Min],tblIndicatorScore[Rating])</f>
        <v>Poor</v>
      </c>
      <c r="I79" s="7">
        <f>LOOKUP(G79,tblIndicatorScore[Min],tblIndicatorScore[Score])</f>
        <v>0</v>
      </c>
      <c r="J79" s="7" t="str">
        <f t="shared" si="6"/>
        <v>No</v>
      </c>
      <c r="K79" s="7" t="str">
        <f t="shared" si="7"/>
        <v>No</v>
      </c>
      <c r="L79" s="7" t="str">
        <f>IFERROR(
IF(K79="Yes","Incomplete",
IF(OR(
J79="Yes",
G79&lt;INDEX(tblParameters[Value],MATCH("MinimumAcceptCompleteness",tblParameters[Parameter],0))
),
"Review",
"Accept")),
"Parameter Error")</f>
        <v>Review</v>
      </c>
    </row>
    <row r="80" spans="1:12" ht="51">
      <c r="A80" s="8" t="str">
        <f>TRIM(SUBSTITUTE(CLEAN(Raw_Data!A80),CHAR(160)," "))</f>
        <v>Abuja Municipal Area Council</v>
      </c>
      <c r="B80" s="8" t="str">
        <f t="array" ref="B80">TRIM(SUBSTITUTE(CLEAN(Raw_Data!B80),CHAR(160)," "))</f>
        <v>City Centre Ward</v>
      </c>
      <c r="C80" s="8" t="str">
        <f t="array" ref="C80">TRIM(SUBSTITUTE(CLEAN(Raw_Data!C80),CHAR(160)," "))</f>
        <v>Dia Clinic</v>
      </c>
      <c r="D80" s="7">
        <f>COUNTA(Raw_Data!D80:CI80)</f>
        <v>11</v>
      </c>
      <c r="E80" s="7">
        <f t="shared" si="4"/>
        <v>73</v>
      </c>
      <c r="F80" s="9">
        <f>INDEX(tblParameters[Value],MATCH("ExpectedValues",tblParameters[Parameter],0))</f>
        <v>84</v>
      </c>
      <c r="G80" s="7">
        <f t="shared" si="5"/>
        <v>0.13095238095238096</v>
      </c>
      <c r="H80" s="7" t="str">
        <f>LOOKUP(G80,tblIndicatorScore[Min],tblIndicatorScore[Rating])</f>
        <v>Poor</v>
      </c>
      <c r="I80" s="7">
        <f>LOOKUP(G80,tblIndicatorScore[Min],tblIndicatorScore[Score])</f>
        <v>0</v>
      </c>
      <c r="J80" s="7" t="str">
        <f t="shared" si="6"/>
        <v>No</v>
      </c>
      <c r="K80" s="7" t="str">
        <f t="shared" si="7"/>
        <v>No</v>
      </c>
      <c r="L80" s="7" t="str">
        <f>IFERROR(
IF(K80="Yes","Incomplete",
IF(OR(
J80="Yes",
G80&lt;INDEX(tblParameters[Value],MATCH("MinimumAcceptCompleteness",tblParameters[Parameter],0))
),
"Review",
"Accept")),
"Parameter Error")</f>
        <v>Review</v>
      </c>
    </row>
    <row r="81" spans="1:12" ht="51">
      <c r="A81" s="8" t="str">
        <f>TRIM(SUBSTITUTE(CLEAN(Raw_Data!A81),CHAR(160)," "))</f>
        <v>Abuja Municipal Area Council</v>
      </c>
      <c r="B81" s="8" t="str">
        <f t="array" ref="B81">TRIM(SUBSTITUTE(CLEAN(Raw_Data!B81),CHAR(160)," "))</f>
        <v>City Centre Ward</v>
      </c>
      <c r="C81" s="8" t="str">
        <f t="array" ref="C81">TRIM(SUBSTITUTE(CLEAN(Raw_Data!C81),CHAR(160)," "))</f>
        <v>Diff Hospital</v>
      </c>
      <c r="D81" s="7">
        <f>COUNTA(Raw_Data!D81:CI81)</f>
        <v>59</v>
      </c>
      <c r="E81" s="7">
        <f t="shared" si="4"/>
        <v>25</v>
      </c>
      <c r="F81" s="9">
        <f>INDEX(tblParameters[Value],MATCH("ExpectedValues",tblParameters[Parameter],0))</f>
        <v>84</v>
      </c>
      <c r="G81" s="7">
        <f t="shared" si="5"/>
        <v>0.70238095238095233</v>
      </c>
      <c r="H81" s="7" t="str">
        <f>LOOKUP(G81,tblIndicatorScore[Min],tblIndicatorScore[Rating])</f>
        <v>Poor</v>
      </c>
      <c r="I81" s="7">
        <f>LOOKUP(G81,tblIndicatorScore[Min],tblIndicatorScore[Score])</f>
        <v>0</v>
      </c>
      <c r="J81" s="7" t="str">
        <f t="shared" si="6"/>
        <v>No</v>
      </c>
      <c r="K81" s="7" t="str">
        <f t="shared" si="7"/>
        <v>No</v>
      </c>
      <c r="L81" s="7" t="str">
        <f>IFERROR(
IF(K81="Yes","Incomplete",
IF(OR(
J81="Yes",
G81&lt;INDEX(tblParameters[Value],MATCH("MinimumAcceptCompleteness",tblParameters[Parameter],0))
),
"Review",
"Accept")),
"Parameter Error")</f>
        <v>Review</v>
      </c>
    </row>
    <row r="82" spans="1:12" ht="51">
      <c r="A82" s="8" t="str">
        <f>TRIM(SUBSTITUTE(CLEAN(Raw_Data!A82),CHAR(160)," "))</f>
        <v>Bwari Local Government Area</v>
      </c>
      <c r="B82" s="8" t="str">
        <f t="array" ref="B82">TRIM(SUBSTITUTE(CLEAN(Raw_Data!B82),CHAR(160)," "))</f>
        <v>Usuma Ward</v>
      </c>
      <c r="C82" s="8" t="str">
        <f t="array" ref="C82">TRIM(SUBSTITUTE(CLEAN(Raw_Data!C82),CHAR(160)," "))</f>
        <v>Diocese of Kubwa, Anglican Hospital</v>
      </c>
      <c r="D82" s="7">
        <f>COUNTA(Raw_Data!D82:CI82)</f>
        <v>19</v>
      </c>
      <c r="E82" s="7">
        <f t="shared" si="4"/>
        <v>65</v>
      </c>
      <c r="F82" s="9">
        <f>INDEX(tblParameters[Value],MATCH("ExpectedValues",tblParameters[Parameter],0))</f>
        <v>84</v>
      </c>
      <c r="G82" s="7">
        <f t="shared" si="5"/>
        <v>0.22619047619047619</v>
      </c>
      <c r="H82" s="7" t="str">
        <f>LOOKUP(G82,tblIndicatorScore[Min],tblIndicatorScore[Rating])</f>
        <v>Poor</v>
      </c>
      <c r="I82" s="7">
        <f>LOOKUP(G82,tblIndicatorScore[Min],tblIndicatorScore[Score])</f>
        <v>0</v>
      </c>
      <c r="J82" s="7" t="str">
        <f t="shared" si="6"/>
        <v>No</v>
      </c>
      <c r="K82" s="7" t="str">
        <f t="shared" si="7"/>
        <v>No</v>
      </c>
      <c r="L82" s="7" t="str">
        <f>IFERROR(
IF(K82="Yes","Incomplete",
IF(OR(
J82="Yes",
G82&lt;INDEX(tblParameters[Value],MATCH("MinimumAcceptCompleteness",tblParameters[Parameter],0))
),
"Review",
"Accept")),
"Parameter Error")</f>
        <v>Review</v>
      </c>
    </row>
    <row r="83" spans="1:12" ht="76.5">
      <c r="A83" s="8" t="str">
        <f>TRIM(SUBSTITUTE(CLEAN(Raw_Data!A83),CHAR(160)," "))</f>
        <v>Bwari Local Government Area</v>
      </c>
      <c r="B83" s="8" t="str">
        <f t="array" ref="B83">TRIM(SUBSTITUTE(CLEAN(Raw_Data!B83),CHAR(160)," "))</f>
        <v>Dutse Ward</v>
      </c>
      <c r="C83" s="8" t="str">
        <f t="array" ref="C83">TRIM(SUBSTITUTE(CLEAN(Raw_Data!C83),CHAR(160)," "))</f>
        <v>Divine Winners Medical and Maternity Ltd</v>
      </c>
      <c r="D83" s="7">
        <f>COUNTA(Raw_Data!D83:CI83)</f>
        <v>60</v>
      </c>
      <c r="E83" s="7">
        <f t="shared" si="4"/>
        <v>24</v>
      </c>
      <c r="F83" s="9">
        <f>INDEX(tblParameters[Value],MATCH("ExpectedValues",tblParameters[Parameter],0))</f>
        <v>84</v>
      </c>
      <c r="G83" s="7">
        <f t="shared" si="5"/>
        <v>0.7142857142857143</v>
      </c>
      <c r="H83" s="7" t="str">
        <f>LOOKUP(G83,tblIndicatorScore[Min],tblIndicatorScore[Rating])</f>
        <v>Poor</v>
      </c>
      <c r="I83" s="7">
        <f>LOOKUP(G83,tblIndicatorScore[Min],tblIndicatorScore[Score])</f>
        <v>0</v>
      </c>
      <c r="J83" s="7" t="str">
        <f t="shared" si="6"/>
        <v>No</v>
      </c>
      <c r="K83" s="7" t="str">
        <f t="shared" si="7"/>
        <v>No</v>
      </c>
      <c r="L83" s="7" t="str">
        <f>IFERROR(
IF(K83="Yes","Incomplete",
IF(OR(
J83="Yes",
G83&lt;INDEX(tblParameters[Value],MATCH("MinimumAcceptCompleteness",tblParameters[Parameter],0))
),
"Review",
"Accept")),
"Parameter Error")</f>
        <v>Review</v>
      </c>
    </row>
    <row r="84" spans="1:12" ht="51">
      <c r="A84" s="8" t="str">
        <f>TRIM(SUBSTITUTE(CLEAN(Raw_Data!A84),CHAR(160)," "))</f>
        <v>Abuja Municipal Area Council</v>
      </c>
      <c r="B84" s="8" t="str">
        <f t="array" ref="B84">TRIM(SUBSTITUTE(CLEAN(Raw_Data!B84),CHAR(160)," "))</f>
        <v>Kabusa Ward</v>
      </c>
      <c r="C84" s="8" t="str">
        <f t="array" ref="C84">TRIM(SUBSTITUTE(CLEAN(Raw_Data!C84),CHAR(160)," "))</f>
        <v>Dnakwo Primary Health Clinic</v>
      </c>
      <c r="D84" s="7">
        <f>COUNTA(Raw_Data!D84:CI84)</f>
        <v>46</v>
      </c>
      <c r="E84" s="7">
        <f t="shared" si="4"/>
        <v>38</v>
      </c>
      <c r="F84" s="9">
        <f>INDEX(tblParameters[Value],MATCH("ExpectedValues",tblParameters[Parameter],0))</f>
        <v>84</v>
      </c>
      <c r="G84" s="7">
        <f t="shared" si="5"/>
        <v>0.54761904761904767</v>
      </c>
      <c r="H84" s="7" t="str">
        <f>LOOKUP(G84,tblIndicatorScore[Min],tblIndicatorScore[Rating])</f>
        <v>Poor</v>
      </c>
      <c r="I84" s="7">
        <f>LOOKUP(G84,tblIndicatorScore[Min],tblIndicatorScore[Score])</f>
        <v>0</v>
      </c>
      <c r="J84" s="7" t="str">
        <f t="shared" si="6"/>
        <v>No</v>
      </c>
      <c r="K84" s="7" t="str">
        <f t="shared" si="7"/>
        <v>No</v>
      </c>
      <c r="L84" s="7" t="str">
        <f>IFERROR(
IF(K84="Yes","Incomplete",
IF(OR(
J84="Yes",
G84&lt;INDEX(tblParameters[Value],MATCH("MinimumAcceptCompleteness",tblParameters[Parameter],0))
),
"Review",
"Accept")),
"Parameter Error")</f>
        <v>Review</v>
      </c>
    </row>
    <row r="85" spans="1:12" ht="51">
      <c r="A85" s="8" t="str">
        <f>TRIM(SUBSTITUTE(CLEAN(Raw_Data!A85),CHAR(160)," "))</f>
        <v>Gwagwalada Local Government Area</v>
      </c>
      <c r="B85" s="8" t="str">
        <f t="array" ref="B85">TRIM(SUBSTITUTE(CLEAN(Raw_Data!B85),CHAR(160)," "))</f>
        <v>Dobi Ward</v>
      </c>
      <c r="C85" s="8" t="str">
        <f t="array" ref="C85">TRIM(SUBSTITUTE(CLEAN(Raw_Data!C85),CHAR(160)," "))</f>
        <v>Dobi Health Care Clinic</v>
      </c>
      <c r="D85" s="7">
        <f>COUNTA(Raw_Data!D85:CI85)</f>
        <v>66</v>
      </c>
      <c r="E85" s="7">
        <f t="shared" si="4"/>
        <v>18</v>
      </c>
      <c r="F85" s="9">
        <f>INDEX(tblParameters[Value],MATCH("ExpectedValues",tblParameters[Parameter],0))</f>
        <v>84</v>
      </c>
      <c r="G85" s="7">
        <f t="shared" si="5"/>
        <v>0.7857142857142857</v>
      </c>
      <c r="H85" s="7" t="str">
        <f>LOOKUP(G85,tblIndicatorScore[Min],tblIndicatorScore[Rating])</f>
        <v>Poor</v>
      </c>
      <c r="I85" s="7">
        <f>LOOKUP(G85,tblIndicatorScore[Min],tblIndicatorScore[Score])</f>
        <v>0</v>
      </c>
      <c r="J85" s="7" t="str">
        <f t="shared" si="6"/>
        <v>No</v>
      </c>
      <c r="K85" s="7" t="str">
        <f t="shared" si="7"/>
        <v>No</v>
      </c>
      <c r="L85" s="7" t="str">
        <f>IFERROR(
IF(K85="Yes","Incomplete",
IF(OR(
J85="Yes",
G85&lt;INDEX(tblParameters[Value],MATCH("MinimumAcceptCompleteness",tblParameters[Parameter],0))
),
"Review",
"Accept")),
"Parameter Error")</f>
        <v>Review</v>
      </c>
    </row>
    <row r="86" spans="1:12" ht="51">
      <c r="A86" s="8" t="str">
        <f>TRIM(SUBSTITUTE(CLEAN(Raw_Data!A86),CHAR(160)," "))</f>
        <v>Abaji Local Government Area</v>
      </c>
      <c r="B86" s="8" t="str">
        <f t="array" ref="B86">TRIM(SUBSTITUTE(CLEAN(Raw_Data!B86),CHAR(160)," "))</f>
        <v>Gawu Ward</v>
      </c>
      <c r="C86" s="8" t="str">
        <f t="array" ref="C86">TRIM(SUBSTITUTE(CLEAN(Raw_Data!C86),CHAR(160)," "))</f>
        <v>Dogonruwa Primary Health Clinic</v>
      </c>
      <c r="D86" s="7">
        <f>COUNTA(Raw_Data!D86:CI86)</f>
        <v>52</v>
      </c>
      <c r="E86" s="7">
        <f t="shared" si="4"/>
        <v>32</v>
      </c>
      <c r="F86" s="9">
        <f>INDEX(tblParameters[Value],MATCH("ExpectedValues",tblParameters[Parameter],0))</f>
        <v>84</v>
      </c>
      <c r="G86" s="7">
        <f t="shared" si="5"/>
        <v>0.61904761904761907</v>
      </c>
      <c r="H86" s="7" t="str">
        <f>LOOKUP(G86,tblIndicatorScore[Min],tblIndicatorScore[Rating])</f>
        <v>Poor</v>
      </c>
      <c r="I86" s="7">
        <f>LOOKUP(G86,tblIndicatorScore[Min],tblIndicatorScore[Score])</f>
        <v>0</v>
      </c>
      <c r="J86" s="7" t="str">
        <f t="shared" si="6"/>
        <v>No</v>
      </c>
      <c r="K86" s="7" t="str">
        <f t="shared" si="7"/>
        <v>No</v>
      </c>
      <c r="L86" s="7" t="str">
        <f>IFERROR(
IF(K86="Yes","Incomplete",
IF(OR(
J86="Yes",
G86&lt;INDEX(tblParameters[Value],MATCH("MinimumAcceptCompleteness",tblParameters[Parameter],0))
),
"Review",
"Accept")),
"Parameter Error")</f>
        <v>Review</v>
      </c>
    </row>
    <row r="87" spans="1:12" ht="63.75">
      <c r="A87" s="8" t="str">
        <f>TRIM(SUBSTITUTE(CLEAN(Raw_Data!A87),CHAR(160)," "))</f>
        <v>Abuja Municipal Area Council</v>
      </c>
      <c r="B87" s="8" t="str">
        <f t="array" ref="B87">TRIM(SUBSTITUTE(CLEAN(Raw_Data!B87),CHAR(160)," "))</f>
        <v>Wuse Ward</v>
      </c>
      <c r="C87" s="8" t="str">
        <f t="array" ref="C87">TRIM(SUBSTITUTE(CLEAN(Raw_Data!C87),CHAR(160)," "))</f>
        <v>Dr. Hassan'S Clinic &amp; Diag. Centre</v>
      </c>
      <c r="D87" s="7">
        <f>COUNTA(Raw_Data!D87:CI87)</f>
        <v>6</v>
      </c>
      <c r="E87" s="7">
        <f t="shared" si="4"/>
        <v>78</v>
      </c>
      <c r="F87" s="9">
        <f>INDEX(tblParameters[Value],MATCH("ExpectedValues",tblParameters[Parameter],0))</f>
        <v>84</v>
      </c>
      <c r="G87" s="7">
        <f t="shared" si="5"/>
        <v>7.1428571428571425E-2</v>
      </c>
      <c r="H87" s="7" t="str">
        <f>LOOKUP(G87,tblIndicatorScore[Min],tblIndicatorScore[Rating])</f>
        <v>Poor</v>
      </c>
      <c r="I87" s="7">
        <f>LOOKUP(G87,tblIndicatorScore[Min],tblIndicatorScore[Score])</f>
        <v>0</v>
      </c>
      <c r="J87" s="7" t="str">
        <f t="shared" si="6"/>
        <v>No</v>
      </c>
      <c r="K87" s="7" t="str">
        <f t="shared" si="7"/>
        <v>No</v>
      </c>
      <c r="L87" s="7" t="str">
        <f>IFERROR(
IF(K87="Yes","Incomplete",
IF(OR(
J87="Yes",
G87&lt;INDEX(tblParameters[Value],MATCH("MinimumAcceptCompleteness",tblParameters[Parameter],0))
),
"Review",
"Accept")),
"Parameter Error")</f>
        <v>Review</v>
      </c>
    </row>
    <row r="88" spans="1:12" ht="51">
      <c r="A88" s="8" t="str">
        <f>TRIM(SUBSTITUTE(CLEAN(Raw_Data!A88),CHAR(160)," "))</f>
        <v>Kuje Local Government Area</v>
      </c>
      <c r="B88" s="8" t="str">
        <f t="array" ref="B88">TRIM(SUBSTITUTE(CLEAN(Raw_Data!B88),CHAR(160)," "))</f>
        <v>Kabi Ward</v>
      </c>
      <c r="C88" s="8" t="str">
        <f t="array" ref="C88">TRIM(SUBSTITUTE(CLEAN(Raw_Data!C88),CHAR(160)," "))</f>
        <v>Duda Primary Health Centre</v>
      </c>
      <c r="D88" s="7">
        <f>COUNTA(Raw_Data!D88:CI88)</f>
        <v>56</v>
      </c>
      <c r="E88" s="7">
        <f t="shared" si="4"/>
        <v>28</v>
      </c>
      <c r="F88" s="9">
        <f>INDEX(tblParameters[Value],MATCH("ExpectedValues",tblParameters[Parameter],0))</f>
        <v>84</v>
      </c>
      <c r="G88" s="7">
        <f t="shared" si="5"/>
        <v>0.66666666666666663</v>
      </c>
      <c r="H88" s="7" t="str">
        <f>LOOKUP(G88,tblIndicatorScore[Min],tblIndicatorScore[Rating])</f>
        <v>Poor</v>
      </c>
      <c r="I88" s="7">
        <f>LOOKUP(G88,tblIndicatorScore[Min],tblIndicatorScore[Score])</f>
        <v>0</v>
      </c>
      <c r="J88" s="7" t="str">
        <f t="shared" si="6"/>
        <v>No</v>
      </c>
      <c r="K88" s="7" t="str">
        <f t="shared" si="7"/>
        <v>No</v>
      </c>
      <c r="L88" s="7" t="str">
        <f>IFERROR(
IF(K88="Yes","Incomplete",
IF(OR(
J88="Yes",
G88&lt;INDEX(tblParameters[Value],MATCH("MinimumAcceptCompleteness",tblParameters[Parameter],0))
),
"Review",
"Accept")),
"Parameter Error")</f>
        <v>Review</v>
      </c>
    </row>
    <row r="89" spans="1:12" ht="51">
      <c r="A89" s="8" t="str">
        <f>TRIM(SUBSTITUTE(CLEAN(Raw_Data!A89),CHAR(160)," "))</f>
        <v>Gwagwalada Local Government Area</v>
      </c>
      <c r="B89" s="8" t="str">
        <f t="array" ref="B89">TRIM(SUBSTITUTE(CLEAN(Raw_Data!B89),CHAR(160)," "))</f>
        <v>Ibwa Ward</v>
      </c>
      <c r="C89" s="8" t="str">
        <f t="array" ref="C89">TRIM(SUBSTITUTE(CLEAN(Raw_Data!C89),CHAR(160)," "))</f>
        <v>Dukwa Health Post</v>
      </c>
      <c r="D89" s="7">
        <f>COUNTA(Raw_Data!D89:CI89)</f>
        <v>66</v>
      </c>
      <c r="E89" s="7">
        <f t="shared" si="4"/>
        <v>18</v>
      </c>
      <c r="F89" s="9">
        <f>INDEX(tblParameters[Value],MATCH("ExpectedValues",tblParameters[Parameter],0))</f>
        <v>84</v>
      </c>
      <c r="G89" s="7">
        <f t="shared" si="5"/>
        <v>0.7857142857142857</v>
      </c>
      <c r="H89" s="7" t="str">
        <f>LOOKUP(G89,tblIndicatorScore[Min],tblIndicatorScore[Rating])</f>
        <v>Poor</v>
      </c>
      <c r="I89" s="7">
        <f>LOOKUP(G89,tblIndicatorScore[Min],tblIndicatorScore[Score])</f>
        <v>0</v>
      </c>
      <c r="J89" s="7" t="str">
        <f t="shared" si="6"/>
        <v>No</v>
      </c>
      <c r="K89" s="7" t="str">
        <f t="shared" si="7"/>
        <v>No</v>
      </c>
      <c r="L89" s="7" t="str">
        <f>IFERROR(
IF(K89="Yes","Incomplete",
IF(OR(
J89="Yes",
G89&lt;INDEX(tblParameters[Value],MATCH("MinimumAcceptCompleteness",tblParameters[Parameter],0))
),
"Review",
"Accept")),
"Parameter Error")</f>
        <v>Review</v>
      </c>
    </row>
    <row r="90" spans="1:12" ht="51">
      <c r="A90" s="8" t="str">
        <f>TRIM(SUBSTITUTE(CLEAN(Raw_Data!A90),CHAR(160)," "))</f>
        <v>Abuja Municipal Area Council</v>
      </c>
      <c r="B90" s="8" t="str">
        <f t="array" ref="B90">TRIM(SUBSTITUTE(CLEAN(Raw_Data!B90),CHAR(160)," "))</f>
        <v>Garki Ward</v>
      </c>
      <c r="C90" s="8" t="str">
        <f t="array" ref="C90">TRIM(SUBSTITUTE(CLEAN(Raw_Data!C90),CHAR(160)," "))</f>
        <v>Durumi II Primary Health Clinic</v>
      </c>
      <c r="D90" s="7">
        <f>COUNTA(Raw_Data!D90:CI90)</f>
        <v>54</v>
      </c>
      <c r="E90" s="7">
        <f t="shared" si="4"/>
        <v>30</v>
      </c>
      <c r="F90" s="9">
        <f>INDEX(tblParameters[Value],MATCH("ExpectedValues",tblParameters[Parameter],0))</f>
        <v>84</v>
      </c>
      <c r="G90" s="7">
        <f t="shared" si="5"/>
        <v>0.6428571428571429</v>
      </c>
      <c r="H90" s="7" t="str">
        <f>LOOKUP(G90,tblIndicatorScore[Min],tblIndicatorScore[Rating])</f>
        <v>Poor</v>
      </c>
      <c r="I90" s="7">
        <f>LOOKUP(G90,tblIndicatorScore[Min],tblIndicatorScore[Score])</f>
        <v>0</v>
      </c>
      <c r="J90" s="7" t="str">
        <f t="shared" si="6"/>
        <v>No</v>
      </c>
      <c r="K90" s="7" t="str">
        <f t="shared" si="7"/>
        <v>No</v>
      </c>
      <c r="L90" s="7" t="str">
        <f>IFERROR(
IF(K90="Yes","Incomplete",
IF(OR(
J90="Yes",
G90&lt;INDEX(tblParameters[Value],MATCH("MinimumAcceptCompleteness",tblParameters[Parameter],0))
),
"Review",
"Accept")),
"Parameter Error")</f>
        <v>Review</v>
      </c>
    </row>
    <row r="91" spans="1:12" ht="51">
      <c r="A91" s="8" t="str">
        <f>TRIM(SUBSTITUTE(CLEAN(Raw_Data!A91),CHAR(160)," "))</f>
        <v>Bwari Local Government Area</v>
      </c>
      <c r="B91" s="8" t="str">
        <f t="array" ref="B91">TRIM(SUBSTITUTE(CLEAN(Raw_Data!B91),CHAR(160)," "))</f>
        <v>Shere Ward</v>
      </c>
      <c r="C91" s="8" t="str">
        <f t="array" ref="C91">TRIM(SUBSTITUTE(CLEAN(Raw_Data!C91),CHAR(160)," "))</f>
        <v>Durumi Primary Health Clinic</v>
      </c>
      <c r="D91" s="7">
        <f>COUNTA(Raw_Data!D91:CI91)</f>
        <v>54</v>
      </c>
      <c r="E91" s="7">
        <f t="shared" si="4"/>
        <v>30</v>
      </c>
      <c r="F91" s="9">
        <f>INDEX(tblParameters[Value],MATCH("ExpectedValues",tblParameters[Parameter],0))</f>
        <v>84</v>
      </c>
      <c r="G91" s="7">
        <f t="shared" si="5"/>
        <v>0.6428571428571429</v>
      </c>
      <c r="H91" s="7" t="str">
        <f>LOOKUP(G91,tblIndicatorScore[Min],tblIndicatorScore[Rating])</f>
        <v>Poor</v>
      </c>
      <c r="I91" s="7">
        <f>LOOKUP(G91,tblIndicatorScore[Min],tblIndicatorScore[Score])</f>
        <v>0</v>
      </c>
      <c r="J91" s="7" t="str">
        <f t="shared" si="6"/>
        <v>No</v>
      </c>
      <c r="K91" s="7" t="str">
        <f t="shared" si="7"/>
        <v>No</v>
      </c>
      <c r="L91" s="7" t="str">
        <f>IFERROR(
IF(K91="Yes","Incomplete",
IF(OR(
J91="Yes",
G91&lt;INDEX(tblParameters[Value],MATCH("MinimumAcceptCompleteness",tblParameters[Parameter],0))
),
"Review",
"Accept")),
"Parameter Error")</f>
        <v>Review</v>
      </c>
    </row>
    <row r="92" spans="1:12" ht="63.75">
      <c r="A92" s="8" t="str">
        <f>TRIM(SUBSTITUTE(CLEAN(Raw_Data!A92),CHAR(160)," "))</f>
        <v>Bwari Local Government Area</v>
      </c>
      <c r="B92" s="8" t="str">
        <f t="array" ref="B92">TRIM(SUBSTITUTE(CLEAN(Raw_Data!B92),CHAR(160)," "))</f>
        <v>Dutse Ward</v>
      </c>
      <c r="C92" s="8" t="str">
        <f t="array" ref="C92">TRIM(SUBSTITUTE(CLEAN(Raw_Data!C92),CHAR(160)," "))</f>
        <v>Dutse Alhaji Primary Health Centre</v>
      </c>
      <c r="D92" s="7">
        <f>COUNTA(Raw_Data!D92:CI92)</f>
        <v>61</v>
      </c>
      <c r="E92" s="7">
        <f t="shared" si="4"/>
        <v>23</v>
      </c>
      <c r="F92" s="9">
        <f>INDEX(tblParameters[Value],MATCH("ExpectedValues",tblParameters[Parameter],0))</f>
        <v>84</v>
      </c>
      <c r="G92" s="7">
        <f t="shared" si="5"/>
        <v>0.72619047619047616</v>
      </c>
      <c r="H92" s="7" t="str">
        <f>LOOKUP(G92,tblIndicatorScore[Min],tblIndicatorScore[Rating])</f>
        <v>Poor</v>
      </c>
      <c r="I92" s="7">
        <f>LOOKUP(G92,tblIndicatorScore[Min],tblIndicatorScore[Score])</f>
        <v>0</v>
      </c>
      <c r="J92" s="7" t="str">
        <f t="shared" si="6"/>
        <v>No</v>
      </c>
      <c r="K92" s="7" t="str">
        <f t="shared" si="7"/>
        <v>No</v>
      </c>
      <c r="L92" s="7" t="str">
        <f>IFERROR(
IF(K92="Yes","Incomplete",
IF(OR(
J92="Yes",
G92&lt;INDEX(tblParameters[Value],MATCH("MinimumAcceptCompleteness",tblParameters[Parameter],0))
),
"Review",
"Accept")),
"Parameter Error")</f>
        <v>Review</v>
      </c>
    </row>
    <row r="93" spans="1:12" ht="63.75">
      <c r="A93" s="8" t="str">
        <f>TRIM(SUBSTITUTE(CLEAN(Raw_Data!A93),CHAR(160)," "))</f>
        <v>Bwari Local Government Area</v>
      </c>
      <c r="B93" s="8" t="str">
        <f t="array" ref="B93">TRIM(SUBSTITUTE(CLEAN(Raw_Data!B93),CHAR(160)," "))</f>
        <v>Dutse Ward</v>
      </c>
      <c r="C93" s="8" t="str">
        <f t="array" ref="C93">TRIM(SUBSTITUTE(CLEAN(Raw_Data!C93),CHAR(160)," "))</f>
        <v>Dutse Makaranta Primary Health Centre</v>
      </c>
      <c r="D93" s="7">
        <f>COUNTA(Raw_Data!D93:CI93)</f>
        <v>65</v>
      </c>
      <c r="E93" s="7">
        <f t="shared" si="4"/>
        <v>19</v>
      </c>
      <c r="F93" s="9">
        <f>INDEX(tblParameters[Value],MATCH("ExpectedValues",tblParameters[Parameter],0))</f>
        <v>84</v>
      </c>
      <c r="G93" s="7">
        <f t="shared" si="5"/>
        <v>0.77380952380952384</v>
      </c>
      <c r="H93" s="7" t="str">
        <f>LOOKUP(G93,tblIndicatorScore[Min],tblIndicatorScore[Rating])</f>
        <v>Poor</v>
      </c>
      <c r="I93" s="7">
        <f>LOOKUP(G93,tblIndicatorScore[Min],tblIndicatorScore[Score])</f>
        <v>0</v>
      </c>
      <c r="J93" s="7" t="str">
        <f t="shared" si="6"/>
        <v>No</v>
      </c>
      <c r="K93" s="7" t="str">
        <f t="shared" si="7"/>
        <v>No</v>
      </c>
      <c r="L93" s="7" t="str">
        <f>IFERROR(
IF(K93="Yes","Incomplete",
IF(OR(
J93="Yes",
G93&lt;INDEX(tblParameters[Value],MATCH("MinimumAcceptCompleteness",tblParameters[Parameter],0))
),
"Review",
"Accept")),
"Parameter Error")</f>
        <v>Review</v>
      </c>
    </row>
    <row r="94" spans="1:12" ht="51">
      <c r="A94" s="8" t="str">
        <f>TRIM(SUBSTITUTE(CLEAN(Raw_Data!A94),CHAR(160)," "))</f>
        <v>Abuja Municipal Area Council</v>
      </c>
      <c r="B94" s="8" t="str">
        <f t="array" ref="B94">TRIM(SUBSTITUTE(CLEAN(Raw_Data!B94),CHAR(160)," "))</f>
        <v>Garki Ward</v>
      </c>
      <c r="C94" s="8" t="str">
        <f t="array" ref="C94">TRIM(SUBSTITUTE(CLEAN(Raw_Data!C94),CHAR(160)," "))</f>
        <v>Dutsen Garki Health Clinic</v>
      </c>
      <c r="D94" s="7">
        <f>COUNTA(Raw_Data!D94:CI94)</f>
        <v>62</v>
      </c>
      <c r="E94" s="7">
        <f t="shared" si="4"/>
        <v>22</v>
      </c>
      <c r="F94" s="9">
        <f>INDEX(tblParameters[Value],MATCH("ExpectedValues",tblParameters[Parameter],0))</f>
        <v>84</v>
      </c>
      <c r="G94" s="7">
        <f t="shared" si="5"/>
        <v>0.73809523809523814</v>
      </c>
      <c r="H94" s="7" t="str">
        <f>LOOKUP(G94,tblIndicatorScore[Min],tblIndicatorScore[Rating])</f>
        <v>Poor</v>
      </c>
      <c r="I94" s="7">
        <f>LOOKUP(G94,tblIndicatorScore[Min],tblIndicatorScore[Score])</f>
        <v>0</v>
      </c>
      <c r="J94" s="7" t="str">
        <f t="shared" si="6"/>
        <v>No</v>
      </c>
      <c r="K94" s="7" t="str">
        <f t="shared" si="7"/>
        <v>No</v>
      </c>
      <c r="L94" s="7" t="str">
        <f>IFERROR(
IF(K94="Yes","Incomplete",
IF(OR(
J94="Yes",
G94&lt;INDEX(tblParameters[Value],MATCH("MinimumAcceptCompleteness",tblParameters[Parameter],0))
),
"Review",
"Accept")),
"Parameter Error")</f>
        <v>Review</v>
      </c>
    </row>
    <row r="95" spans="1:12" ht="51">
      <c r="A95" s="8" t="str">
        <f>TRIM(SUBSTITUTE(CLEAN(Raw_Data!A95),CHAR(160)," "))</f>
        <v>Abaji Local Government Area</v>
      </c>
      <c r="B95" s="8" t="str">
        <f t="array" ref="B95">TRIM(SUBSTITUTE(CLEAN(Raw_Data!B95),CHAR(160)," "))</f>
        <v>Ebagi Rimba Ward</v>
      </c>
      <c r="C95" s="8" t="str">
        <f t="array" ref="C95">TRIM(SUBSTITUTE(CLEAN(Raw_Data!C95),CHAR(160)," "))</f>
        <v>Ebagi Primary Health Clinic</v>
      </c>
      <c r="D95" s="7">
        <f>COUNTA(Raw_Data!D95:CI95)</f>
        <v>43</v>
      </c>
      <c r="E95" s="7">
        <f t="shared" si="4"/>
        <v>41</v>
      </c>
      <c r="F95" s="9">
        <f>INDEX(tblParameters[Value],MATCH("ExpectedValues",tblParameters[Parameter],0))</f>
        <v>84</v>
      </c>
      <c r="G95" s="7">
        <f t="shared" si="5"/>
        <v>0.51190476190476186</v>
      </c>
      <c r="H95" s="7" t="str">
        <f>LOOKUP(G95,tblIndicatorScore[Min],tblIndicatorScore[Rating])</f>
        <v>Poor</v>
      </c>
      <c r="I95" s="7">
        <f>LOOKUP(G95,tblIndicatorScore[Min],tblIndicatorScore[Score])</f>
        <v>0</v>
      </c>
      <c r="J95" s="7" t="str">
        <f t="shared" si="6"/>
        <v>No</v>
      </c>
      <c r="K95" s="7" t="str">
        <f t="shared" si="7"/>
        <v>No</v>
      </c>
      <c r="L95" s="7" t="str">
        <f>IFERROR(
IF(K95="Yes","Incomplete",
IF(OR(
J95="Yes",
G95&lt;INDEX(tblParameters[Value],MATCH("MinimumAcceptCompleteness",tblParameters[Parameter],0))
),
"Review",
"Accept")),
"Parameter Error")</f>
        <v>Review</v>
      </c>
    </row>
    <row r="96" spans="1:12" ht="63.75">
      <c r="A96" s="8" t="str">
        <f>TRIM(SUBSTITUTE(CLEAN(Raw_Data!A96),CHAR(160)," "))</f>
        <v>Abuja Municipal Area Council</v>
      </c>
      <c r="B96" s="8" t="str">
        <f t="array" ref="B96">TRIM(SUBSTITUTE(CLEAN(Raw_Data!B96),CHAR(160)," "))</f>
        <v>Gwarimpa Ward</v>
      </c>
      <c r="C96" s="8" t="str">
        <f t="array" ref="C96">TRIM(SUBSTITUTE(CLEAN(Raw_Data!C96),CHAR(160)," "))</f>
        <v>EL-Rapha Hospital &amp; Diagnostic Centre</v>
      </c>
      <c r="D96" s="7">
        <f>COUNTA(Raw_Data!D96:CI96)</f>
        <v>47</v>
      </c>
      <c r="E96" s="7">
        <f t="shared" si="4"/>
        <v>37</v>
      </c>
      <c r="F96" s="9">
        <f>INDEX(tblParameters[Value],MATCH("ExpectedValues",tblParameters[Parameter],0))</f>
        <v>84</v>
      </c>
      <c r="G96" s="7">
        <f t="shared" si="5"/>
        <v>0.55952380952380953</v>
      </c>
      <c r="H96" s="7" t="str">
        <f>LOOKUP(G96,tblIndicatorScore[Min],tblIndicatorScore[Rating])</f>
        <v>Poor</v>
      </c>
      <c r="I96" s="7">
        <f>LOOKUP(G96,tblIndicatorScore[Min],tblIndicatorScore[Score])</f>
        <v>0</v>
      </c>
      <c r="J96" s="7" t="str">
        <f t="shared" si="6"/>
        <v>No</v>
      </c>
      <c r="K96" s="7" t="str">
        <f t="shared" si="7"/>
        <v>No</v>
      </c>
      <c r="L96" s="7" t="str">
        <f>IFERROR(
IF(K96="Yes","Incomplete",
IF(OR(
J96="Yes",
G96&lt;INDEX(tblParameters[Value],MATCH("MinimumAcceptCompleteness",tblParameters[Parameter],0))
),
"Review",
"Accept")),
"Parameter Error")</f>
        <v>Review</v>
      </c>
    </row>
    <row r="97" spans="1:12" ht="63.75">
      <c r="A97" s="8" t="str">
        <f>TRIM(SUBSTITUTE(CLEAN(Raw_Data!A97),CHAR(160)," "))</f>
        <v>Abuja Municipal Area Council</v>
      </c>
      <c r="B97" s="8" t="str">
        <f t="array" ref="B97">TRIM(SUBSTITUTE(CLEAN(Raw_Data!B97),CHAR(160)," "))</f>
        <v>Jiwa Ward</v>
      </c>
      <c r="C97" s="8" t="str">
        <f t="array" ref="C97">TRIM(SUBSTITUTE(CLEAN(Raw_Data!C97),CHAR(160)," "))</f>
        <v>Ellan Clinic And Maternity (Karmo)</v>
      </c>
      <c r="D97" s="7">
        <f>COUNTA(Raw_Data!D97:CI97)</f>
        <v>25</v>
      </c>
      <c r="E97" s="7">
        <f t="shared" si="4"/>
        <v>59</v>
      </c>
      <c r="F97" s="9">
        <f>INDEX(tblParameters[Value],MATCH("ExpectedValues",tblParameters[Parameter],0))</f>
        <v>84</v>
      </c>
      <c r="G97" s="7">
        <f t="shared" si="5"/>
        <v>0.29761904761904762</v>
      </c>
      <c r="H97" s="7" t="str">
        <f>LOOKUP(G97,tblIndicatorScore[Min],tblIndicatorScore[Rating])</f>
        <v>Poor</v>
      </c>
      <c r="I97" s="7">
        <f>LOOKUP(G97,tblIndicatorScore[Min],tblIndicatorScore[Score])</f>
        <v>0</v>
      </c>
      <c r="J97" s="7" t="str">
        <f t="shared" si="6"/>
        <v>No</v>
      </c>
      <c r="K97" s="7" t="str">
        <f t="shared" si="7"/>
        <v>No</v>
      </c>
      <c r="L97" s="7" t="str">
        <f>IFERROR(
IF(K97="Yes","Incomplete",
IF(OR(
J97="Yes",
G97&lt;INDEX(tblParameters[Value],MATCH("MinimumAcceptCompleteness",tblParameters[Parameter],0))
),
"Review",
"Accept")),
"Parameter Error")</f>
        <v>Review</v>
      </c>
    </row>
    <row r="98" spans="1:12" ht="51">
      <c r="A98" s="8" t="str">
        <f>TRIM(SUBSTITUTE(CLEAN(Raw_Data!A98),CHAR(160)," "))</f>
        <v>Kuje Local Government Area</v>
      </c>
      <c r="B98" s="8" t="str">
        <f t="array" ref="B98">TRIM(SUBSTITUTE(CLEAN(Raw_Data!B98),CHAR(160)," "))</f>
        <v>Chibiri Ward</v>
      </c>
      <c r="C98" s="8" t="str">
        <f t="array" ref="C98">TRIM(SUBSTITUTE(CLEAN(Raw_Data!C98),CHAR(160)," "))</f>
        <v>Epitome Hospital and Maternity</v>
      </c>
      <c r="D98" s="7">
        <f>COUNTA(Raw_Data!D98:CI98)</f>
        <v>6</v>
      </c>
      <c r="E98" s="7">
        <f t="shared" si="4"/>
        <v>78</v>
      </c>
      <c r="F98" s="9">
        <f>INDEX(tblParameters[Value],MATCH("ExpectedValues",tblParameters[Parameter],0))</f>
        <v>84</v>
      </c>
      <c r="G98" s="7">
        <f t="shared" si="5"/>
        <v>7.1428571428571425E-2</v>
      </c>
      <c r="H98" s="7" t="str">
        <f>LOOKUP(G98,tblIndicatorScore[Min],tblIndicatorScore[Rating])</f>
        <v>Poor</v>
      </c>
      <c r="I98" s="7">
        <f>LOOKUP(G98,tblIndicatorScore[Min],tblIndicatorScore[Score])</f>
        <v>0</v>
      </c>
      <c r="J98" s="7" t="str">
        <f t="shared" si="6"/>
        <v>No</v>
      </c>
      <c r="K98" s="7" t="str">
        <f t="shared" si="7"/>
        <v>No</v>
      </c>
      <c r="L98" s="7" t="str">
        <f>IFERROR(
IF(K98="Yes","Incomplete",
IF(OR(
J98="Yes",
G98&lt;INDEX(tblParameters[Value],MATCH("MinimumAcceptCompleteness",tblParameters[Parameter],0))
),
"Review",
"Accept")),
"Parameter Error")</f>
        <v>Review</v>
      </c>
    </row>
    <row r="99" spans="1:12" ht="89.25">
      <c r="A99" s="8" t="str">
        <f>TRIM(SUBSTITUTE(CLEAN(Raw_Data!A99),CHAR(160)," "))</f>
        <v>Abuja Municipal Area Council</v>
      </c>
      <c r="B99" s="8" t="str">
        <f t="array" ref="B99">TRIM(SUBSTITUTE(CLEAN(Raw_Data!B99),CHAR(160)," "))</f>
        <v>Karu Ward</v>
      </c>
      <c r="C99" s="8" t="str">
        <f t="array" ref="C99">TRIM(SUBSTITUTE(CLEAN(Raw_Data!C99),CHAR(160)," "))</f>
        <v>Evangelical Church of West Africa (Ecwa) Medical Center</v>
      </c>
      <c r="D99" s="7">
        <f>COUNTA(Raw_Data!D99:CI99)</f>
        <v>71</v>
      </c>
      <c r="E99" s="7">
        <f t="shared" si="4"/>
        <v>13</v>
      </c>
      <c r="F99" s="9">
        <f>INDEX(tblParameters[Value],MATCH("ExpectedValues",tblParameters[Parameter],0))</f>
        <v>84</v>
      </c>
      <c r="G99" s="7">
        <f t="shared" si="5"/>
        <v>0.84523809523809523</v>
      </c>
      <c r="H99" s="7" t="str">
        <f>LOOKUP(G99,tblIndicatorScore[Min],tblIndicatorScore[Rating])</f>
        <v>Fair</v>
      </c>
      <c r="I99" s="7">
        <f>LOOKUP(G99,tblIndicatorScore[Min],tblIndicatorScore[Score])</f>
        <v>1</v>
      </c>
      <c r="J99" s="7" t="str">
        <f t="shared" si="6"/>
        <v>No</v>
      </c>
      <c r="K99" s="7" t="str">
        <f t="shared" si="7"/>
        <v>No</v>
      </c>
      <c r="L99" s="7" t="str">
        <f>IFERROR(
IF(K99="Yes","Incomplete",
IF(OR(
J99="Yes",
G99&lt;INDEX(tblParameters[Value],MATCH("MinimumAcceptCompleteness",tblParameters[Parameter],0))
),
"Review",
"Accept")),
"Parameter Error")</f>
        <v>Review</v>
      </c>
    </row>
    <row r="100" spans="1:12" ht="51">
      <c r="A100" s="8" t="str">
        <f>TRIM(SUBSTITUTE(CLEAN(Raw_Data!A100),CHAR(160)," "))</f>
        <v>Abuja Municipal Area Council</v>
      </c>
      <c r="B100" s="8" t="str">
        <f t="array" ref="B100">TRIM(SUBSTITUTE(CLEAN(Raw_Data!B100),CHAR(160)," "))</f>
        <v>City Centre Ward</v>
      </c>
      <c r="C100" s="8" t="str">
        <f t="array" ref="C100">TRIM(SUBSTITUTE(CLEAN(Raw_Data!C100),CHAR(160)," "))</f>
        <v>Excel Fertility Centre</v>
      </c>
      <c r="D100" s="7">
        <f>COUNTA(Raw_Data!D100:CI100)</f>
        <v>51</v>
      </c>
      <c r="E100" s="7">
        <f t="shared" si="4"/>
        <v>33</v>
      </c>
      <c r="F100" s="9">
        <f>INDEX(tblParameters[Value],MATCH("ExpectedValues",tblParameters[Parameter],0))</f>
        <v>84</v>
      </c>
      <c r="G100" s="7">
        <f t="shared" si="5"/>
        <v>0.6071428571428571</v>
      </c>
      <c r="H100" s="7" t="str">
        <f>LOOKUP(G100,tblIndicatorScore[Min],tblIndicatorScore[Rating])</f>
        <v>Poor</v>
      </c>
      <c r="I100" s="7">
        <f>LOOKUP(G100,tblIndicatorScore[Min],tblIndicatorScore[Score])</f>
        <v>0</v>
      </c>
      <c r="J100" s="7" t="str">
        <f t="shared" si="6"/>
        <v>No</v>
      </c>
      <c r="K100" s="7" t="str">
        <f t="shared" si="7"/>
        <v>No</v>
      </c>
      <c r="L100" s="7" t="str">
        <f>IFERROR(
IF(K100="Yes","Incomplete",
IF(OR(
J100="Yes",
G100&lt;INDEX(tblParameters[Value],MATCH("MinimumAcceptCompleteness",tblParameters[Parameter],0))
),
"Review",
"Accept")),
"Parameter Error")</f>
        <v>Review</v>
      </c>
    </row>
    <row r="101" spans="1:12" ht="51">
      <c r="A101" s="8" t="str">
        <f>TRIM(SUBSTITUTE(CLEAN(Raw_Data!A101),CHAR(160)," "))</f>
        <v>Bwari Local Government Area</v>
      </c>
      <c r="B101" s="8" t="str">
        <f t="array" ref="B101">TRIM(SUBSTITUTE(CLEAN(Raw_Data!B101),CHAR(160)," "))</f>
        <v>Kubwa Ward</v>
      </c>
      <c r="C101" s="8" t="str">
        <f t="array" ref="C101">TRIM(SUBSTITUTE(CLEAN(Raw_Data!C101),CHAR(160)," "))</f>
        <v>Express Hospital</v>
      </c>
      <c r="D101" s="7">
        <f>COUNTA(Raw_Data!D101:CI101)</f>
        <v>8</v>
      </c>
      <c r="E101" s="7">
        <f t="shared" si="4"/>
        <v>76</v>
      </c>
      <c r="F101" s="9">
        <f>INDEX(tblParameters[Value],MATCH("ExpectedValues",tblParameters[Parameter],0))</f>
        <v>84</v>
      </c>
      <c r="G101" s="7">
        <f t="shared" si="5"/>
        <v>9.5238095238095233E-2</v>
      </c>
      <c r="H101" s="7" t="str">
        <f>LOOKUP(G101,tblIndicatorScore[Min],tblIndicatorScore[Rating])</f>
        <v>Poor</v>
      </c>
      <c r="I101" s="7">
        <f>LOOKUP(G101,tblIndicatorScore[Min],tblIndicatorScore[Score])</f>
        <v>0</v>
      </c>
      <c r="J101" s="7" t="str">
        <f t="shared" si="6"/>
        <v>No</v>
      </c>
      <c r="K101" s="7" t="str">
        <f t="shared" si="7"/>
        <v>No</v>
      </c>
      <c r="L101" s="7" t="str">
        <f>IFERROR(
IF(K101="Yes","Incomplete",
IF(OR(
J101="Yes",
G101&lt;INDEX(tblParameters[Value],MATCH("MinimumAcceptCompleteness",tblParameters[Parameter],0))
),
"Review",
"Accept")),
"Parameter Error")</f>
        <v>Review</v>
      </c>
    </row>
    <row r="102" spans="1:12" ht="51">
      <c r="A102" s="8" t="str">
        <f>TRIM(SUBSTITUTE(CLEAN(Raw_Data!A102),CHAR(160)," "))</f>
        <v>Abuja Municipal Area Council</v>
      </c>
      <c r="B102" s="8" t="str">
        <f t="array" ref="B102">TRIM(SUBSTITUTE(CLEAN(Raw_Data!B102),CHAR(160)," "))</f>
        <v>Jiwa Ward</v>
      </c>
      <c r="C102" s="8" t="str">
        <f t="array" ref="C102">TRIM(SUBSTITUTE(CLEAN(Raw_Data!C102),CHAR(160)," "))</f>
        <v>Faith Medical Centre (Karmo)</v>
      </c>
      <c r="D102" s="7">
        <f>COUNTA(Raw_Data!D102:CI102)</f>
        <v>26</v>
      </c>
      <c r="E102" s="7">
        <f t="shared" si="4"/>
        <v>58</v>
      </c>
      <c r="F102" s="9">
        <f>INDEX(tblParameters[Value],MATCH("ExpectedValues",tblParameters[Parameter],0))</f>
        <v>84</v>
      </c>
      <c r="G102" s="7">
        <f t="shared" si="5"/>
        <v>0.30952380952380953</v>
      </c>
      <c r="H102" s="7" t="str">
        <f>LOOKUP(G102,tblIndicatorScore[Min],tblIndicatorScore[Rating])</f>
        <v>Poor</v>
      </c>
      <c r="I102" s="7">
        <f>LOOKUP(G102,tblIndicatorScore[Min],tblIndicatorScore[Score])</f>
        <v>0</v>
      </c>
      <c r="J102" s="7" t="str">
        <f t="shared" si="6"/>
        <v>No</v>
      </c>
      <c r="K102" s="7" t="str">
        <f t="shared" si="7"/>
        <v>No</v>
      </c>
      <c r="L102" s="7" t="str">
        <f>IFERROR(
IF(K102="Yes","Incomplete",
IF(OR(
J102="Yes",
G102&lt;INDEX(tblParameters[Value],MATCH("MinimumAcceptCompleteness",tblParameters[Parameter],0))
),
"Review",
"Accept")),
"Parameter Error")</f>
        <v>Review</v>
      </c>
    </row>
    <row r="103" spans="1:12" ht="51">
      <c r="A103" s="8" t="str">
        <f>TRIM(SUBSTITUTE(CLEAN(Raw_Data!A103),CHAR(160)," "))</f>
        <v>Abuja Municipal Area Council</v>
      </c>
      <c r="B103" s="8" t="str">
        <f t="array" ref="B103">TRIM(SUBSTITUTE(CLEAN(Raw_Data!B103),CHAR(160)," "))</f>
        <v>City Centre Ward</v>
      </c>
      <c r="C103" s="8" t="str">
        <f t="array" ref="C103">TRIM(SUBSTITUTE(CLEAN(Raw_Data!C103),CHAR(160)," "))</f>
        <v>Family Care Clinic</v>
      </c>
      <c r="D103" s="7">
        <f>COUNTA(Raw_Data!D103:CI103)</f>
        <v>4</v>
      </c>
      <c r="E103" s="7">
        <f t="shared" si="4"/>
        <v>80</v>
      </c>
      <c r="F103" s="9">
        <f>INDEX(tblParameters[Value],MATCH("ExpectedValues",tblParameters[Parameter],0))</f>
        <v>84</v>
      </c>
      <c r="G103" s="7">
        <f t="shared" si="5"/>
        <v>4.7619047619047616E-2</v>
      </c>
      <c r="H103" s="7" t="str">
        <f>LOOKUP(G103,tblIndicatorScore[Min],tblIndicatorScore[Rating])</f>
        <v>Poor</v>
      </c>
      <c r="I103" s="7">
        <f>LOOKUP(G103,tblIndicatorScore[Min],tblIndicatorScore[Score])</f>
        <v>0</v>
      </c>
      <c r="J103" s="7" t="str">
        <f t="shared" si="6"/>
        <v>No</v>
      </c>
      <c r="K103" s="7" t="str">
        <f t="shared" si="7"/>
        <v>No</v>
      </c>
      <c r="L103" s="7" t="str">
        <f>IFERROR(
IF(K103="Yes","Incomplete",
IF(OR(
J103="Yes",
G103&lt;INDEX(tblParameters[Value],MATCH("MinimumAcceptCompleteness",tblParameters[Parameter],0))
),
"Review",
"Accept")),
"Parameter Error")</f>
        <v>Review</v>
      </c>
    </row>
    <row r="104" spans="1:12" ht="51">
      <c r="A104" s="8" t="str">
        <f>TRIM(SUBSTITUTE(CLEAN(Raw_Data!A104),CHAR(160)," "))</f>
        <v>Abuja Municipal Area Council</v>
      </c>
      <c r="B104" s="8" t="str">
        <f t="array" ref="B104">TRIM(SUBSTITUTE(CLEAN(Raw_Data!B104),CHAR(160)," "))</f>
        <v>City Centre Ward</v>
      </c>
      <c r="C104" s="8" t="str">
        <f t="array" ref="C104">TRIM(SUBSTITUTE(CLEAN(Raw_Data!C104),CHAR(160)," "))</f>
        <v>Family Health Center</v>
      </c>
      <c r="D104" s="7">
        <f>COUNTA(Raw_Data!D104:CI104)</f>
        <v>70</v>
      </c>
      <c r="E104" s="7">
        <f t="shared" si="4"/>
        <v>14</v>
      </c>
      <c r="F104" s="9">
        <f>INDEX(tblParameters[Value],MATCH("ExpectedValues",tblParameters[Parameter],0))</f>
        <v>84</v>
      </c>
      <c r="G104" s="7">
        <f t="shared" si="5"/>
        <v>0.83333333333333337</v>
      </c>
      <c r="H104" s="7" t="str">
        <f>LOOKUP(G104,tblIndicatorScore[Min],tblIndicatorScore[Rating])</f>
        <v>Fair</v>
      </c>
      <c r="I104" s="7">
        <f>LOOKUP(G104,tblIndicatorScore[Min],tblIndicatorScore[Score])</f>
        <v>1</v>
      </c>
      <c r="J104" s="7" t="str">
        <f t="shared" si="6"/>
        <v>No</v>
      </c>
      <c r="K104" s="7" t="str">
        <f t="shared" si="7"/>
        <v>No</v>
      </c>
      <c r="L104" s="7" t="str">
        <f>IFERROR(
IF(K104="Yes","Incomplete",
IF(OR(
J104="Yes",
G104&lt;INDEX(tblParameters[Value],MATCH("MinimumAcceptCompleteness",tblParameters[Parameter],0))
),
"Review",
"Accept")),
"Parameter Error")</f>
        <v>Review</v>
      </c>
    </row>
    <row r="105" spans="1:12" ht="51">
      <c r="A105" s="8" t="str">
        <f>TRIM(SUBSTITUTE(CLEAN(Raw_Data!A105),CHAR(160)," "))</f>
        <v>Kwali Local Government Area</v>
      </c>
      <c r="B105" s="8" t="str">
        <f t="array" ref="B105">TRIM(SUBSTITUTE(CLEAN(Raw_Data!B105),CHAR(160)," "))</f>
        <v>Yebu Ward</v>
      </c>
      <c r="C105" s="8" t="str">
        <f t="array" ref="C105">TRIM(SUBSTITUTE(CLEAN(Raw_Data!C105),CHAR(160)," "))</f>
        <v>Farakuti Health Clinic</v>
      </c>
      <c r="D105" s="7">
        <f>COUNTA(Raw_Data!D105:CI105)</f>
        <v>64</v>
      </c>
      <c r="E105" s="7">
        <f t="shared" si="4"/>
        <v>20</v>
      </c>
      <c r="F105" s="9">
        <f>INDEX(tblParameters[Value],MATCH("ExpectedValues",tblParameters[Parameter],0))</f>
        <v>84</v>
      </c>
      <c r="G105" s="7">
        <f t="shared" si="5"/>
        <v>0.76190476190476186</v>
      </c>
      <c r="H105" s="7" t="str">
        <f>LOOKUP(G105,tblIndicatorScore[Min],tblIndicatorScore[Rating])</f>
        <v>Poor</v>
      </c>
      <c r="I105" s="7">
        <f>LOOKUP(G105,tblIndicatorScore[Min],tblIndicatorScore[Score])</f>
        <v>0</v>
      </c>
      <c r="J105" s="7" t="str">
        <f t="shared" si="6"/>
        <v>No</v>
      </c>
      <c r="K105" s="7" t="str">
        <f t="shared" si="7"/>
        <v>No</v>
      </c>
      <c r="L105" s="7" t="str">
        <f>IFERROR(
IF(K105="Yes","Incomplete",
IF(OR(
J105="Yes",
G105&lt;INDEX(tblParameters[Value],MATCH("MinimumAcceptCompleteness",tblParameters[Parameter],0))
),
"Review",
"Accept")),
"Parameter Error")</f>
        <v>Review</v>
      </c>
    </row>
    <row r="106" spans="1:12" ht="51">
      <c r="A106" s="8" t="str">
        <f>TRIM(SUBSTITUTE(CLEAN(Raw_Data!A106),CHAR(160)," "))</f>
        <v>Abuja Municipal Area Council</v>
      </c>
      <c r="B106" s="8" t="str">
        <f t="array" ref="B106">TRIM(SUBSTITUTE(CLEAN(Raw_Data!B106),CHAR(160)," "))</f>
        <v>Gwarimpa Ward</v>
      </c>
      <c r="C106" s="8" t="str">
        <f t="array" ref="C106">TRIM(SUBSTITUTE(CLEAN(Raw_Data!C106),CHAR(160)," "))</f>
        <v>Federal Staff Hospital (Abuja)</v>
      </c>
      <c r="D106" s="7">
        <f>COUNTA(Raw_Data!D106:CI106)</f>
        <v>16</v>
      </c>
      <c r="E106" s="7">
        <f t="shared" si="4"/>
        <v>68</v>
      </c>
      <c r="F106" s="9">
        <f>INDEX(tblParameters[Value],MATCH("ExpectedValues",tblParameters[Parameter],0))</f>
        <v>84</v>
      </c>
      <c r="G106" s="7">
        <f t="shared" si="5"/>
        <v>0.19047619047619047</v>
      </c>
      <c r="H106" s="7" t="str">
        <f>LOOKUP(G106,tblIndicatorScore[Min],tblIndicatorScore[Rating])</f>
        <v>Poor</v>
      </c>
      <c r="I106" s="7">
        <f>LOOKUP(G106,tblIndicatorScore[Min],tblIndicatorScore[Score])</f>
        <v>0</v>
      </c>
      <c r="J106" s="7" t="str">
        <f t="shared" si="6"/>
        <v>No</v>
      </c>
      <c r="K106" s="7" t="str">
        <f t="shared" si="7"/>
        <v>No</v>
      </c>
      <c r="L106" s="7" t="str">
        <f>IFERROR(
IF(K106="Yes","Incomplete",
IF(OR(
J106="Yes",
G106&lt;INDEX(tblParameters[Value],MATCH("MinimumAcceptCompleteness",tblParameters[Parameter],0))
),
"Review",
"Accept")),
"Parameter Error")</f>
        <v>Review</v>
      </c>
    </row>
    <row r="107" spans="1:12" ht="51">
      <c r="A107" s="8" t="str">
        <f>TRIM(SUBSTITUTE(CLEAN(Raw_Data!A107),CHAR(160)," "))</f>
        <v>Abuja Municipal Area Council</v>
      </c>
      <c r="B107" s="8" t="str">
        <f t="array" ref="B107">TRIM(SUBSTITUTE(CLEAN(Raw_Data!B107),CHAR(160)," "))</f>
        <v>Karu Ward</v>
      </c>
      <c r="C107" s="8" t="str">
        <f t="array" ref="C107">TRIM(SUBSTITUTE(CLEAN(Raw_Data!C107),CHAR(160)," "))</f>
        <v>First Hospital &amp; Maternity</v>
      </c>
      <c r="D107" s="7">
        <f>COUNTA(Raw_Data!D107:CI107)</f>
        <v>50</v>
      </c>
      <c r="E107" s="7">
        <f t="shared" si="4"/>
        <v>34</v>
      </c>
      <c r="F107" s="9">
        <f>INDEX(tblParameters[Value],MATCH("ExpectedValues",tblParameters[Parameter],0))</f>
        <v>84</v>
      </c>
      <c r="G107" s="7">
        <f t="shared" si="5"/>
        <v>0.59523809523809523</v>
      </c>
      <c r="H107" s="7" t="str">
        <f>LOOKUP(G107,tblIndicatorScore[Min],tblIndicatorScore[Rating])</f>
        <v>Poor</v>
      </c>
      <c r="I107" s="7">
        <f>LOOKUP(G107,tblIndicatorScore[Min],tblIndicatorScore[Score])</f>
        <v>0</v>
      </c>
      <c r="J107" s="7" t="str">
        <f t="shared" si="6"/>
        <v>No</v>
      </c>
      <c r="K107" s="7" t="str">
        <f t="shared" si="7"/>
        <v>No</v>
      </c>
      <c r="L107" s="7" t="str">
        <f>IFERROR(
IF(K107="Yes","Incomplete",
IF(OR(
J107="Yes",
G107&lt;INDEX(tblParameters[Value],MATCH("MinimumAcceptCompleteness",tblParameters[Parameter],0))
),
"Review",
"Accept")),
"Parameter Error")</f>
        <v>Review</v>
      </c>
    </row>
    <row r="108" spans="1:12" ht="51">
      <c r="A108" s="8" t="str">
        <f>TRIM(SUBSTITUTE(CLEAN(Raw_Data!A108),CHAR(160)," "))</f>
        <v>Kwali Local Government Area</v>
      </c>
      <c r="B108" s="8" t="str">
        <f t="array" ref="B108">TRIM(SUBSTITUTE(CLEAN(Raw_Data!B108),CHAR(160)," "))</f>
        <v>Ashara Ward</v>
      </c>
      <c r="C108" s="8" t="str">
        <f t="array" ref="C108">TRIM(SUBSTITUTE(CLEAN(Raw_Data!C108),CHAR(160)," "))</f>
        <v>Fogbe Health Clinic</v>
      </c>
      <c r="D108" s="7">
        <f>COUNTA(Raw_Data!D108:CI108)</f>
        <v>53</v>
      </c>
      <c r="E108" s="7">
        <f t="shared" si="4"/>
        <v>31</v>
      </c>
      <c r="F108" s="9">
        <f>INDEX(tblParameters[Value],MATCH("ExpectedValues",tblParameters[Parameter],0))</f>
        <v>84</v>
      </c>
      <c r="G108" s="7">
        <f t="shared" si="5"/>
        <v>0.63095238095238093</v>
      </c>
      <c r="H108" s="7" t="str">
        <f>LOOKUP(G108,tblIndicatorScore[Min],tblIndicatorScore[Rating])</f>
        <v>Poor</v>
      </c>
      <c r="I108" s="7">
        <f>LOOKUP(G108,tblIndicatorScore[Min],tblIndicatorScore[Score])</f>
        <v>0</v>
      </c>
      <c r="J108" s="7" t="str">
        <f t="shared" si="6"/>
        <v>No</v>
      </c>
      <c r="K108" s="7" t="str">
        <f t="shared" si="7"/>
        <v>No</v>
      </c>
      <c r="L108" s="7" t="str">
        <f>IFERROR(
IF(K108="Yes","Incomplete",
IF(OR(
J108="Yes",
G108&lt;INDEX(tblParameters[Value],MATCH("MinimumAcceptCompleteness",tblParameters[Parameter],0))
),
"Review",
"Accept")),
"Parameter Error")</f>
        <v>Review</v>
      </c>
    </row>
    <row r="109" spans="1:12" ht="51">
      <c r="A109" s="8" t="str">
        <f>TRIM(SUBSTITUTE(CLEAN(Raw_Data!A109),CHAR(160)," "))</f>
        <v>Abuja Municipal Area Council</v>
      </c>
      <c r="B109" s="8" t="str">
        <f t="array" ref="B109">TRIM(SUBSTITUTE(CLEAN(Raw_Data!B109),CHAR(160)," "))</f>
        <v>Gwarimpa Ward</v>
      </c>
      <c r="C109" s="8" t="str">
        <f t="array" ref="C109">TRIM(SUBSTITUTE(CLEAN(Raw_Data!C109),CHAR(160)," "))</f>
        <v>Frameluk Hospital</v>
      </c>
      <c r="D109" s="7">
        <f>COUNTA(Raw_Data!D109:CI109)</f>
        <v>58</v>
      </c>
      <c r="E109" s="7">
        <f t="shared" si="4"/>
        <v>26</v>
      </c>
      <c r="F109" s="9">
        <f>INDEX(tblParameters[Value],MATCH("ExpectedValues",tblParameters[Parameter],0))</f>
        <v>84</v>
      </c>
      <c r="G109" s="7">
        <f t="shared" si="5"/>
        <v>0.69047619047619047</v>
      </c>
      <c r="H109" s="7" t="str">
        <f>LOOKUP(G109,tblIndicatorScore[Min],tblIndicatorScore[Rating])</f>
        <v>Poor</v>
      </c>
      <c r="I109" s="7">
        <f>LOOKUP(G109,tblIndicatorScore[Min],tblIndicatorScore[Score])</f>
        <v>0</v>
      </c>
      <c r="J109" s="7" t="str">
        <f t="shared" si="6"/>
        <v>No</v>
      </c>
      <c r="K109" s="7" t="str">
        <f t="shared" si="7"/>
        <v>No</v>
      </c>
      <c r="L109" s="7" t="str">
        <f>IFERROR(
IF(K109="Yes","Incomplete",
IF(OR(
J109="Yes",
G109&lt;INDEX(tblParameters[Value],MATCH("MinimumAcceptCompleteness",tblParameters[Parameter],0))
),
"Review",
"Accept")),
"Parameter Error")</f>
        <v>Review</v>
      </c>
    </row>
    <row r="110" spans="1:12" ht="51">
      <c r="A110" s="8" t="str">
        <f>TRIM(SUBSTITUTE(CLEAN(Raw_Data!A110),CHAR(160)," "))</f>
        <v>Kwali Local Government Area</v>
      </c>
      <c r="B110" s="8" t="str">
        <f t="array" ref="B110">TRIM(SUBSTITUTE(CLEAN(Raw_Data!B110),CHAR(160)," "))</f>
        <v>Dafa Ward</v>
      </c>
      <c r="C110" s="8" t="str">
        <f t="array" ref="C110">TRIM(SUBSTITUTE(CLEAN(Raw_Data!C110),CHAR(160)," "))</f>
        <v>Fuka Primary Health Clinic</v>
      </c>
      <c r="D110" s="7">
        <f>COUNTA(Raw_Data!D110:CI110)</f>
        <v>57</v>
      </c>
      <c r="E110" s="7">
        <f t="shared" si="4"/>
        <v>27</v>
      </c>
      <c r="F110" s="9">
        <f>INDEX(tblParameters[Value],MATCH("ExpectedValues",tblParameters[Parameter],0))</f>
        <v>84</v>
      </c>
      <c r="G110" s="7">
        <f t="shared" si="5"/>
        <v>0.6785714285714286</v>
      </c>
      <c r="H110" s="7" t="str">
        <f>LOOKUP(G110,tblIndicatorScore[Min],tblIndicatorScore[Rating])</f>
        <v>Poor</v>
      </c>
      <c r="I110" s="7">
        <f>LOOKUP(G110,tblIndicatorScore[Min],tblIndicatorScore[Score])</f>
        <v>0</v>
      </c>
      <c r="J110" s="7" t="str">
        <f t="shared" si="6"/>
        <v>No</v>
      </c>
      <c r="K110" s="7" t="str">
        <f t="shared" si="7"/>
        <v>No</v>
      </c>
      <c r="L110" s="7" t="str">
        <f>IFERROR(
IF(K110="Yes","Incomplete",
IF(OR(
J110="Yes",
G110&lt;INDEX(tblParameters[Value],MATCH("MinimumAcceptCompleteness",tblParameters[Parameter],0))
),
"Review",
"Accept")),
"Parameter Error")</f>
        <v>Review</v>
      </c>
    </row>
    <row r="111" spans="1:12" ht="51">
      <c r="A111" s="8" t="str">
        <f>TRIM(SUBSTITUTE(CLEAN(Raw_Data!A111),CHAR(160)," "))</f>
        <v>Bwari Local Government Area</v>
      </c>
      <c r="B111" s="8" t="str">
        <f t="array" ref="B111">TRIM(SUBSTITUTE(CLEAN(Raw_Data!B111),CHAR(160)," "))</f>
        <v>Bwari Central Ward</v>
      </c>
      <c r="C111" s="8" t="str">
        <f t="array" ref="C111">TRIM(SUBSTITUTE(CLEAN(Raw_Data!C111),CHAR(160)," "))</f>
        <v>Gaba Primary Health Clinic</v>
      </c>
      <c r="D111" s="7">
        <f>COUNTA(Raw_Data!D111:CI111)</f>
        <v>60</v>
      </c>
      <c r="E111" s="7">
        <f t="shared" si="4"/>
        <v>24</v>
      </c>
      <c r="F111" s="9">
        <f>INDEX(tblParameters[Value],MATCH("ExpectedValues",tblParameters[Parameter],0))</f>
        <v>84</v>
      </c>
      <c r="G111" s="7">
        <f t="shared" si="5"/>
        <v>0.7142857142857143</v>
      </c>
      <c r="H111" s="7" t="str">
        <f>LOOKUP(G111,tblIndicatorScore[Min],tblIndicatorScore[Rating])</f>
        <v>Poor</v>
      </c>
      <c r="I111" s="7">
        <f>LOOKUP(G111,tblIndicatorScore[Min],tblIndicatorScore[Score])</f>
        <v>0</v>
      </c>
      <c r="J111" s="7" t="str">
        <f t="shared" si="6"/>
        <v>No</v>
      </c>
      <c r="K111" s="7" t="str">
        <f t="shared" si="7"/>
        <v>No</v>
      </c>
      <c r="L111" s="7" t="str">
        <f>IFERROR(
IF(K111="Yes","Incomplete",
IF(OR(
J111="Yes",
G111&lt;INDEX(tblParameters[Value],MATCH("MinimumAcceptCompleteness",tblParameters[Parameter],0))
),
"Review",
"Accept")),
"Parameter Error")</f>
        <v>Review</v>
      </c>
    </row>
    <row r="112" spans="1:12" ht="63.75">
      <c r="A112" s="8" t="str">
        <f>TRIM(SUBSTITUTE(CLEAN(Raw_Data!A112),CHAR(160)," "))</f>
        <v>Bwari Local Government Area</v>
      </c>
      <c r="B112" s="8" t="str">
        <f t="array" ref="B112">TRIM(SUBSTITUTE(CLEAN(Raw_Data!B112),CHAR(160)," "))</f>
        <v>Kuduru Ward</v>
      </c>
      <c r="C112" s="8" t="str">
        <f t="array" ref="C112">TRIM(SUBSTITUTE(CLEAN(Raw_Data!C112),CHAR(160)," "))</f>
        <v>Gabic Divine Clinic And Maternity</v>
      </c>
      <c r="D112" s="7">
        <f>COUNTA(Raw_Data!D112:CI112)</f>
        <v>24</v>
      </c>
      <c r="E112" s="7">
        <f t="shared" si="4"/>
        <v>60</v>
      </c>
      <c r="F112" s="9">
        <f>INDEX(tblParameters[Value],MATCH("ExpectedValues",tblParameters[Parameter],0))</f>
        <v>84</v>
      </c>
      <c r="G112" s="7">
        <f t="shared" si="5"/>
        <v>0.2857142857142857</v>
      </c>
      <c r="H112" s="7" t="str">
        <f>LOOKUP(G112,tblIndicatorScore[Min],tblIndicatorScore[Rating])</f>
        <v>Poor</v>
      </c>
      <c r="I112" s="7">
        <f>LOOKUP(G112,tblIndicatorScore[Min],tblIndicatorScore[Score])</f>
        <v>0</v>
      </c>
      <c r="J112" s="7" t="str">
        <f t="shared" si="6"/>
        <v>No</v>
      </c>
      <c r="K112" s="7" t="str">
        <f t="shared" si="7"/>
        <v>No</v>
      </c>
      <c r="L112" s="7" t="str">
        <f>IFERROR(
IF(K112="Yes","Incomplete",
IF(OR(
J112="Yes",
G112&lt;INDEX(tblParameters[Value],MATCH("MinimumAcceptCompleteness",tblParameters[Parameter],0))
),
"Review",
"Accept")),
"Parameter Error")</f>
        <v>Review</v>
      </c>
    </row>
    <row r="113" spans="1:12" ht="63.75">
      <c r="A113" s="8" t="str">
        <f>TRIM(SUBSTITUTE(CLEAN(Raw_Data!A113),CHAR(160)," "))</f>
        <v>Kuje Local Government Area</v>
      </c>
      <c r="B113" s="8" t="str">
        <f t="array" ref="B113">TRIM(SUBSTITUTE(CLEAN(Raw_Data!B113),CHAR(160)," "))</f>
        <v>Kwaku Ward</v>
      </c>
      <c r="C113" s="8" t="str">
        <f t="array" ref="C113">TRIM(SUBSTITUTE(CLEAN(Raw_Data!C113),CHAR(160)," "))</f>
        <v>Gadoro Primary Health Care Centre</v>
      </c>
      <c r="D113" s="7">
        <f>COUNTA(Raw_Data!D113:CI113)</f>
        <v>50</v>
      </c>
      <c r="E113" s="7">
        <f t="shared" si="4"/>
        <v>34</v>
      </c>
      <c r="F113" s="9">
        <f>INDEX(tblParameters[Value],MATCH("ExpectedValues",tblParameters[Parameter],0))</f>
        <v>84</v>
      </c>
      <c r="G113" s="7">
        <f t="shared" si="5"/>
        <v>0.59523809523809523</v>
      </c>
      <c r="H113" s="7" t="str">
        <f>LOOKUP(G113,tblIndicatorScore[Min],tblIndicatorScore[Rating])</f>
        <v>Poor</v>
      </c>
      <c r="I113" s="7">
        <f>LOOKUP(G113,tblIndicatorScore[Min],tblIndicatorScore[Score])</f>
        <v>0</v>
      </c>
      <c r="J113" s="7" t="str">
        <f t="shared" si="6"/>
        <v>No</v>
      </c>
      <c r="K113" s="7" t="str">
        <f t="shared" si="7"/>
        <v>No</v>
      </c>
      <c r="L113" s="7" t="str">
        <f>IFERROR(
IF(K113="Yes","Incomplete",
IF(OR(
J113="Yes",
G113&lt;INDEX(tblParameters[Value],MATCH("MinimumAcceptCompleteness",tblParameters[Parameter],0))
),
"Review",
"Accept")),
"Parameter Error")</f>
        <v>Review</v>
      </c>
    </row>
    <row r="114" spans="1:12" ht="51">
      <c r="A114" s="8" t="str">
        <f>TRIM(SUBSTITUTE(CLEAN(Raw_Data!A114),CHAR(160)," "))</f>
        <v>Abuja Municipal Area Council</v>
      </c>
      <c r="B114" s="8" t="str">
        <f t="array" ref="B114">TRIM(SUBSTITUTE(CLEAN(Raw_Data!B114),CHAR(160)," "))</f>
        <v>Kabusa Ward</v>
      </c>
      <c r="C114" s="8" t="str">
        <f t="array" ref="C114">TRIM(SUBSTITUTE(CLEAN(Raw_Data!C114),CHAR(160)," "))</f>
        <v>Galadimawa Health Clinic</v>
      </c>
      <c r="D114" s="7">
        <f>COUNTA(Raw_Data!D114:CI114)</f>
        <v>51</v>
      </c>
      <c r="E114" s="7">
        <f t="shared" si="4"/>
        <v>33</v>
      </c>
      <c r="F114" s="9">
        <f>INDEX(tblParameters[Value],MATCH("ExpectedValues",tblParameters[Parameter],0))</f>
        <v>84</v>
      </c>
      <c r="G114" s="7">
        <f t="shared" si="5"/>
        <v>0.6071428571428571</v>
      </c>
      <c r="H114" s="7" t="str">
        <f>LOOKUP(G114,tblIndicatorScore[Min],tblIndicatorScore[Rating])</f>
        <v>Poor</v>
      </c>
      <c r="I114" s="7">
        <f>LOOKUP(G114,tblIndicatorScore[Min],tblIndicatorScore[Score])</f>
        <v>0</v>
      </c>
      <c r="J114" s="7" t="str">
        <f t="shared" si="6"/>
        <v>No</v>
      </c>
      <c r="K114" s="7" t="str">
        <f t="shared" si="7"/>
        <v>No</v>
      </c>
      <c r="L114" s="7" t="str">
        <f>IFERROR(
IF(K114="Yes","Incomplete",
IF(OR(
J114="Yes",
G114&lt;INDEX(tblParameters[Value],MATCH("MinimumAcceptCompleteness",tblParameters[Parameter],0))
),
"Review",
"Accept")),
"Parameter Error")</f>
        <v>Review</v>
      </c>
    </row>
    <row r="115" spans="1:12" ht="51">
      <c r="A115" s="8" t="str">
        <f>TRIM(SUBSTITUTE(CLEAN(Raw_Data!A115),CHAR(160)," "))</f>
        <v>Bwari Local Government Area</v>
      </c>
      <c r="B115" s="8" t="str">
        <f t="array" ref="B115">TRIM(SUBSTITUTE(CLEAN(Raw_Data!B115),CHAR(160)," "))</f>
        <v>Shere Ward</v>
      </c>
      <c r="C115" s="8" t="str">
        <f t="array" ref="C115">TRIM(SUBSTITUTE(CLEAN(Raw_Data!C115),CHAR(160)," "))</f>
        <v>Galuwyi Primary Health Clinic</v>
      </c>
      <c r="D115" s="7">
        <f>COUNTA(Raw_Data!D115:CI115)</f>
        <v>57</v>
      </c>
      <c r="E115" s="7">
        <f t="shared" si="4"/>
        <v>27</v>
      </c>
      <c r="F115" s="9">
        <f>INDEX(tblParameters[Value],MATCH("ExpectedValues",tblParameters[Parameter],0))</f>
        <v>84</v>
      </c>
      <c r="G115" s="7">
        <f t="shared" si="5"/>
        <v>0.6785714285714286</v>
      </c>
      <c r="H115" s="7" t="str">
        <f>LOOKUP(G115,tblIndicatorScore[Min],tblIndicatorScore[Rating])</f>
        <v>Poor</v>
      </c>
      <c r="I115" s="7">
        <f>LOOKUP(G115,tblIndicatorScore[Min],tblIndicatorScore[Score])</f>
        <v>0</v>
      </c>
      <c r="J115" s="7" t="str">
        <f t="shared" si="6"/>
        <v>No</v>
      </c>
      <c r="K115" s="7" t="str">
        <f t="shared" si="7"/>
        <v>No</v>
      </c>
      <c r="L115" s="7" t="str">
        <f>IFERROR(
IF(K115="Yes","Incomplete",
IF(OR(
J115="Yes",
G115&lt;INDEX(tblParameters[Value],MATCH("MinimumAcceptCompleteness",tblParameters[Parameter],0))
),
"Review",
"Accept")),
"Parameter Error")</f>
        <v>Review</v>
      </c>
    </row>
    <row r="116" spans="1:12" ht="51">
      <c r="A116" s="8" t="str">
        <f>TRIM(SUBSTITUTE(CLEAN(Raw_Data!A116),CHAR(160)," "))</f>
        <v>Abuja Municipal Area Council</v>
      </c>
      <c r="B116" s="8" t="str">
        <f t="array" ref="B116">TRIM(SUBSTITUTE(CLEAN(Raw_Data!B116),CHAR(160)," "))</f>
        <v>City Centre Ward</v>
      </c>
      <c r="C116" s="8" t="str">
        <f t="array" ref="C116">TRIM(SUBSTITUTE(CLEAN(Raw_Data!C116),CHAR(160)," "))</f>
        <v>Garki Hospital</v>
      </c>
      <c r="D116" s="7">
        <f>COUNTA(Raw_Data!D116:CI116)</f>
        <v>18</v>
      </c>
      <c r="E116" s="7">
        <f t="shared" si="4"/>
        <v>66</v>
      </c>
      <c r="F116" s="9">
        <f>INDEX(tblParameters[Value],MATCH("ExpectedValues",tblParameters[Parameter],0))</f>
        <v>84</v>
      </c>
      <c r="G116" s="7">
        <f t="shared" si="5"/>
        <v>0.21428571428571427</v>
      </c>
      <c r="H116" s="7" t="str">
        <f>LOOKUP(G116,tblIndicatorScore[Min],tblIndicatorScore[Rating])</f>
        <v>Poor</v>
      </c>
      <c r="I116" s="7">
        <f>LOOKUP(G116,tblIndicatorScore[Min],tblIndicatorScore[Score])</f>
        <v>0</v>
      </c>
      <c r="J116" s="7" t="str">
        <f t="shared" si="6"/>
        <v>No</v>
      </c>
      <c r="K116" s="7" t="str">
        <f t="shared" si="7"/>
        <v>No</v>
      </c>
      <c r="L116" s="7" t="str">
        <f>IFERROR(
IF(K116="Yes","Incomplete",
IF(OR(
J116="Yes",
G116&lt;INDEX(tblParameters[Value],MATCH("MinimumAcceptCompleteness",tblParameters[Parameter],0))
),
"Review",
"Accept")),
"Parameter Error")</f>
        <v>Review</v>
      </c>
    </row>
    <row r="117" spans="1:12" ht="63.75">
      <c r="A117" s="8" t="str">
        <f>TRIM(SUBSTITUTE(CLEAN(Raw_Data!A117),CHAR(160)," "))</f>
        <v>Abuja Municipal Area Council</v>
      </c>
      <c r="B117" s="8" t="str">
        <f t="array" ref="B117">TRIM(SUBSTITUTE(CLEAN(Raw_Data!B117),CHAR(160)," "))</f>
        <v>Garki Ward</v>
      </c>
      <c r="C117" s="8" t="str">
        <f t="array" ref="C117">TRIM(SUBSTITUTE(CLEAN(Raw_Data!C117),CHAR(160)," "))</f>
        <v>Garki Village Primary Health clinic</v>
      </c>
      <c r="D117" s="7">
        <f>COUNTA(Raw_Data!D117:CI117)</f>
        <v>57</v>
      </c>
      <c r="E117" s="7">
        <f t="shared" si="4"/>
        <v>27</v>
      </c>
      <c r="F117" s="9">
        <f>INDEX(tblParameters[Value],MATCH("ExpectedValues",tblParameters[Parameter],0))</f>
        <v>84</v>
      </c>
      <c r="G117" s="7">
        <f t="shared" si="5"/>
        <v>0.6785714285714286</v>
      </c>
      <c r="H117" s="7" t="str">
        <f>LOOKUP(G117,tblIndicatorScore[Min],tblIndicatorScore[Rating])</f>
        <v>Poor</v>
      </c>
      <c r="I117" s="7">
        <f>LOOKUP(G117,tblIndicatorScore[Min],tblIndicatorScore[Score])</f>
        <v>0</v>
      </c>
      <c r="J117" s="7" t="str">
        <f t="shared" si="6"/>
        <v>No</v>
      </c>
      <c r="K117" s="7" t="str">
        <f t="shared" si="7"/>
        <v>No</v>
      </c>
      <c r="L117" s="7" t="str">
        <f>IFERROR(
IF(K117="Yes","Incomplete",
IF(OR(
J117="Yes",
G117&lt;INDEX(tblParameters[Value],MATCH("MinimumAcceptCompleteness",tblParameters[Parameter],0))
),
"Review",
"Accept")),
"Parameter Error")</f>
        <v>Review</v>
      </c>
    </row>
    <row r="118" spans="1:12" ht="51">
      <c r="A118" s="8" t="str">
        <f>TRIM(SUBSTITUTE(CLEAN(Raw_Data!A118),CHAR(160)," "))</f>
        <v>Abaji Local Government Area</v>
      </c>
      <c r="B118" s="8" t="str">
        <f t="array" ref="B118">TRIM(SUBSTITUTE(CLEAN(Raw_Data!B118),CHAR(160)," "))</f>
        <v>Gawu Ward</v>
      </c>
      <c r="C118" s="8" t="str">
        <f t="array" ref="C118">TRIM(SUBSTITUTE(CLEAN(Raw_Data!C118),CHAR(160)," "))</f>
        <v>Gasakpa Primary Health Clinic</v>
      </c>
      <c r="D118" s="7">
        <f>COUNTA(Raw_Data!D118:CI118)</f>
        <v>69</v>
      </c>
      <c r="E118" s="7">
        <f t="shared" si="4"/>
        <v>15</v>
      </c>
      <c r="F118" s="9">
        <f>INDEX(tblParameters[Value],MATCH("ExpectedValues",tblParameters[Parameter],0))</f>
        <v>84</v>
      </c>
      <c r="G118" s="7">
        <f t="shared" si="5"/>
        <v>0.8214285714285714</v>
      </c>
      <c r="H118" s="7" t="str">
        <f>LOOKUP(G118,tblIndicatorScore[Min],tblIndicatorScore[Rating])</f>
        <v>Fair</v>
      </c>
      <c r="I118" s="7">
        <f>LOOKUP(G118,tblIndicatorScore[Min],tblIndicatorScore[Score])</f>
        <v>1</v>
      </c>
      <c r="J118" s="7" t="str">
        <f t="shared" si="6"/>
        <v>No</v>
      </c>
      <c r="K118" s="7" t="str">
        <f t="shared" si="7"/>
        <v>No</v>
      </c>
      <c r="L118" s="7" t="str">
        <f>IFERROR(
IF(K118="Yes","Incomplete",
IF(OR(
J118="Yes",
G118&lt;INDEX(tblParameters[Value],MATCH("MinimumAcceptCompleteness",tblParameters[Parameter],0))
),
"Review",
"Accept")),
"Parameter Error")</f>
        <v>Review</v>
      </c>
    </row>
    <row r="119" spans="1:12" ht="51">
      <c r="A119" s="8" t="str">
        <f>TRIM(SUBSTITUTE(CLEAN(Raw_Data!A119),CHAR(160)," "))</f>
        <v>Kuje Local Government Area</v>
      </c>
      <c r="B119" s="8" t="str">
        <f t="array" ref="B119">TRIM(SUBSTITUTE(CLEAN(Raw_Data!B119),CHAR(160)," "))</f>
        <v>Gaube Ward</v>
      </c>
      <c r="C119" s="8" t="str">
        <f t="array" ref="C119">TRIM(SUBSTITUTE(CLEAN(Raw_Data!C119),CHAR(160)," "))</f>
        <v>Gaube Primary Health Centre</v>
      </c>
      <c r="D119" s="7">
        <f>COUNTA(Raw_Data!D119:CI119)</f>
        <v>69</v>
      </c>
      <c r="E119" s="7">
        <f t="shared" si="4"/>
        <v>15</v>
      </c>
      <c r="F119" s="9">
        <f>INDEX(tblParameters[Value],MATCH("ExpectedValues",tblParameters[Parameter],0))</f>
        <v>84</v>
      </c>
      <c r="G119" s="7">
        <f t="shared" si="5"/>
        <v>0.8214285714285714</v>
      </c>
      <c r="H119" s="7" t="str">
        <f>LOOKUP(G119,tblIndicatorScore[Min],tblIndicatorScore[Rating])</f>
        <v>Fair</v>
      </c>
      <c r="I119" s="7">
        <f>LOOKUP(G119,tblIndicatorScore[Min],tblIndicatorScore[Score])</f>
        <v>1</v>
      </c>
      <c r="J119" s="7" t="str">
        <f t="shared" si="6"/>
        <v>No</v>
      </c>
      <c r="K119" s="7" t="str">
        <f t="shared" si="7"/>
        <v>No</v>
      </c>
      <c r="L119" s="7" t="str">
        <f>IFERROR(
IF(K119="Yes","Incomplete",
IF(OR(
J119="Yes",
G119&lt;INDEX(tblParameters[Value],MATCH("MinimumAcceptCompleteness",tblParameters[Parameter],0))
),
"Review",
"Accept")),
"Parameter Error")</f>
        <v>Review</v>
      </c>
    </row>
    <row r="120" spans="1:12" ht="63.75">
      <c r="A120" s="8" t="str">
        <f>TRIM(SUBSTITUTE(CLEAN(Raw_Data!A120),CHAR(160)," "))</f>
        <v>Abaji Local Government Area</v>
      </c>
      <c r="B120" s="8" t="str">
        <f t="array" ref="B120">TRIM(SUBSTITUTE(CLEAN(Raw_Data!B120),CHAR(160)," "))</f>
        <v>Gawu Ward</v>
      </c>
      <c r="C120" s="8" t="str">
        <f t="array" ref="C120">TRIM(SUBSTITUTE(CLEAN(Raw_Data!C120),CHAR(160)," "))</f>
        <v>Gawu Comprehensive Health Centre</v>
      </c>
      <c r="D120" s="7">
        <f>COUNTA(Raw_Data!D120:CI120)</f>
        <v>70</v>
      </c>
      <c r="E120" s="7">
        <f t="shared" si="4"/>
        <v>14</v>
      </c>
      <c r="F120" s="9">
        <f>INDEX(tblParameters[Value],MATCH("ExpectedValues",tblParameters[Parameter],0))</f>
        <v>84</v>
      </c>
      <c r="G120" s="7">
        <f t="shared" si="5"/>
        <v>0.83333333333333337</v>
      </c>
      <c r="H120" s="7" t="str">
        <f>LOOKUP(G120,tblIndicatorScore[Min],tblIndicatorScore[Rating])</f>
        <v>Fair</v>
      </c>
      <c r="I120" s="7">
        <f>LOOKUP(G120,tblIndicatorScore[Min],tblIndicatorScore[Score])</f>
        <v>1</v>
      </c>
      <c r="J120" s="7" t="str">
        <f t="shared" si="6"/>
        <v>No</v>
      </c>
      <c r="K120" s="7" t="str">
        <f t="shared" si="7"/>
        <v>No</v>
      </c>
      <c r="L120" s="7" t="str">
        <f>IFERROR(
IF(K120="Yes","Incomplete",
IF(OR(
J120="Yes",
G120&lt;INDEX(tblParameters[Value],MATCH("MinimumAcceptCompleteness",tblParameters[Parameter],0))
),
"Review",
"Accept")),
"Parameter Error")</f>
        <v>Review</v>
      </c>
    </row>
    <row r="121" spans="1:12" ht="51">
      <c r="A121" s="8" t="str">
        <f>TRIM(SUBSTITUTE(CLEAN(Raw_Data!A121),CHAR(160)," "))</f>
        <v>Kuje Local Government Area</v>
      </c>
      <c r="B121" s="8" t="str">
        <f t="array" ref="B121">TRIM(SUBSTITUTE(CLEAN(Raw_Data!B121),CHAR(160)," "))</f>
        <v>Kwaku Ward</v>
      </c>
      <c r="C121" s="8" t="str">
        <f t="array" ref="C121">TRIM(SUBSTITUTE(CLEAN(Raw_Data!C121),CHAR(160)," "))</f>
        <v>Gawu Primary Health Centre</v>
      </c>
      <c r="D121" s="7">
        <f>COUNTA(Raw_Data!D121:CI121)</f>
        <v>48</v>
      </c>
      <c r="E121" s="7">
        <f t="shared" si="4"/>
        <v>36</v>
      </c>
      <c r="F121" s="9">
        <f>INDEX(tblParameters[Value],MATCH("ExpectedValues",tblParameters[Parameter],0))</f>
        <v>84</v>
      </c>
      <c r="G121" s="7">
        <f t="shared" si="5"/>
        <v>0.5714285714285714</v>
      </c>
      <c r="H121" s="7" t="str">
        <f>LOOKUP(G121,tblIndicatorScore[Min],tblIndicatorScore[Rating])</f>
        <v>Poor</v>
      </c>
      <c r="I121" s="7">
        <f>LOOKUP(G121,tblIndicatorScore[Min],tblIndicatorScore[Score])</f>
        <v>0</v>
      </c>
      <c r="J121" s="7" t="str">
        <f t="shared" si="6"/>
        <v>No</v>
      </c>
      <c r="K121" s="7" t="str">
        <f t="shared" si="7"/>
        <v>No</v>
      </c>
      <c r="L121" s="7" t="str">
        <f>IFERROR(
IF(K121="Yes","Incomplete",
IF(OR(
J121="Yes",
G121&lt;INDEX(tblParameters[Value],MATCH("MinimumAcceptCompleteness",tblParameters[Parameter],0))
),
"Review",
"Accept")),
"Parameter Error")</f>
        <v>Review</v>
      </c>
    </row>
    <row r="122" spans="1:12" ht="63.75">
      <c r="A122" s="8" t="str">
        <f>TRIM(SUBSTITUTE(CLEAN(Raw_Data!A122),CHAR(160)," "))</f>
        <v>Abuja Municipal Area Council</v>
      </c>
      <c r="B122" s="8" t="str">
        <f t="array" ref="B122">TRIM(SUBSTITUTE(CLEAN(Raw_Data!B122),CHAR(160)," "))</f>
        <v>Nyanya Ward</v>
      </c>
      <c r="C122" s="8" t="str">
        <f t="array" ref="C122">TRIM(SUBSTITUTE(CLEAN(Raw_Data!C122),CHAR(160)," "))</f>
        <v>Gbagarape Primary Health Care Centre</v>
      </c>
      <c r="D122" s="7">
        <f>COUNTA(Raw_Data!D122:CI122)</f>
        <v>72</v>
      </c>
      <c r="E122" s="7">
        <f t="shared" si="4"/>
        <v>12</v>
      </c>
      <c r="F122" s="9">
        <f>INDEX(tblParameters[Value],MATCH("ExpectedValues",tblParameters[Parameter],0))</f>
        <v>84</v>
      </c>
      <c r="G122" s="7">
        <f t="shared" si="5"/>
        <v>0.8571428571428571</v>
      </c>
      <c r="H122" s="7" t="str">
        <f>LOOKUP(G122,tblIndicatorScore[Min],tblIndicatorScore[Rating])</f>
        <v>Fair</v>
      </c>
      <c r="I122" s="7">
        <f>LOOKUP(G122,tblIndicatorScore[Min],tblIndicatorScore[Score])</f>
        <v>1</v>
      </c>
      <c r="J122" s="7" t="str">
        <f t="shared" si="6"/>
        <v>No</v>
      </c>
      <c r="K122" s="7" t="str">
        <f t="shared" si="7"/>
        <v>No</v>
      </c>
      <c r="L122" s="7" t="str">
        <f>IFERROR(
IF(K122="Yes","Incomplete",
IF(OR(
J122="Yes",
G122&lt;INDEX(tblParameters[Value],MATCH("MinimumAcceptCompleteness",tblParameters[Parameter],0))
),
"Review",
"Accept")),
"Parameter Error")</f>
        <v>Review</v>
      </c>
    </row>
    <row r="123" spans="1:12" ht="63.75">
      <c r="A123" s="8" t="str">
        <f>TRIM(SUBSTITUTE(CLEAN(Raw_Data!A123),CHAR(160)," "))</f>
        <v>Kuje Local Government Area</v>
      </c>
      <c r="B123" s="8" t="str">
        <f t="array" ref="B123">TRIM(SUBSTITUTE(CLEAN(Raw_Data!B123),CHAR(160)," "))</f>
        <v>Gaube Ward</v>
      </c>
      <c r="C123" s="8" t="str">
        <f t="array" ref="C123">TRIM(SUBSTITUTE(CLEAN(Raw_Data!C123),CHAR(160)," "))</f>
        <v>Gbaukuchi Primary Health Centre</v>
      </c>
      <c r="D123" s="7">
        <f>COUNTA(Raw_Data!D123:CI123)</f>
        <v>36</v>
      </c>
      <c r="E123" s="7">
        <f t="shared" si="4"/>
        <v>48</v>
      </c>
      <c r="F123" s="9">
        <f>INDEX(tblParameters[Value],MATCH("ExpectedValues",tblParameters[Parameter],0))</f>
        <v>84</v>
      </c>
      <c r="G123" s="7">
        <f t="shared" si="5"/>
        <v>0.42857142857142855</v>
      </c>
      <c r="H123" s="7" t="str">
        <f>LOOKUP(G123,tblIndicatorScore[Min],tblIndicatorScore[Rating])</f>
        <v>Poor</v>
      </c>
      <c r="I123" s="7">
        <f>LOOKUP(G123,tblIndicatorScore[Min],tblIndicatorScore[Score])</f>
        <v>0</v>
      </c>
      <c r="J123" s="7" t="str">
        <f t="shared" si="6"/>
        <v>No</v>
      </c>
      <c r="K123" s="7" t="str">
        <f t="shared" si="7"/>
        <v>No</v>
      </c>
      <c r="L123" s="7" t="str">
        <f>IFERROR(
IF(K123="Yes","Incomplete",
IF(OR(
J123="Yes",
G123&lt;INDEX(tblParameters[Value],MATCH("MinimumAcceptCompleteness",tblParameters[Parameter],0))
),
"Review",
"Accept")),
"Parameter Error")</f>
        <v>Review</v>
      </c>
    </row>
    <row r="124" spans="1:12" ht="51">
      <c r="A124" s="8" t="str">
        <f>TRIM(SUBSTITUTE(CLEAN(Raw_Data!A124),CHAR(160)," "))</f>
        <v>Kuje Local Government Area</v>
      </c>
      <c r="B124" s="8" t="str">
        <f t="array" ref="B124">TRIM(SUBSTITUTE(CLEAN(Raw_Data!B124),CHAR(160)," "))</f>
        <v>Gaube Ward</v>
      </c>
      <c r="C124" s="8" t="str">
        <f t="array" ref="C124">TRIM(SUBSTITUTE(CLEAN(Raw_Data!C124),CHAR(160)," "))</f>
        <v>Gbaupe Primary Health Centre</v>
      </c>
      <c r="D124" s="7">
        <f>COUNTA(Raw_Data!D124:CI124)</f>
        <v>39</v>
      </c>
      <c r="E124" s="7">
        <f t="shared" si="4"/>
        <v>45</v>
      </c>
      <c r="F124" s="9">
        <f>INDEX(tblParameters[Value],MATCH("ExpectedValues",tblParameters[Parameter],0))</f>
        <v>84</v>
      </c>
      <c r="G124" s="7">
        <f t="shared" si="5"/>
        <v>0.4642857142857143</v>
      </c>
      <c r="H124" s="7" t="str">
        <f>LOOKUP(G124,tblIndicatorScore[Min],tblIndicatorScore[Rating])</f>
        <v>Poor</v>
      </c>
      <c r="I124" s="7">
        <f>LOOKUP(G124,tblIndicatorScore[Min],tblIndicatorScore[Score])</f>
        <v>0</v>
      </c>
      <c r="J124" s="7" t="str">
        <f t="shared" si="6"/>
        <v>No</v>
      </c>
      <c r="K124" s="7" t="str">
        <f t="shared" si="7"/>
        <v>No</v>
      </c>
      <c r="L124" s="7" t="str">
        <f>IFERROR(
IF(K124="Yes","Incomplete",
IF(OR(
J124="Yes",
G124&lt;INDEX(tblParameters[Value],MATCH("MinimumAcceptCompleteness",tblParameters[Parameter],0))
),
"Review",
"Accept")),
"Parameter Error")</f>
        <v>Review</v>
      </c>
    </row>
    <row r="125" spans="1:12" ht="51">
      <c r="A125" s="8" t="str">
        <f>TRIM(SUBSTITUTE(CLEAN(Raw_Data!A125),CHAR(160)," "))</f>
        <v>Abuja Municipal Area Council</v>
      </c>
      <c r="B125" s="8" t="str">
        <f t="array" ref="B125">TRIM(SUBSTITUTE(CLEAN(Raw_Data!B125),CHAR(160)," "))</f>
        <v>Gwagwa Ward</v>
      </c>
      <c r="C125" s="8" t="str">
        <f t="array" ref="C125">TRIM(SUBSTITUTE(CLEAN(Raw_Data!C125),CHAR(160)," "))</f>
        <v>Getwell Optimal Hospital (Gwagwa)</v>
      </c>
      <c r="D125" s="7">
        <f>COUNTA(Raw_Data!D125:CI125)</f>
        <v>39</v>
      </c>
      <c r="E125" s="7">
        <f t="shared" si="4"/>
        <v>45</v>
      </c>
      <c r="F125" s="9">
        <f>INDEX(tblParameters[Value],MATCH("ExpectedValues",tblParameters[Parameter],0))</f>
        <v>84</v>
      </c>
      <c r="G125" s="7">
        <f t="shared" si="5"/>
        <v>0.4642857142857143</v>
      </c>
      <c r="H125" s="7" t="str">
        <f>LOOKUP(G125,tblIndicatorScore[Min],tblIndicatorScore[Rating])</f>
        <v>Poor</v>
      </c>
      <c r="I125" s="7">
        <f>LOOKUP(G125,tblIndicatorScore[Min],tblIndicatorScore[Score])</f>
        <v>0</v>
      </c>
      <c r="J125" s="7" t="str">
        <f t="shared" si="6"/>
        <v>No</v>
      </c>
      <c r="K125" s="7" t="str">
        <f t="shared" si="7"/>
        <v>No</v>
      </c>
      <c r="L125" s="7" t="str">
        <f>IFERROR(
IF(K125="Yes","Incomplete",
IF(OR(
J125="Yes",
G125&lt;INDEX(tblParameters[Value],MATCH("MinimumAcceptCompleteness",tblParameters[Parameter],0))
),
"Review",
"Accept")),
"Parameter Error")</f>
        <v>Review</v>
      </c>
    </row>
    <row r="126" spans="1:12" ht="63.75">
      <c r="A126" s="8" t="str">
        <f>TRIM(SUBSTITUTE(CLEAN(Raw_Data!A126),CHAR(160)," "))</f>
        <v>Abuja Municipal Area Council</v>
      </c>
      <c r="B126" s="8" t="str">
        <f t="array" ref="B126">TRIM(SUBSTITUTE(CLEAN(Raw_Data!B126),CHAR(160)," "))</f>
        <v>Orozo Ward</v>
      </c>
      <c r="C126" s="8" t="str">
        <f t="array" ref="C126">TRIM(SUBSTITUTE(CLEAN(Raw_Data!C126),CHAR(160)," "))</f>
        <v>Gidan Mangoro Primary Health Clinic</v>
      </c>
      <c r="D126" s="7">
        <f>COUNTA(Raw_Data!D126:CI126)</f>
        <v>67</v>
      </c>
      <c r="E126" s="7">
        <f t="shared" si="4"/>
        <v>17</v>
      </c>
      <c r="F126" s="9">
        <f>INDEX(tblParameters[Value],MATCH("ExpectedValues",tblParameters[Parameter],0))</f>
        <v>84</v>
      </c>
      <c r="G126" s="7">
        <f t="shared" si="5"/>
        <v>0.79761904761904767</v>
      </c>
      <c r="H126" s="7" t="str">
        <f>LOOKUP(G126,tblIndicatorScore[Min],tblIndicatorScore[Rating])</f>
        <v>Poor</v>
      </c>
      <c r="I126" s="7">
        <f>LOOKUP(G126,tblIndicatorScore[Min],tblIndicatorScore[Score])</f>
        <v>0</v>
      </c>
      <c r="J126" s="7" t="str">
        <f t="shared" si="6"/>
        <v>No</v>
      </c>
      <c r="K126" s="7" t="str">
        <f t="shared" si="7"/>
        <v>No</v>
      </c>
      <c r="L126" s="7" t="str">
        <f>IFERROR(
IF(K126="Yes","Incomplete",
IF(OR(
J126="Yes",
G126&lt;INDEX(tblParameters[Value],MATCH("MinimumAcceptCompleteness",tblParameters[Parameter],0))
),
"Review",
"Accept")),
"Parameter Error")</f>
        <v>Review</v>
      </c>
    </row>
    <row r="127" spans="1:12" ht="51">
      <c r="A127" s="8" t="str">
        <f>TRIM(SUBSTITUTE(CLEAN(Raw_Data!A127),CHAR(160)," "))</f>
        <v>Kuje Local Government Area</v>
      </c>
      <c r="B127" s="8" t="str">
        <f t="array" ref="B127">TRIM(SUBSTITUTE(CLEAN(Raw_Data!B127),CHAR(160)," "))</f>
        <v>Gaube Ward</v>
      </c>
      <c r="C127" s="8" t="str">
        <f t="array" ref="C127">TRIM(SUBSTITUTE(CLEAN(Raw_Data!C127),CHAR(160)," "))</f>
        <v>Gidanbawa Primary Health Clinic</v>
      </c>
      <c r="D127" s="7">
        <f>COUNTA(Raw_Data!D127:CI127)</f>
        <v>43</v>
      </c>
      <c r="E127" s="7">
        <f t="shared" si="4"/>
        <v>41</v>
      </c>
      <c r="F127" s="9">
        <f>INDEX(tblParameters[Value],MATCH("ExpectedValues",tblParameters[Parameter],0))</f>
        <v>84</v>
      </c>
      <c r="G127" s="7">
        <f t="shared" si="5"/>
        <v>0.51190476190476186</v>
      </c>
      <c r="H127" s="7" t="str">
        <f>LOOKUP(G127,tblIndicatorScore[Min],tblIndicatorScore[Rating])</f>
        <v>Poor</v>
      </c>
      <c r="I127" s="7">
        <f>LOOKUP(G127,tblIndicatorScore[Min],tblIndicatorScore[Score])</f>
        <v>0</v>
      </c>
      <c r="J127" s="7" t="str">
        <f t="shared" si="6"/>
        <v>No</v>
      </c>
      <c r="K127" s="7" t="str">
        <f t="shared" si="7"/>
        <v>No</v>
      </c>
      <c r="L127" s="7" t="str">
        <f>IFERROR(
IF(K127="Yes","Incomplete",
IF(OR(
J127="Yes",
G127&lt;INDEX(tblParameters[Value],MATCH("MinimumAcceptCompleteness",tblParameters[Parameter],0))
),
"Review",
"Accept")),
"Parameter Error")</f>
        <v>Review</v>
      </c>
    </row>
    <row r="128" spans="1:12" ht="51">
      <c r="A128" s="8" t="str">
        <f>TRIM(SUBSTITUTE(CLEAN(Raw_Data!A128),CHAR(160)," "))</f>
        <v>Abaji Local Government Area</v>
      </c>
      <c r="B128" s="8" t="str">
        <f t="array" ref="B128">TRIM(SUBSTITUTE(CLEAN(Raw_Data!B128),CHAR(160)," "))</f>
        <v>Gawu Ward</v>
      </c>
      <c r="C128" s="8" t="str">
        <f t="array" ref="C128">TRIM(SUBSTITUTE(CLEAN(Raw_Data!C128),CHAR(160)," "))</f>
        <v>Gigbe Primary Health Clinic</v>
      </c>
      <c r="D128" s="7">
        <f>COUNTA(Raw_Data!D128:CI128)</f>
        <v>59</v>
      </c>
      <c r="E128" s="7">
        <f t="shared" si="4"/>
        <v>25</v>
      </c>
      <c r="F128" s="9">
        <f>INDEX(tblParameters[Value],MATCH("ExpectedValues",tblParameters[Parameter],0))</f>
        <v>84</v>
      </c>
      <c r="G128" s="7">
        <f t="shared" si="5"/>
        <v>0.70238095238095233</v>
      </c>
      <c r="H128" s="7" t="str">
        <f>LOOKUP(G128,tblIndicatorScore[Min],tblIndicatorScore[Rating])</f>
        <v>Poor</v>
      </c>
      <c r="I128" s="7">
        <f>LOOKUP(G128,tblIndicatorScore[Min],tblIndicatorScore[Score])</f>
        <v>0</v>
      </c>
      <c r="J128" s="7" t="str">
        <f t="shared" si="6"/>
        <v>No</v>
      </c>
      <c r="K128" s="7" t="str">
        <f t="shared" si="7"/>
        <v>No</v>
      </c>
      <c r="L128" s="7" t="str">
        <f>IFERROR(
IF(K128="Yes","Incomplete",
IF(OR(
J128="Yes",
G128&lt;INDEX(tblParameters[Value],MATCH("MinimumAcceptCompleteness",tblParameters[Parameter],0))
),
"Review",
"Accept")),
"Parameter Error")</f>
        <v>Review</v>
      </c>
    </row>
    <row r="129" spans="1:12" ht="51">
      <c r="A129" s="8" t="str">
        <f>TRIM(SUBSTITUTE(CLEAN(Raw_Data!A129),CHAR(160)," "))</f>
        <v>Gwagwalada Local Government Area</v>
      </c>
      <c r="B129" s="8" t="str">
        <f t="array" ref="B129">TRIM(SUBSTITUTE(CLEAN(Raw_Data!B129),CHAR(160)," "))</f>
        <v>Gwako Ward</v>
      </c>
      <c r="C129" s="8" t="str">
        <f t="array" ref="C129">TRIM(SUBSTITUTE(CLEAN(Raw_Data!C129),CHAR(160)," "))</f>
        <v>Giri Primary Health Clinic</v>
      </c>
      <c r="D129" s="7">
        <f>COUNTA(Raw_Data!D129:CI129)</f>
        <v>69</v>
      </c>
      <c r="E129" s="7">
        <f t="shared" si="4"/>
        <v>15</v>
      </c>
      <c r="F129" s="9">
        <f>INDEX(tblParameters[Value],MATCH("ExpectedValues",tblParameters[Parameter],0))</f>
        <v>84</v>
      </c>
      <c r="G129" s="7">
        <f t="shared" si="5"/>
        <v>0.8214285714285714</v>
      </c>
      <c r="H129" s="7" t="str">
        <f>LOOKUP(G129,tblIndicatorScore[Min],tblIndicatorScore[Rating])</f>
        <v>Fair</v>
      </c>
      <c r="I129" s="7">
        <f>LOOKUP(G129,tblIndicatorScore[Min],tblIndicatorScore[Score])</f>
        <v>1</v>
      </c>
      <c r="J129" s="7" t="str">
        <f t="shared" si="6"/>
        <v>No</v>
      </c>
      <c r="K129" s="7" t="str">
        <f t="shared" si="7"/>
        <v>No</v>
      </c>
      <c r="L129" s="7" t="str">
        <f>IFERROR(
IF(K129="Yes","Incomplete",
IF(OR(
J129="Yes",
G129&lt;INDEX(tblParameters[Value],MATCH("MinimumAcceptCompleteness",tblParameters[Parameter],0))
),
"Review",
"Accept")),
"Parameter Error")</f>
        <v>Review</v>
      </c>
    </row>
    <row r="130" spans="1:12" ht="51">
      <c r="A130" s="8" t="str">
        <f>TRIM(SUBSTITUTE(CLEAN(Raw_Data!A130),CHAR(160)," "))</f>
        <v>Abuja Municipal Area Council</v>
      </c>
      <c r="B130" s="8" t="str">
        <f t="array" ref="B130">TRIM(SUBSTITUTE(CLEAN(Raw_Data!B130),CHAR(160)," "))</f>
        <v>Gwarimpa Ward</v>
      </c>
      <c r="C130" s="8" t="str">
        <f t="array" ref="C130">TRIM(SUBSTITUTE(CLEAN(Raw_Data!C130),CHAR(160)," "))</f>
        <v>Gishiri Primary Health Clinic</v>
      </c>
      <c r="D130" s="7">
        <f>COUNTA(Raw_Data!D130:CI130)</f>
        <v>49</v>
      </c>
      <c r="E130" s="7">
        <f t="shared" si="4"/>
        <v>35</v>
      </c>
      <c r="F130" s="9">
        <f>INDEX(tblParameters[Value],MATCH("ExpectedValues",tblParameters[Parameter],0))</f>
        <v>84</v>
      </c>
      <c r="G130" s="7">
        <f t="shared" si="5"/>
        <v>0.58333333333333337</v>
      </c>
      <c r="H130" s="7" t="str">
        <f>LOOKUP(G130,tblIndicatorScore[Min],tblIndicatorScore[Rating])</f>
        <v>Poor</v>
      </c>
      <c r="I130" s="7">
        <f>LOOKUP(G130,tblIndicatorScore[Min],tblIndicatorScore[Score])</f>
        <v>0</v>
      </c>
      <c r="J130" s="7" t="str">
        <f t="shared" si="6"/>
        <v>No</v>
      </c>
      <c r="K130" s="7" t="str">
        <f t="shared" si="7"/>
        <v>No</v>
      </c>
      <c r="L130" s="7" t="str">
        <f>IFERROR(
IF(K130="Yes","Incomplete",
IF(OR(
J130="Yes",
G130&lt;INDEX(tblParameters[Value],MATCH("MinimumAcceptCompleteness",tblParameters[Parameter],0))
),
"Review",
"Accept")),
"Parameter Error")</f>
        <v>Review</v>
      </c>
    </row>
    <row r="131" spans="1:12" ht="51">
      <c r="A131" s="8" t="str">
        <f>TRIM(SUBSTITUTE(CLEAN(Raw_Data!A131),CHAR(160)," "))</f>
        <v>Abuja Municipal Area Council</v>
      </c>
      <c r="B131" s="8" t="str">
        <f t="array" ref="B131">TRIM(SUBSTITUTE(CLEAN(Raw_Data!B131),CHAR(160)," "))</f>
        <v>Gwagwa Ward</v>
      </c>
      <c r="C131" s="8" t="str">
        <f t="array" ref="C131">TRIM(SUBSTITUTE(CLEAN(Raw_Data!C131),CHAR(160)," "))</f>
        <v>God's Time Clinic and Maternity</v>
      </c>
      <c r="D131" s="7">
        <f>COUNTA(Raw_Data!D131:CI131)</f>
        <v>12</v>
      </c>
      <c r="E131" s="7">
        <f t="shared" ref="E131:E194" si="8">F131-D131</f>
        <v>72</v>
      </c>
      <c r="F131" s="9">
        <f>INDEX(tblParameters[Value],MATCH("ExpectedValues",tblParameters[Parameter],0))</f>
        <v>84</v>
      </c>
      <c r="G131" s="7">
        <f t="shared" ref="G131:G194" si="9">D131/F131</f>
        <v>0.14285714285714285</v>
      </c>
      <c r="H131" s="7" t="str">
        <f>LOOKUP(G131,tblIndicatorScore[Min],tblIndicatorScore[Rating])</f>
        <v>Poor</v>
      </c>
      <c r="I131" s="7">
        <f>LOOKUP(G131,tblIndicatorScore[Min],tblIndicatorScore[Score])</f>
        <v>0</v>
      </c>
      <c r="J131" s="7" t="str">
        <f t="shared" ref="J131:J194" si="10">IF(OR(A131="",B131="",C131=""),"",IF(COUNTIFS($A:$A,A131,$B:$B,B131,$C:$C,C131)&gt;1,"Yes","No"))</f>
        <v>No</v>
      </c>
      <c r="K131" s="7" t="str">
        <f t="shared" ref="K131:K194" si="11">IF(OR(TRIM(A131)="",TRIM(B131)="",TRIM(C131)="",D131&lt;=0,F131&lt;=0),"Yes","No")</f>
        <v>No</v>
      </c>
      <c r="L131" s="7" t="str">
        <f>IFERROR(
IF(K131="Yes","Incomplete",
IF(OR(
J131="Yes",
G131&lt;INDEX(tblParameters[Value],MATCH("MinimumAcceptCompleteness",tblParameters[Parameter],0))
),
"Review",
"Accept")),
"Parameter Error")</f>
        <v>Review</v>
      </c>
    </row>
    <row r="132" spans="1:12" ht="51">
      <c r="A132" s="8" t="str">
        <f>TRIM(SUBSTITUTE(CLEAN(Raw_Data!A132),CHAR(160)," "))</f>
        <v>Gwagwalada Local Government Area</v>
      </c>
      <c r="B132" s="8" t="str">
        <f t="array" ref="B132">TRIM(SUBSTITUTE(CLEAN(Raw_Data!B132),CHAR(160)," "))</f>
        <v>Ikwa Ward</v>
      </c>
      <c r="C132" s="8" t="str">
        <f t="array" ref="C132">TRIM(SUBSTITUTE(CLEAN(Raw_Data!C132),CHAR(160)," "))</f>
        <v>Godhealer Hospital</v>
      </c>
      <c r="D132" s="7">
        <f>COUNTA(Raw_Data!D132:CI132)</f>
        <v>5</v>
      </c>
      <c r="E132" s="7">
        <f t="shared" si="8"/>
        <v>79</v>
      </c>
      <c r="F132" s="9">
        <f>INDEX(tblParameters[Value],MATCH("ExpectedValues",tblParameters[Parameter],0))</f>
        <v>84</v>
      </c>
      <c r="G132" s="7">
        <f t="shared" si="9"/>
        <v>5.9523809523809521E-2</v>
      </c>
      <c r="H132" s="7" t="str">
        <f>LOOKUP(G132,tblIndicatorScore[Min],tblIndicatorScore[Rating])</f>
        <v>Poor</v>
      </c>
      <c r="I132" s="7">
        <f>LOOKUP(G132,tblIndicatorScore[Min],tblIndicatorScore[Score])</f>
        <v>0</v>
      </c>
      <c r="J132" s="7" t="str">
        <f t="shared" si="10"/>
        <v>No</v>
      </c>
      <c r="K132" s="7" t="str">
        <f t="shared" si="11"/>
        <v>No</v>
      </c>
      <c r="L132" s="7" t="str">
        <f>IFERROR(
IF(K132="Yes","Incomplete",
IF(OR(
J132="Yes",
G132&lt;INDEX(tblParameters[Value],MATCH("MinimumAcceptCompleteness",tblParameters[Parameter],0))
),
"Review",
"Accept")),
"Parameter Error")</f>
        <v>Review</v>
      </c>
    </row>
    <row r="133" spans="1:12" ht="51">
      <c r="A133" s="8" t="str">
        <f>TRIM(SUBSTITUTE(CLEAN(Raw_Data!A133),CHAR(160)," "))</f>
        <v>Kwali Local Government Area</v>
      </c>
      <c r="B133" s="8" t="str">
        <f t="array" ref="B133">TRIM(SUBSTITUTE(CLEAN(Raw_Data!B133),CHAR(160)," "))</f>
        <v>Kundu Ward</v>
      </c>
      <c r="C133" s="8" t="str">
        <f t="array" ref="C133">TRIM(SUBSTITUTE(CLEAN(Raw_Data!C133),CHAR(160)," "))</f>
        <v>Gomani Primary Health Clinic</v>
      </c>
      <c r="D133" s="7">
        <f>COUNTA(Raw_Data!D133:CI133)</f>
        <v>65</v>
      </c>
      <c r="E133" s="7">
        <f t="shared" si="8"/>
        <v>19</v>
      </c>
      <c r="F133" s="9">
        <f>INDEX(tblParameters[Value],MATCH("ExpectedValues",tblParameters[Parameter],0))</f>
        <v>84</v>
      </c>
      <c r="G133" s="7">
        <f t="shared" si="9"/>
        <v>0.77380952380952384</v>
      </c>
      <c r="H133" s="7" t="str">
        <f>LOOKUP(G133,tblIndicatorScore[Min],tblIndicatorScore[Rating])</f>
        <v>Poor</v>
      </c>
      <c r="I133" s="7">
        <f>LOOKUP(G133,tblIndicatorScore[Min],tblIndicatorScore[Score])</f>
        <v>0</v>
      </c>
      <c r="J133" s="7" t="str">
        <f t="shared" si="10"/>
        <v>No</v>
      </c>
      <c r="K133" s="7" t="str">
        <f t="shared" si="11"/>
        <v>No</v>
      </c>
      <c r="L133" s="7" t="str">
        <f>IFERROR(
IF(K133="Yes","Incomplete",
IF(OR(
J133="Yes",
G133&lt;INDEX(tblParameters[Value],MATCH("MinimumAcceptCompleteness",tblParameters[Parameter],0))
),
"Review",
"Accept")),
"Parameter Error")</f>
        <v>Review</v>
      </c>
    </row>
    <row r="134" spans="1:12" ht="51">
      <c r="A134" s="8" t="str">
        <f>TRIM(SUBSTITUTE(CLEAN(Raw_Data!A134),CHAR(160)," "))</f>
        <v>Kuje Local Government Area</v>
      </c>
      <c r="B134" s="8" t="str">
        <f t="array" ref="B134">TRIM(SUBSTITUTE(CLEAN(Raw_Data!B134),CHAR(160)," "))</f>
        <v>Gwargwada Ward</v>
      </c>
      <c r="C134" s="8" t="str">
        <f t="array" ref="C134">TRIM(SUBSTITUTE(CLEAN(Raw_Data!C134),CHAR(160)," "))</f>
        <v>Gombe Primary Health Centre</v>
      </c>
      <c r="D134" s="7">
        <f>COUNTA(Raw_Data!D134:CI134)</f>
        <v>46</v>
      </c>
      <c r="E134" s="7">
        <f t="shared" si="8"/>
        <v>38</v>
      </c>
      <c r="F134" s="9">
        <f>INDEX(tblParameters[Value],MATCH("ExpectedValues",tblParameters[Parameter],0))</f>
        <v>84</v>
      </c>
      <c r="G134" s="7">
        <f t="shared" si="9"/>
        <v>0.54761904761904767</v>
      </c>
      <c r="H134" s="7" t="str">
        <f>LOOKUP(G134,tblIndicatorScore[Min],tblIndicatorScore[Rating])</f>
        <v>Poor</v>
      </c>
      <c r="I134" s="7">
        <f>LOOKUP(G134,tblIndicatorScore[Min],tblIndicatorScore[Score])</f>
        <v>0</v>
      </c>
      <c r="J134" s="7" t="str">
        <f t="shared" si="10"/>
        <v>No</v>
      </c>
      <c r="K134" s="7" t="str">
        <f t="shared" si="11"/>
        <v>No</v>
      </c>
      <c r="L134" s="7" t="str">
        <f>IFERROR(
IF(K134="Yes","Incomplete",
IF(OR(
J134="Yes",
G134&lt;INDEX(tblParameters[Value],MATCH("MinimumAcceptCompleteness",tblParameters[Parameter],0))
),
"Review",
"Accept")),
"Parameter Error")</f>
        <v>Review</v>
      </c>
    </row>
    <row r="135" spans="1:12" ht="51">
      <c r="A135" s="8" t="str">
        <f>TRIM(SUBSTITUTE(CLEAN(Raw_Data!A135),CHAR(160)," "))</f>
        <v>Gwagwalada Local Government Area</v>
      </c>
      <c r="B135" s="8" t="str">
        <f t="array" ref="B135">TRIM(SUBSTITUTE(CLEAN(Raw_Data!B135),CHAR(160)," "))</f>
        <v>Central Ward</v>
      </c>
      <c r="C135" s="8" t="str">
        <f t="array" ref="C135">TRIM(SUBSTITUTE(CLEAN(Raw_Data!C135),CHAR(160)," "))</f>
        <v>Gonita Hospital &amp; Maternity</v>
      </c>
      <c r="D135" s="7">
        <f>COUNTA(Raw_Data!D135:CI135)</f>
        <v>6</v>
      </c>
      <c r="E135" s="7">
        <f t="shared" si="8"/>
        <v>78</v>
      </c>
      <c r="F135" s="9">
        <f>INDEX(tblParameters[Value],MATCH("ExpectedValues",tblParameters[Parameter],0))</f>
        <v>84</v>
      </c>
      <c r="G135" s="7">
        <f t="shared" si="9"/>
        <v>7.1428571428571425E-2</v>
      </c>
      <c r="H135" s="7" t="str">
        <f>LOOKUP(G135,tblIndicatorScore[Min],tblIndicatorScore[Rating])</f>
        <v>Poor</v>
      </c>
      <c r="I135" s="7">
        <f>LOOKUP(G135,tblIndicatorScore[Min],tblIndicatorScore[Score])</f>
        <v>0</v>
      </c>
      <c r="J135" s="7" t="str">
        <f t="shared" si="10"/>
        <v>No</v>
      </c>
      <c r="K135" s="7" t="str">
        <f t="shared" si="11"/>
        <v>No</v>
      </c>
      <c r="L135" s="7" t="str">
        <f>IFERROR(
IF(K135="Yes","Incomplete",
IF(OR(
J135="Yes",
G135&lt;INDEX(tblParameters[Value],MATCH("MinimumAcceptCompleteness",tblParameters[Parameter],0))
),
"Review",
"Accept")),
"Parameter Error")</f>
        <v>Review</v>
      </c>
    </row>
    <row r="136" spans="1:12" ht="63.75">
      <c r="A136" s="8" t="str">
        <f>TRIM(SUBSTITUTE(CLEAN(Raw_Data!A136),CHAR(160)," "))</f>
        <v>Abuja Municipal Area Council</v>
      </c>
      <c r="B136" s="8" t="str">
        <f t="array" ref="B136">TRIM(SUBSTITUTE(CLEAN(Raw_Data!B136),CHAR(160)," "))</f>
        <v>Gui Ward</v>
      </c>
      <c r="C136" s="8" t="str">
        <f t="array" ref="C136">TRIM(SUBSTITUTE(CLEAN(Raw_Data!C136),CHAR(160)," "))</f>
        <v>Gosa Primary Health Care Centre</v>
      </c>
      <c r="D136" s="7">
        <f>COUNTA(Raw_Data!D136:CI136)</f>
        <v>57</v>
      </c>
      <c r="E136" s="7">
        <f t="shared" si="8"/>
        <v>27</v>
      </c>
      <c r="F136" s="9">
        <f>INDEX(tblParameters[Value],MATCH("ExpectedValues",tblParameters[Parameter],0))</f>
        <v>84</v>
      </c>
      <c r="G136" s="7">
        <f t="shared" si="9"/>
        <v>0.6785714285714286</v>
      </c>
      <c r="H136" s="7" t="str">
        <f>LOOKUP(G136,tblIndicatorScore[Min],tblIndicatorScore[Rating])</f>
        <v>Poor</v>
      </c>
      <c r="I136" s="7">
        <f>LOOKUP(G136,tblIndicatorScore[Min],tblIndicatorScore[Score])</f>
        <v>0</v>
      </c>
      <c r="J136" s="7" t="str">
        <f t="shared" si="10"/>
        <v>No</v>
      </c>
      <c r="K136" s="7" t="str">
        <f t="shared" si="11"/>
        <v>No</v>
      </c>
      <c r="L136" s="7" t="str">
        <f>IFERROR(
IF(K136="Yes","Incomplete",
IF(OR(
J136="Yes",
G136&lt;INDEX(tblParameters[Value],MATCH("MinimumAcceptCompleteness",tblParameters[Parameter],0))
),
"Review",
"Accept")),
"Parameter Error")</f>
        <v>Review</v>
      </c>
    </row>
    <row r="137" spans="1:12" ht="51">
      <c r="A137" s="8" t="str">
        <f>TRIM(SUBSTITUTE(CLEAN(Raw_Data!A137),CHAR(160)," "))</f>
        <v>Kuje Local Government Area</v>
      </c>
      <c r="B137" s="8" t="str">
        <f t="array" ref="B137">TRIM(SUBSTITUTE(CLEAN(Raw_Data!B137),CHAR(160)," "))</f>
        <v>Gudunkarya Ward</v>
      </c>
      <c r="C137" s="8" t="str">
        <f t="array" ref="C137">TRIM(SUBSTITUTE(CLEAN(Raw_Data!C137),CHAR(160)," "))</f>
        <v>Gova Primary Health Centre</v>
      </c>
      <c r="D137" s="7">
        <f>COUNTA(Raw_Data!D137:CI137)</f>
        <v>57</v>
      </c>
      <c r="E137" s="7">
        <f t="shared" si="8"/>
        <v>27</v>
      </c>
      <c r="F137" s="9">
        <f>INDEX(tblParameters[Value],MATCH("ExpectedValues",tblParameters[Parameter],0))</f>
        <v>84</v>
      </c>
      <c r="G137" s="7">
        <f t="shared" si="9"/>
        <v>0.6785714285714286</v>
      </c>
      <c r="H137" s="7" t="str">
        <f>LOOKUP(G137,tblIndicatorScore[Min],tblIndicatorScore[Rating])</f>
        <v>Poor</v>
      </c>
      <c r="I137" s="7">
        <f>LOOKUP(G137,tblIndicatorScore[Min],tblIndicatorScore[Score])</f>
        <v>0</v>
      </c>
      <c r="J137" s="7" t="str">
        <f t="shared" si="10"/>
        <v>No</v>
      </c>
      <c r="K137" s="7" t="str">
        <f t="shared" si="11"/>
        <v>No</v>
      </c>
      <c r="L137" s="7" t="str">
        <f>IFERROR(
IF(K137="Yes","Incomplete",
IF(OR(
J137="Yes",
G137&lt;INDEX(tblParameters[Value],MATCH("MinimumAcceptCompleteness",tblParameters[Parameter],0))
),
"Review",
"Accept")),
"Parameter Error")</f>
        <v>Review</v>
      </c>
    </row>
    <row r="138" spans="1:12" ht="63.75">
      <c r="A138" s="8" t="str">
        <f>TRIM(SUBSTITUTE(CLEAN(Raw_Data!A138),CHAR(160)," "))</f>
        <v>Kuje Local Government Area</v>
      </c>
      <c r="B138" s="8" t="str">
        <f t="array" ref="B138">TRIM(SUBSTITUTE(CLEAN(Raw_Data!B138),CHAR(160)," "))</f>
        <v>Gudunkarya Ward</v>
      </c>
      <c r="C138" s="8" t="str">
        <f t="array" ref="C138">TRIM(SUBSTITUTE(CLEAN(Raw_Data!C138),CHAR(160)," "))</f>
        <v>Gudunkarya Primary Health Centre</v>
      </c>
      <c r="D138" s="7">
        <f>COUNTA(Raw_Data!D138:CI138)</f>
        <v>72</v>
      </c>
      <c r="E138" s="7">
        <f t="shared" si="8"/>
        <v>12</v>
      </c>
      <c r="F138" s="9">
        <f>INDEX(tblParameters[Value],MATCH("ExpectedValues",tblParameters[Parameter],0))</f>
        <v>84</v>
      </c>
      <c r="G138" s="7">
        <f t="shared" si="9"/>
        <v>0.8571428571428571</v>
      </c>
      <c r="H138" s="7" t="str">
        <f>LOOKUP(G138,tblIndicatorScore[Min],tblIndicatorScore[Rating])</f>
        <v>Fair</v>
      </c>
      <c r="I138" s="7">
        <f>LOOKUP(G138,tblIndicatorScore[Min],tblIndicatorScore[Score])</f>
        <v>1</v>
      </c>
      <c r="J138" s="7" t="str">
        <f t="shared" si="10"/>
        <v>No</v>
      </c>
      <c r="K138" s="7" t="str">
        <f t="shared" si="11"/>
        <v>No</v>
      </c>
      <c r="L138" s="7" t="str">
        <f>IFERROR(
IF(K138="Yes","Incomplete",
IF(OR(
J138="Yes",
G138&lt;INDEX(tblParameters[Value],MATCH("MinimumAcceptCompleteness",tblParameters[Parameter],0))
),
"Review",
"Accept")),
"Parameter Error")</f>
        <v>Review</v>
      </c>
    </row>
    <row r="139" spans="1:12" ht="51">
      <c r="A139" s="8" t="str">
        <f>TRIM(SUBSTITUTE(CLEAN(Raw_Data!A139),CHAR(160)," "))</f>
        <v>Bwari Local Government Area</v>
      </c>
      <c r="B139" s="8" t="str">
        <f t="array" ref="B139">TRIM(SUBSTITUTE(CLEAN(Raw_Data!B139),CHAR(160)," "))</f>
        <v>Shere Ward</v>
      </c>
      <c r="C139" s="8" t="str">
        <f t="array" ref="C139">TRIM(SUBSTITUTE(CLEAN(Raw_Data!C139),CHAR(160)," "))</f>
        <v>Gudupe Primary Health Clinic</v>
      </c>
      <c r="D139" s="7">
        <f>COUNTA(Raw_Data!D139:CI139)</f>
        <v>65</v>
      </c>
      <c r="E139" s="7">
        <f t="shared" si="8"/>
        <v>19</v>
      </c>
      <c r="F139" s="9">
        <f>INDEX(tblParameters[Value],MATCH("ExpectedValues",tblParameters[Parameter],0))</f>
        <v>84</v>
      </c>
      <c r="G139" s="7">
        <f t="shared" si="9"/>
        <v>0.77380952380952384</v>
      </c>
      <c r="H139" s="7" t="str">
        <f>LOOKUP(G139,tblIndicatorScore[Min],tblIndicatorScore[Rating])</f>
        <v>Poor</v>
      </c>
      <c r="I139" s="7">
        <f>LOOKUP(G139,tblIndicatorScore[Min],tblIndicatorScore[Score])</f>
        <v>0</v>
      </c>
      <c r="J139" s="7" t="str">
        <f t="shared" si="10"/>
        <v>No</v>
      </c>
      <c r="K139" s="7" t="str">
        <f t="shared" si="11"/>
        <v>No</v>
      </c>
      <c r="L139" s="7" t="str">
        <f>IFERROR(
IF(K139="Yes","Incomplete",
IF(OR(
J139="Yes",
G139&lt;INDEX(tblParameters[Value],MATCH("MinimumAcceptCompleteness",tblParameters[Parameter],0))
),
"Review",
"Accept")),
"Parameter Error")</f>
        <v>Review</v>
      </c>
    </row>
    <row r="140" spans="1:12" ht="51">
      <c r="A140" s="8" t="str">
        <f>TRIM(SUBSTITUTE(CLEAN(Raw_Data!A140),CHAR(160)," "))</f>
        <v>Abuja Municipal Area Council</v>
      </c>
      <c r="B140" s="8" t="str">
        <f t="array" ref="B140">TRIM(SUBSTITUTE(CLEAN(Raw_Data!B140),CHAR(160)," "))</f>
        <v>Orozo Ward</v>
      </c>
      <c r="C140" s="8" t="str">
        <f t="array" ref="C140">TRIM(SUBSTITUTE(CLEAN(Raw_Data!C140),CHAR(160)," "))</f>
        <v>Gugugu Primary Health Clinic</v>
      </c>
      <c r="D140" s="7">
        <f>COUNTA(Raw_Data!D140:CI140)</f>
        <v>34</v>
      </c>
      <c r="E140" s="7">
        <f t="shared" si="8"/>
        <v>50</v>
      </c>
      <c r="F140" s="9">
        <f>INDEX(tblParameters[Value],MATCH("ExpectedValues",tblParameters[Parameter],0))</f>
        <v>84</v>
      </c>
      <c r="G140" s="7">
        <f t="shared" si="9"/>
        <v>0.40476190476190477</v>
      </c>
      <c r="H140" s="7" t="str">
        <f>LOOKUP(G140,tblIndicatorScore[Min],tblIndicatorScore[Rating])</f>
        <v>Poor</v>
      </c>
      <c r="I140" s="7">
        <f>LOOKUP(G140,tblIndicatorScore[Min],tblIndicatorScore[Score])</f>
        <v>0</v>
      </c>
      <c r="J140" s="7" t="str">
        <f t="shared" si="10"/>
        <v>No</v>
      </c>
      <c r="K140" s="7" t="str">
        <f t="shared" si="11"/>
        <v>No</v>
      </c>
      <c r="L140" s="7" t="str">
        <f>IFERROR(
IF(K140="Yes","Incomplete",
IF(OR(
J140="Yes",
G140&lt;INDEX(tblParameters[Value],MATCH("MinimumAcceptCompleteness",tblParameters[Parameter],0))
),
"Review",
"Accept")),
"Parameter Error")</f>
        <v>Review</v>
      </c>
    </row>
    <row r="141" spans="1:12" ht="63.75">
      <c r="A141" s="8" t="str">
        <f>TRIM(SUBSTITUTE(CLEAN(Raw_Data!A141),CHAR(160)," "))</f>
        <v>Abuja Municipal Area Council</v>
      </c>
      <c r="B141" s="8" t="str">
        <f t="array" ref="B141">TRIM(SUBSTITUTE(CLEAN(Raw_Data!B141),CHAR(160)," "))</f>
        <v>Gui Ward</v>
      </c>
      <c r="C141" s="8" t="str">
        <f t="array" ref="C141">TRIM(SUBSTITUTE(CLEAN(Raw_Data!C141),CHAR(160)," "))</f>
        <v>Gui Primary Health Care Centre</v>
      </c>
      <c r="D141" s="7">
        <f>COUNTA(Raw_Data!D141:CI141)</f>
        <v>63</v>
      </c>
      <c r="E141" s="7">
        <f t="shared" si="8"/>
        <v>21</v>
      </c>
      <c r="F141" s="9">
        <f>INDEX(tblParameters[Value],MATCH("ExpectedValues",tblParameters[Parameter],0))</f>
        <v>84</v>
      </c>
      <c r="G141" s="7">
        <f t="shared" si="9"/>
        <v>0.75</v>
      </c>
      <c r="H141" s="7" t="str">
        <f>LOOKUP(G141,tblIndicatorScore[Min],tblIndicatorScore[Rating])</f>
        <v>Poor</v>
      </c>
      <c r="I141" s="7">
        <f>LOOKUP(G141,tblIndicatorScore[Min],tblIndicatorScore[Score])</f>
        <v>0</v>
      </c>
      <c r="J141" s="7" t="str">
        <f t="shared" si="10"/>
        <v>No</v>
      </c>
      <c r="K141" s="7" t="str">
        <f t="shared" si="11"/>
        <v>No</v>
      </c>
      <c r="L141" s="7" t="str">
        <f>IFERROR(
IF(K141="Yes","Incomplete",
IF(OR(
J141="Yes",
G141&lt;INDEX(tblParameters[Value],MATCH("MinimumAcceptCompleteness",tblParameters[Parameter],0))
),
"Review",
"Accept")),
"Parameter Error")</f>
        <v>Review</v>
      </c>
    </row>
    <row r="142" spans="1:12" ht="51">
      <c r="A142" s="8" t="str">
        <f>TRIM(SUBSTITUTE(CLEAN(Raw_Data!A142),CHAR(160)," "))</f>
        <v>Abaji Local Government Area</v>
      </c>
      <c r="B142" s="8" t="str">
        <f t="array" ref="B142">TRIM(SUBSTITUTE(CLEAN(Raw_Data!B142),CHAR(160)," "))</f>
        <v>Gurdi Ward</v>
      </c>
      <c r="C142" s="8" t="str">
        <f t="array" ref="C142">TRIM(SUBSTITUTE(CLEAN(Raw_Data!C142),CHAR(160)," "))</f>
        <v>Gulida Primary Health Clinic</v>
      </c>
      <c r="D142" s="7">
        <f>COUNTA(Raw_Data!D142:CI142)</f>
        <v>67</v>
      </c>
      <c r="E142" s="7">
        <f t="shared" si="8"/>
        <v>17</v>
      </c>
      <c r="F142" s="9">
        <f>INDEX(tblParameters[Value],MATCH("ExpectedValues",tblParameters[Parameter],0))</f>
        <v>84</v>
      </c>
      <c r="G142" s="7">
        <f t="shared" si="9"/>
        <v>0.79761904761904767</v>
      </c>
      <c r="H142" s="7" t="str">
        <f>LOOKUP(G142,tblIndicatorScore[Min],tblIndicatorScore[Rating])</f>
        <v>Poor</v>
      </c>
      <c r="I142" s="7">
        <f>LOOKUP(G142,tblIndicatorScore[Min],tblIndicatorScore[Score])</f>
        <v>0</v>
      </c>
      <c r="J142" s="7" t="str">
        <f t="shared" si="10"/>
        <v>No</v>
      </c>
      <c r="K142" s="7" t="str">
        <f t="shared" si="11"/>
        <v>No</v>
      </c>
      <c r="L142" s="7" t="str">
        <f>IFERROR(
IF(K142="Yes","Incomplete",
IF(OR(
J142="Yes",
G142&lt;INDEX(tblParameters[Value],MATCH("MinimumAcceptCompleteness",tblParameters[Parameter],0))
),
"Review",
"Accept")),
"Parameter Error")</f>
        <v>Review</v>
      </c>
    </row>
    <row r="143" spans="1:12" ht="51">
      <c r="A143" s="8" t="str">
        <f>TRIM(SUBSTITUTE(CLEAN(Raw_Data!A143),CHAR(160)," "))</f>
        <v>Kwali Local Government Area</v>
      </c>
      <c r="B143" s="8" t="str">
        <f t="array" ref="B143">TRIM(SUBSTITUTE(CLEAN(Raw_Data!B143),CHAR(160)," "))</f>
        <v>Gumbo Ward</v>
      </c>
      <c r="C143" s="8" t="str">
        <f t="array" ref="C143">TRIM(SUBSTITUTE(CLEAN(Raw_Data!C143),CHAR(160)," "))</f>
        <v>Gumbo Primary Health Clinic</v>
      </c>
      <c r="D143" s="7">
        <f>COUNTA(Raw_Data!D143:CI143)</f>
        <v>59</v>
      </c>
      <c r="E143" s="7">
        <f t="shared" si="8"/>
        <v>25</v>
      </c>
      <c r="F143" s="9">
        <f>INDEX(tblParameters[Value],MATCH("ExpectedValues",tblParameters[Parameter],0))</f>
        <v>84</v>
      </c>
      <c r="G143" s="7">
        <f t="shared" si="9"/>
        <v>0.70238095238095233</v>
      </c>
      <c r="H143" s="7" t="str">
        <f>LOOKUP(G143,tblIndicatorScore[Min],tblIndicatorScore[Rating])</f>
        <v>Poor</v>
      </c>
      <c r="I143" s="7">
        <f>LOOKUP(G143,tblIndicatorScore[Min],tblIndicatorScore[Score])</f>
        <v>0</v>
      </c>
      <c r="J143" s="7" t="str">
        <f t="shared" si="10"/>
        <v>No</v>
      </c>
      <c r="K143" s="7" t="str">
        <f t="shared" si="11"/>
        <v>No</v>
      </c>
      <c r="L143" s="7" t="str">
        <f>IFERROR(
IF(K143="Yes","Incomplete",
IF(OR(
J143="Yes",
G143&lt;INDEX(tblParameters[Value],MATCH("MinimumAcceptCompleteness",tblParameters[Parameter],0))
),
"Review",
"Accept")),
"Parameter Error")</f>
        <v>Review</v>
      </c>
    </row>
    <row r="144" spans="1:12" ht="51">
      <c r="A144" s="8" t="str">
        <f>TRIM(SUBSTITUTE(CLEAN(Raw_Data!A144),CHAR(160)," "))</f>
        <v>Abaji Local Government Area</v>
      </c>
      <c r="B144" s="8" t="str">
        <f t="array" ref="B144">TRIM(SUBSTITUTE(CLEAN(Raw_Data!B144),CHAR(160)," "))</f>
        <v>Gurdi Ward</v>
      </c>
      <c r="C144" s="8" t="str">
        <f t="array" ref="C144">TRIM(SUBSTITUTE(CLEAN(Raw_Data!C144),CHAR(160)," "))</f>
        <v>Gurdi Primary Health Clinic</v>
      </c>
      <c r="D144" s="7">
        <f>COUNTA(Raw_Data!D144:CI144)</f>
        <v>54</v>
      </c>
      <c r="E144" s="7">
        <f t="shared" si="8"/>
        <v>30</v>
      </c>
      <c r="F144" s="9">
        <f>INDEX(tblParameters[Value],MATCH("ExpectedValues",tblParameters[Parameter],0))</f>
        <v>84</v>
      </c>
      <c r="G144" s="7">
        <f t="shared" si="9"/>
        <v>0.6428571428571429</v>
      </c>
      <c r="H144" s="7" t="str">
        <f>LOOKUP(G144,tblIndicatorScore[Min],tblIndicatorScore[Rating])</f>
        <v>Poor</v>
      </c>
      <c r="I144" s="7">
        <f>LOOKUP(G144,tblIndicatorScore[Min],tblIndicatorScore[Score])</f>
        <v>0</v>
      </c>
      <c r="J144" s="7" t="str">
        <f t="shared" si="10"/>
        <v>No</v>
      </c>
      <c r="K144" s="7" t="str">
        <f t="shared" si="11"/>
        <v>No</v>
      </c>
      <c r="L144" s="7" t="str">
        <f>IFERROR(
IF(K144="Yes","Incomplete",
IF(OR(
J144="Yes",
G144&lt;INDEX(tblParameters[Value],MATCH("MinimumAcceptCompleteness",tblParameters[Parameter],0))
),
"Review",
"Accept")),
"Parameter Error")</f>
        <v>Review</v>
      </c>
    </row>
    <row r="145" spans="1:12" ht="51">
      <c r="A145" s="8" t="str">
        <f>TRIM(SUBSTITUTE(CLEAN(Raw_Data!A145),CHAR(160)," "))</f>
        <v>Gwagwalada Local Government Area</v>
      </c>
      <c r="B145" s="8" t="str">
        <f t="array" ref="B145">TRIM(SUBSTITUTE(CLEAN(Raw_Data!B145),CHAR(160)," "))</f>
        <v>Ibwa Ward</v>
      </c>
      <c r="C145" s="8" t="str">
        <f t="array" ref="C145">TRIM(SUBSTITUTE(CLEAN(Raw_Data!C145),CHAR(160)," "))</f>
        <v>Gurfata Primary Health Clinic</v>
      </c>
      <c r="D145" s="7">
        <f>COUNTA(Raw_Data!D145:CI145)</f>
        <v>76</v>
      </c>
      <c r="E145" s="7">
        <f t="shared" si="8"/>
        <v>8</v>
      </c>
      <c r="F145" s="9">
        <f>INDEX(tblParameters[Value],MATCH("ExpectedValues",tblParameters[Parameter],0))</f>
        <v>84</v>
      </c>
      <c r="G145" s="7">
        <f t="shared" si="9"/>
        <v>0.90476190476190477</v>
      </c>
      <c r="H145" s="7" t="str">
        <f>LOOKUP(G145,tblIndicatorScore[Min],tblIndicatorScore[Rating])</f>
        <v>Good</v>
      </c>
      <c r="I145" s="7">
        <f>LOOKUP(G145,tblIndicatorScore[Min],tblIndicatorScore[Score])</f>
        <v>2</v>
      </c>
      <c r="J145" s="7" t="str">
        <f t="shared" si="10"/>
        <v>No</v>
      </c>
      <c r="K145" s="7" t="str">
        <f t="shared" si="11"/>
        <v>No</v>
      </c>
      <c r="L145" s="7" t="str">
        <f>IFERROR(
IF(K145="Yes","Incomplete",
IF(OR(
J145="Yes",
G145&lt;INDEX(tblParameters[Value],MATCH("MinimumAcceptCompleteness",tblParameters[Parameter],0))
),
"Review",
"Accept")),
"Parameter Error")</f>
        <v>Accept</v>
      </c>
    </row>
    <row r="146" spans="1:12" ht="51">
      <c r="A146" s="8" t="str">
        <f>TRIM(SUBSTITUTE(CLEAN(Raw_Data!A146),CHAR(160)," "))</f>
        <v>Abuja Municipal Area Council</v>
      </c>
      <c r="B146" s="8" t="str">
        <f t="array" ref="B146">TRIM(SUBSTITUTE(CLEAN(Raw_Data!B146),CHAR(160)," "))</f>
        <v>Gwagwa Ward</v>
      </c>
      <c r="C146" s="8" t="str">
        <f t="array" ref="C146">TRIM(SUBSTITUTE(CLEAN(Raw_Data!C146),CHAR(160)," "))</f>
        <v>Gwagwa Primary Health Centre</v>
      </c>
      <c r="D146" s="7">
        <f>COUNTA(Raw_Data!D146:CI146)</f>
        <v>63</v>
      </c>
      <c r="E146" s="7">
        <f t="shared" si="8"/>
        <v>21</v>
      </c>
      <c r="F146" s="9">
        <f>INDEX(tblParameters[Value],MATCH("ExpectedValues",tblParameters[Parameter],0))</f>
        <v>84</v>
      </c>
      <c r="G146" s="7">
        <f t="shared" si="9"/>
        <v>0.75</v>
      </c>
      <c r="H146" s="7" t="str">
        <f>LOOKUP(G146,tblIndicatorScore[Min],tblIndicatorScore[Rating])</f>
        <v>Poor</v>
      </c>
      <c r="I146" s="7">
        <f>LOOKUP(G146,tblIndicatorScore[Min],tblIndicatorScore[Score])</f>
        <v>0</v>
      </c>
      <c r="J146" s="7" t="str">
        <f t="shared" si="10"/>
        <v>No</v>
      </c>
      <c r="K146" s="7" t="str">
        <f t="shared" si="11"/>
        <v>No</v>
      </c>
      <c r="L146" s="7" t="str">
        <f>IFERROR(
IF(K146="Yes","Incomplete",
IF(OR(
J146="Yes",
G146&lt;INDEX(tblParameters[Value],MATCH("MinimumAcceptCompleteness",tblParameters[Parameter],0))
),
"Review",
"Accept")),
"Parameter Error")</f>
        <v>Review</v>
      </c>
    </row>
    <row r="147" spans="1:12" ht="51">
      <c r="A147" s="8" t="str">
        <f>TRIM(SUBSTITUTE(CLEAN(Raw_Data!A147),CHAR(160)," "))</f>
        <v>Gwagwalada Local Government Area</v>
      </c>
      <c r="B147" s="8" t="str">
        <f t="array" ref="B147">TRIM(SUBSTITUTE(CLEAN(Raw_Data!B147),CHAR(160)," "))</f>
        <v>Kutunku Ward</v>
      </c>
      <c r="C147" s="8" t="str">
        <f t="array" ref="C147">TRIM(SUBSTITUTE(CLEAN(Raw_Data!C147),CHAR(160)," "))</f>
        <v>Gwagwalada Clinic and Maternity</v>
      </c>
      <c r="D147" s="7">
        <f>COUNTA(Raw_Data!D147:CI147)</f>
        <v>5</v>
      </c>
      <c r="E147" s="7">
        <f t="shared" si="8"/>
        <v>79</v>
      </c>
      <c r="F147" s="9">
        <f>INDEX(tblParameters[Value],MATCH("ExpectedValues",tblParameters[Parameter],0))</f>
        <v>84</v>
      </c>
      <c r="G147" s="7">
        <f t="shared" si="9"/>
        <v>5.9523809523809521E-2</v>
      </c>
      <c r="H147" s="7" t="str">
        <f>LOOKUP(G147,tblIndicatorScore[Min],tblIndicatorScore[Rating])</f>
        <v>Poor</v>
      </c>
      <c r="I147" s="7">
        <f>LOOKUP(G147,tblIndicatorScore[Min],tblIndicatorScore[Score])</f>
        <v>0</v>
      </c>
      <c r="J147" s="7" t="str">
        <f t="shared" si="10"/>
        <v>No</v>
      </c>
      <c r="K147" s="7" t="str">
        <f t="shared" si="11"/>
        <v>No</v>
      </c>
      <c r="L147" s="7" t="str">
        <f>IFERROR(
IF(K147="Yes","Incomplete",
IF(OR(
J147="Yes",
G147&lt;INDEX(tblParameters[Value],MATCH("MinimumAcceptCompleteness",tblParameters[Parameter],0))
),
"Review",
"Accept")),
"Parameter Error")</f>
        <v>Review</v>
      </c>
    </row>
    <row r="148" spans="1:12" ht="63.75">
      <c r="A148" s="8" t="str">
        <f>TRIM(SUBSTITUTE(CLEAN(Raw_Data!A148),CHAR(160)," "))</f>
        <v>Gwagwalada Local Government Area</v>
      </c>
      <c r="B148" s="8" t="str">
        <f t="array" ref="B148">TRIM(SUBSTITUTE(CLEAN(Raw_Data!B148),CHAR(160)," "))</f>
        <v>Kutunku Ward</v>
      </c>
      <c r="C148" s="8" t="str">
        <f t="array" ref="C148">TRIM(SUBSTITUTE(CLEAN(Raw_Data!C148),CHAR(160)," "))</f>
        <v>Gwagwalada Primary Health Center</v>
      </c>
      <c r="D148" s="7">
        <f>COUNTA(Raw_Data!D148:CI148)</f>
        <v>60</v>
      </c>
      <c r="E148" s="7">
        <f t="shared" si="8"/>
        <v>24</v>
      </c>
      <c r="F148" s="9">
        <f>INDEX(tblParameters[Value],MATCH("ExpectedValues",tblParameters[Parameter],0))</f>
        <v>84</v>
      </c>
      <c r="G148" s="7">
        <f t="shared" si="9"/>
        <v>0.7142857142857143</v>
      </c>
      <c r="H148" s="7" t="str">
        <f>LOOKUP(G148,tblIndicatorScore[Min],tblIndicatorScore[Rating])</f>
        <v>Poor</v>
      </c>
      <c r="I148" s="7">
        <f>LOOKUP(G148,tblIndicatorScore[Min],tblIndicatorScore[Score])</f>
        <v>0</v>
      </c>
      <c r="J148" s="7" t="str">
        <f t="shared" si="10"/>
        <v>No</v>
      </c>
      <c r="K148" s="7" t="str">
        <f t="shared" si="11"/>
        <v>No</v>
      </c>
      <c r="L148" s="7" t="str">
        <f>IFERROR(
IF(K148="Yes","Incomplete",
IF(OR(
J148="Yes",
G148&lt;INDEX(tblParameters[Value],MATCH("MinimumAcceptCompleteness",tblParameters[Parameter],0))
),
"Review",
"Accept")),
"Parameter Error")</f>
        <v>Review</v>
      </c>
    </row>
    <row r="149" spans="1:12" ht="51">
      <c r="A149" s="8" t="str">
        <f>TRIM(SUBSTITUTE(CLEAN(Raw_Data!A149),CHAR(160)," "))</f>
        <v>Gwagwalada Local Government Area</v>
      </c>
      <c r="B149" s="8" t="str">
        <f t="array" ref="B149">TRIM(SUBSTITUTE(CLEAN(Raw_Data!B149),CHAR(160)," "))</f>
        <v>Gwako Ward</v>
      </c>
      <c r="C149" s="8" t="str">
        <f t="array" ref="C149">TRIM(SUBSTITUTE(CLEAN(Raw_Data!C149),CHAR(160)," "))</f>
        <v>Gwako Primary Health Clinic</v>
      </c>
      <c r="D149" s="7">
        <f>COUNTA(Raw_Data!D149:CI149)</f>
        <v>74</v>
      </c>
      <c r="E149" s="7">
        <f t="shared" si="8"/>
        <v>10</v>
      </c>
      <c r="F149" s="9">
        <f>INDEX(tblParameters[Value],MATCH("ExpectedValues",tblParameters[Parameter],0))</f>
        <v>84</v>
      </c>
      <c r="G149" s="7">
        <f t="shared" si="9"/>
        <v>0.88095238095238093</v>
      </c>
      <c r="H149" s="7" t="str">
        <f>LOOKUP(G149,tblIndicatorScore[Min],tblIndicatorScore[Rating])</f>
        <v>Fair</v>
      </c>
      <c r="I149" s="7">
        <f>LOOKUP(G149,tblIndicatorScore[Min],tblIndicatorScore[Score])</f>
        <v>1</v>
      </c>
      <c r="J149" s="7" t="str">
        <f t="shared" si="10"/>
        <v>No</v>
      </c>
      <c r="K149" s="7" t="str">
        <f t="shared" si="11"/>
        <v>No</v>
      </c>
      <c r="L149" s="7" t="str">
        <f>IFERROR(
IF(K149="Yes","Incomplete",
IF(OR(
J149="Yes",
G149&lt;INDEX(tblParameters[Value],MATCH("MinimumAcceptCompleteness",tblParameters[Parameter],0))
),
"Review",
"Accept")),
"Parameter Error")</f>
        <v>Review</v>
      </c>
    </row>
    <row r="150" spans="1:12" ht="51">
      <c r="A150" s="8" t="str">
        <f>TRIM(SUBSTITUTE(CLEAN(Raw_Data!A150),CHAR(160)," "))</f>
        <v>Kuje Local Government Area</v>
      </c>
      <c r="B150" s="8" t="str">
        <f t="array" ref="B150">TRIM(SUBSTITUTE(CLEAN(Raw_Data!B150),CHAR(160)," "))</f>
        <v>Gwargwada Ward</v>
      </c>
      <c r="C150" s="8" t="str">
        <f t="array" ref="C150">TRIM(SUBSTITUTE(CLEAN(Raw_Data!C150),CHAR(160)," "))</f>
        <v>Gwargada Primary Health Centre</v>
      </c>
      <c r="D150" s="7">
        <f>COUNTA(Raw_Data!D150:CI150)</f>
        <v>63</v>
      </c>
      <c r="E150" s="7">
        <f t="shared" si="8"/>
        <v>21</v>
      </c>
      <c r="F150" s="9">
        <f>INDEX(tblParameters[Value],MATCH("ExpectedValues",tblParameters[Parameter],0))</f>
        <v>84</v>
      </c>
      <c r="G150" s="7">
        <f t="shared" si="9"/>
        <v>0.75</v>
      </c>
      <c r="H150" s="7" t="str">
        <f>LOOKUP(G150,tblIndicatorScore[Min],tblIndicatorScore[Rating])</f>
        <v>Poor</v>
      </c>
      <c r="I150" s="7">
        <f>LOOKUP(G150,tblIndicatorScore[Min],tblIndicatorScore[Score])</f>
        <v>0</v>
      </c>
      <c r="J150" s="7" t="str">
        <f t="shared" si="10"/>
        <v>No</v>
      </c>
      <c r="K150" s="7" t="str">
        <f t="shared" si="11"/>
        <v>No</v>
      </c>
      <c r="L150" s="7" t="str">
        <f>IFERROR(
IF(K150="Yes","Incomplete",
IF(OR(
J150="Yes",
G150&lt;INDEX(tblParameters[Value],MATCH("MinimumAcceptCompleteness",tblParameters[Parameter],0))
),
"Review",
"Accept")),
"Parameter Error")</f>
        <v>Review</v>
      </c>
    </row>
    <row r="151" spans="1:12" ht="51">
      <c r="A151" s="8" t="str">
        <f>TRIM(SUBSTITUTE(CLEAN(Raw_Data!A151),CHAR(160)," "))</f>
        <v>Abuja Municipal Area Council</v>
      </c>
      <c r="B151" s="8" t="str">
        <f t="array" ref="B151">TRIM(SUBSTITUTE(CLEAN(Raw_Data!B151),CHAR(160)," "))</f>
        <v>Gwarimpa Ward</v>
      </c>
      <c r="C151" s="8" t="str">
        <f t="array" ref="C151">TRIM(SUBSTITUTE(CLEAN(Raw_Data!C151),CHAR(160)," "))</f>
        <v>Gwarimpa General Hospital</v>
      </c>
      <c r="D151" s="7">
        <f>COUNTA(Raw_Data!D151:CI151)</f>
        <v>36</v>
      </c>
      <c r="E151" s="7">
        <f t="shared" si="8"/>
        <v>48</v>
      </c>
      <c r="F151" s="9">
        <f>INDEX(tblParameters[Value],MATCH("ExpectedValues",tblParameters[Parameter],0))</f>
        <v>84</v>
      </c>
      <c r="G151" s="7">
        <f t="shared" si="9"/>
        <v>0.42857142857142855</v>
      </c>
      <c r="H151" s="7" t="str">
        <f>LOOKUP(G151,tblIndicatorScore[Min],tblIndicatorScore[Rating])</f>
        <v>Poor</v>
      </c>
      <c r="I151" s="7">
        <f>LOOKUP(G151,tblIndicatorScore[Min],tblIndicatorScore[Score])</f>
        <v>0</v>
      </c>
      <c r="J151" s="7" t="str">
        <f t="shared" si="10"/>
        <v>No</v>
      </c>
      <c r="K151" s="7" t="str">
        <f t="shared" si="11"/>
        <v>No</v>
      </c>
      <c r="L151" s="7" t="str">
        <f>IFERROR(
IF(K151="Yes","Incomplete",
IF(OR(
J151="Yes",
G151&lt;INDEX(tblParameters[Value],MATCH("MinimumAcceptCompleteness",tblParameters[Parameter],0))
),
"Review",
"Accept")),
"Parameter Error")</f>
        <v>Review</v>
      </c>
    </row>
    <row r="152" spans="1:12" ht="51">
      <c r="A152" s="8" t="str">
        <f>TRIM(SUBSTITUTE(CLEAN(Raw_Data!A152),CHAR(160)," "))</f>
        <v>Abuja Municipal Area Council</v>
      </c>
      <c r="B152" s="8" t="str">
        <f t="array" ref="B152">TRIM(SUBSTITUTE(CLEAN(Raw_Data!B152),CHAR(160)," "))</f>
        <v>Gwarimpa Ward</v>
      </c>
      <c r="C152" s="8" t="str">
        <f t="array" ref="C152">TRIM(SUBSTITUTE(CLEAN(Raw_Data!C152),CHAR(160)," "))</f>
        <v>Gwarimpa Primary Health Clinic</v>
      </c>
      <c r="D152" s="7">
        <f>COUNTA(Raw_Data!D152:CI152)</f>
        <v>51</v>
      </c>
      <c r="E152" s="7">
        <f t="shared" si="8"/>
        <v>33</v>
      </c>
      <c r="F152" s="9">
        <f>INDEX(tblParameters[Value],MATCH("ExpectedValues",tblParameters[Parameter],0))</f>
        <v>84</v>
      </c>
      <c r="G152" s="7">
        <f t="shared" si="9"/>
        <v>0.6071428571428571</v>
      </c>
      <c r="H152" s="7" t="str">
        <f>LOOKUP(G152,tblIndicatorScore[Min],tblIndicatorScore[Rating])</f>
        <v>Poor</v>
      </c>
      <c r="I152" s="7">
        <f>LOOKUP(G152,tblIndicatorScore[Min],tblIndicatorScore[Score])</f>
        <v>0</v>
      </c>
      <c r="J152" s="7" t="str">
        <f t="shared" si="10"/>
        <v>No</v>
      </c>
      <c r="K152" s="7" t="str">
        <f t="shared" si="11"/>
        <v>No</v>
      </c>
      <c r="L152" s="7" t="str">
        <f>IFERROR(
IF(K152="Yes","Incomplete",
IF(OR(
J152="Yes",
G152&lt;INDEX(tblParameters[Value],MATCH("MinimumAcceptCompleteness",tblParameters[Parameter],0))
),
"Review",
"Accept")),
"Parameter Error")</f>
        <v>Review</v>
      </c>
    </row>
    <row r="153" spans="1:12" ht="51">
      <c r="A153" s="8" t="str">
        <f>TRIM(SUBSTITUTE(CLEAN(Raw_Data!A153),CHAR(160)," "))</f>
        <v>Gwagwalada Local Government Area</v>
      </c>
      <c r="B153" s="8" t="str">
        <f t="array" ref="B153">TRIM(SUBSTITUTE(CLEAN(Raw_Data!B153),CHAR(160)," "))</f>
        <v>Tungan Maje Ward</v>
      </c>
      <c r="C153" s="8" t="str">
        <f t="array" ref="C153">TRIM(SUBSTITUTE(CLEAN(Raw_Data!C153),CHAR(160)," "))</f>
        <v>Hope Clinic</v>
      </c>
      <c r="D153" s="7">
        <f>COUNTA(Raw_Data!D153:CI153)</f>
        <v>6</v>
      </c>
      <c r="E153" s="7">
        <f t="shared" si="8"/>
        <v>78</v>
      </c>
      <c r="F153" s="9">
        <f>INDEX(tblParameters[Value],MATCH("ExpectedValues",tblParameters[Parameter],0))</f>
        <v>84</v>
      </c>
      <c r="G153" s="7">
        <f t="shared" si="9"/>
        <v>7.1428571428571425E-2</v>
      </c>
      <c r="H153" s="7" t="str">
        <f>LOOKUP(G153,tblIndicatorScore[Min],tblIndicatorScore[Rating])</f>
        <v>Poor</v>
      </c>
      <c r="I153" s="7">
        <f>LOOKUP(G153,tblIndicatorScore[Min],tblIndicatorScore[Score])</f>
        <v>0</v>
      </c>
      <c r="J153" s="7" t="str">
        <f t="shared" si="10"/>
        <v>No</v>
      </c>
      <c r="K153" s="7" t="str">
        <f t="shared" si="11"/>
        <v>No</v>
      </c>
      <c r="L153" s="7" t="str">
        <f>IFERROR(
IF(K153="Yes","Incomplete",
IF(OR(
J153="Yes",
G153&lt;INDEX(tblParameters[Value],MATCH("MinimumAcceptCompleteness",tblParameters[Parameter],0))
),
"Review",
"Accept")),
"Parameter Error")</f>
        <v>Review</v>
      </c>
    </row>
    <row r="154" spans="1:12" ht="51">
      <c r="A154" s="8" t="str">
        <f>TRIM(SUBSTITUTE(CLEAN(Raw_Data!A154),CHAR(160)," "))</f>
        <v>Abuja Municipal Area Council</v>
      </c>
      <c r="B154" s="8" t="str">
        <f t="array" ref="B154">TRIM(SUBSTITUTE(CLEAN(Raw_Data!B154),CHAR(160)," "))</f>
        <v>Jiwa Ward</v>
      </c>
      <c r="C154" s="8" t="str">
        <f t="array" ref="C154">TRIM(SUBSTITUTE(CLEAN(Raw_Data!C154),CHAR(160)," "))</f>
        <v>Hulumi Primary Health Clinic</v>
      </c>
      <c r="D154" s="7">
        <f>COUNTA(Raw_Data!D154:CI154)</f>
        <v>67</v>
      </c>
      <c r="E154" s="7">
        <f t="shared" si="8"/>
        <v>17</v>
      </c>
      <c r="F154" s="9">
        <f>INDEX(tblParameters[Value],MATCH("ExpectedValues",tblParameters[Parameter],0))</f>
        <v>84</v>
      </c>
      <c r="G154" s="7">
        <f t="shared" si="9"/>
        <v>0.79761904761904767</v>
      </c>
      <c r="H154" s="7" t="str">
        <f>LOOKUP(G154,tblIndicatorScore[Min],tblIndicatorScore[Rating])</f>
        <v>Poor</v>
      </c>
      <c r="I154" s="7">
        <f>LOOKUP(G154,tblIndicatorScore[Min],tblIndicatorScore[Score])</f>
        <v>0</v>
      </c>
      <c r="J154" s="7" t="str">
        <f t="shared" si="10"/>
        <v>No</v>
      </c>
      <c r="K154" s="7" t="str">
        <f t="shared" si="11"/>
        <v>No</v>
      </c>
      <c r="L154" s="7" t="str">
        <f>IFERROR(
IF(K154="Yes","Incomplete",
IF(OR(
J154="Yes",
G154&lt;INDEX(tblParameters[Value],MATCH("MinimumAcceptCompleteness",tblParameters[Parameter],0))
),
"Review",
"Accept")),
"Parameter Error")</f>
        <v>Review</v>
      </c>
    </row>
    <row r="155" spans="1:12" ht="51">
      <c r="A155" s="8" t="str">
        <f>TRIM(SUBSTITUTE(CLEAN(Raw_Data!A155),CHAR(160)," "))</f>
        <v>Kuje Local Government Area</v>
      </c>
      <c r="B155" s="8" t="str">
        <f t="array" ref="B155">TRIM(SUBSTITUTE(CLEAN(Raw_Data!B155),CHAR(160)," "))</f>
        <v>Gudunkarya Ward</v>
      </c>
      <c r="C155" s="8" t="str">
        <f t="array" ref="C155">TRIM(SUBSTITUTE(CLEAN(Raw_Data!C155),CHAR(160)," "))</f>
        <v>Huni Primary Health Centre</v>
      </c>
      <c r="D155" s="7">
        <f>COUNTA(Raw_Data!D155:CI155)</f>
        <v>35</v>
      </c>
      <c r="E155" s="7">
        <f t="shared" si="8"/>
        <v>49</v>
      </c>
      <c r="F155" s="9">
        <f>INDEX(tblParameters[Value],MATCH("ExpectedValues",tblParameters[Parameter],0))</f>
        <v>84</v>
      </c>
      <c r="G155" s="7">
        <f t="shared" si="9"/>
        <v>0.41666666666666669</v>
      </c>
      <c r="H155" s="7" t="str">
        <f>LOOKUP(G155,tblIndicatorScore[Min],tblIndicatorScore[Rating])</f>
        <v>Poor</v>
      </c>
      <c r="I155" s="7">
        <f>LOOKUP(G155,tblIndicatorScore[Min],tblIndicatorScore[Score])</f>
        <v>0</v>
      </c>
      <c r="J155" s="7" t="str">
        <f t="shared" si="10"/>
        <v>No</v>
      </c>
      <c r="K155" s="7" t="str">
        <f t="shared" si="11"/>
        <v>No</v>
      </c>
      <c r="L155" s="7" t="str">
        <f>IFERROR(
IF(K155="Yes","Incomplete",
IF(OR(
J155="Yes",
G155&lt;INDEX(tblParameters[Value],MATCH("MinimumAcceptCompleteness",tblParameters[Parameter],0))
),
"Review",
"Accept")),
"Parameter Error")</f>
        <v>Review</v>
      </c>
    </row>
    <row r="156" spans="1:12" ht="63.75">
      <c r="A156" s="8" t="str">
        <f>TRIM(SUBSTITUTE(CLEAN(Raw_Data!A156),CHAR(160)," "))</f>
        <v>Gwagwalada Local Government Area</v>
      </c>
      <c r="B156" s="8" t="str">
        <f t="array" ref="B156">TRIM(SUBSTITUTE(CLEAN(Raw_Data!B156),CHAR(160)," "))</f>
        <v>Ibwa Ward</v>
      </c>
      <c r="C156" s="8" t="str">
        <f t="array" ref="C156">TRIM(SUBSTITUTE(CLEAN(Raw_Data!C156),CHAR(160)," "))</f>
        <v>Ibwa Pada Primary Health Clinic</v>
      </c>
      <c r="D156" s="7">
        <f>COUNTA(Raw_Data!D156:CI156)</f>
        <v>52</v>
      </c>
      <c r="E156" s="7">
        <f t="shared" si="8"/>
        <v>32</v>
      </c>
      <c r="F156" s="9">
        <f>INDEX(tblParameters[Value],MATCH("ExpectedValues",tblParameters[Parameter],0))</f>
        <v>84</v>
      </c>
      <c r="G156" s="7">
        <f t="shared" si="9"/>
        <v>0.61904761904761907</v>
      </c>
      <c r="H156" s="7" t="str">
        <f>LOOKUP(G156,tblIndicatorScore[Min],tblIndicatorScore[Rating])</f>
        <v>Poor</v>
      </c>
      <c r="I156" s="7">
        <f>LOOKUP(G156,tblIndicatorScore[Min],tblIndicatorScore[Score])</f>
        <v>0</v>
      </c>
      <c r="J156" s="7" t="str">
        <f t="shared" si="10"/>
        <v>No</v>
      </c>
      <c r="K156" s="7" t="str">
        <f t="shared" si="11"/>
        <v>No</v>
      </c>
      <c r="L156" s="7" t="str">
        <f>IFERROR(
IF(K156="Yes","Incomplete",
IF(OR(
J156="Yes",
G156&lt;INDEX(tblParameters[Value],MATCH("MinimumAcceptCompleteness",tblParameters[Parameter],0))
),
"Review",
"Accept")),
"Parameter Error")</f>
        <v>Review</v>
      </c>
    </row>
    <row r="157" spans="1:12" ht="51">
      <c r="A157" s="8" t="str">
        <f>TRIM(SUBSTITUTE(CLEAN(Raw_Data!A157),CHAR(160)," "))</f>
        <v>Gwagwalada Local Government Area</v>
      </c>
      <c r="B157" s="8" t="str">
        <f t="array" ref="B157">TRIM(SUBSTITUTE(CLEAN(Raw_Data!B157),CHAR(160)," "))</f>
        <v>Ibwa Ward</v>
      </c>
      <c r="C157" s="8" t="str">
        <f t="array" ref="C157">TRIM(SUBSTITUTE(CLEAN(Raw_Data!C157),CHAR(160)," "))</f>
        <v>Ibwa Primary Health Clinic</v>
      </c>
      <c r="D157" s="7">
        <f>COUNTA(Raw_Data!D157:CI157)</f>
        <v>65</v>
      </c>
      <c r="E157" s="7">
        <f t="shared" si="8"/>
        <v>19</v>
      </c>
      <c r="F157" s="9">
        <f>INDEX(tblParameters[Value],MATCH("ExpectedValues",tblParameters[Parameter],0))</f>
        <v>84</v>
      </c>
      <c r="G157" s="7">
        <f t="shared" si="9"/>
        <v>0.77380952380952384</v>
      </c>
      <c r="H157" s="7" t="str">
        <f>LOOKUP(G157,tblIndicatorScore[Min],tblIndicatorScore[Rating])</f>
        <v>Poor</v>
      </c>
      <c r="I157" s="7">
        <f>LOOKUP(G157,tblIndicatorScore[Min],tblIndicatorScore[Score])</f>
        <v>0</v>
      </c>
      <c r="J157" s="7" t="str">
        <f t="shared" si="10"/>
        <v>No</v>
      </c>
      <c r="K157" s="7" t="str">
        <f t="shared" si="11"/>
        <v>No</v>
      </c>
      <c r="L157" s="7" t="str">
        <f>IFERROR(
IF(K157="Yes","Incomplete",
IF(OR(
J157="Yes",
G157&lt;INDEX(tblParameters[Value],MATCH("MinimumAcceptCompleteness",tblParameters[Parameter],0))
),
"Review",
"Accept")),
"Parameter Error")</f>
        <v>Review</v>
      </c>
    </row>
    <row r="158" spans="1:12" ht="76.5">
      <c r="A158" s="8" t="str">
        <f>TRIM(SUBSTITUTE(CLEAN(Raw_Data!A158),CHAR(160)," "))</f>
        <v>Abuja Municipal Area Council</v>
      </c>
      <c r="B158" s="8" t="str">
        <f t="array" ref="B158">TRIM(SUBSTITUTE(CLEAN(Raw_Data!B158),CHAR(160)," "))</f>
        <v>Gui Ward</v>
      </c>
      <c r="C158" s="8" t="str">
        <f t="array" ref="C158">TRIM(SUBSTITUTE(CLEAN(Raw_Data!C158),CHAR(160)," "))</f>
        <v>Iddo Pada Primary Health Care Centre</v>
      </c>
      <c r="D158" s="7">
        <f>COUNTA(Raw_Data!D158:CI158)</f>
        <v>68</v>
      </c>
      <c r="E158" s="7">
        <f t="shared" si="8"/>
        <v>16</v>
      </c>
      <c r="F158" s="9">
        <f>INDEX(tblParameters[Value],MATCH("ExpectedValues",tblParameters[Parameter],0))</f>
        <v>84</v>
      </c>
      <c r="G158" s="7">
        <f t="shared" si="9"/>
        <v>0.80952380952380953</v>
      </c>
      <c r="H158" s="7" t="str">
        <f>LOOKUP(G158,tblIndicatorScore[Min],tblIndicatorScore[Rating])</f>
        <v>Fair</v>
      </c>
      <c r="I158" s="7">
        <f>LOOKUP(G158,tblIndicatorScore[Min],tblIndicatorScore[Score])</f>
        <v>1</v>
      </c>
      <c r="J158" s="7" t="str">
        <f t="shared" si="10"/>
        <v>No</v>
      </c>
      <c r="K158" s="7" t="str">
        <f t="shared" si="11"/>
        <v>No</v>
      </c>
      <c r="L158" s="7" t="str">
        <f>IFERROR(
IF(K158="Yes","Incomplete",
IF(OR(
J158="Yes",
G158&lt;INDEX(tblParameters[Value],MATCH("MinimumAcceptCompleteness",tblParameters[Parameter],0))
),
"Review",
"Accept")),
"Parameter Error")</f>
        <v>Review</v>
      </c>
    </row>
    <row r="159" spans="1:12" ht="76.5">
      <c r="A159" s="8" t="str">
        <f>TRIM(SUBSTITUTE(CLEAN(Raw_Data!A159),CHAR(160)," "))</f>
        <v>Abuja Municipal Area Council</v>
      </c>
      <c r="B159" s="8" t="str">
        <f t="array" ref="B159">TRIM(SUBSTITUTE(CLEAN(Raw_Data!B159),CHAR(160)," "))</f>
        <v>Jiwa Ward</v>
      </c>
      <c r="C159" s="8" t="str">
        <f t="array" ref="C159">TRIM(SUBSTITUTE(CLEAN(Raw_Data!C159),CHAR(160)," "))</f>
        <v>Idu-Karmo Primary Health Care Center</v>
      </c>
      <c r="D159" s="7">
        <f>COUNTA(Raw_Data!D159:CI159)</f>
        <v>59</v>
      </c>
      <c r="E159" s="7">
        <f t="shared" si="8"/>
        <v>25</v>
      </c>
      <c r="F159" s="9">
        <f>INDEX(tblParameters[Value],MATCH("ExpectedValues",tblParameters[Parameter],0))</f>
        <v>84</v>
      </c>
      <c r="G159" s="7">
        <f t="shared" si="9"/>
        <v>0.70238095238095233</v>
      </c>
      <c r="H159" s="7" t="str">
        <f>LOOKUP(G159,tblIndicatorScore[Min],tblIndicatorScore[Rating])</f>
        <v>Poor</v>
      </c>
      <c r="I159" s="7">
        <f>LOOKUP(G159,tblIndicatorScore[Min],tblIndicatorScore[Score])</f>
        <v>0</v>
      </c>
      <c r="J159" s="7" t="str">
        <f t="shared" si="10"/>
        <v>No</v>
      </c>
      <c r="K159" s="7" t="str">
        <f t="shared" si="11"/>
        <v>No</v>
      </c>
      <c r="L159" s="7" t="str">
        <f>IFERROR(
IF(K159="Yes","Incomplete",
IF(OR(
J159="Yes",
G159&lt;INDEX(tblParameters[Value],MATCH("MinimumAcceptCompleteness",tblParameters[Parameter],0))
),
"Review",
"Accept")),
"Parameter Error")</f>
        <v>Review</v>
      </c>
    </row>
    <row r="160" spans="1:12" ht="51">
      <c r="A160" s="8" t="str">
        <f>TRIM(SUBSTITUTE(CLEAN(Raw_Data!A160),CHAR(160)," "))</f>
        <v>Bwari Local Government Area</v>
      </c>
      <c r="B160" s="8" t="str">
        <f t="array" ref="B160">TRIM(SUBSTITUTE(CLEAN(Raw_Data!B160),CHAR(160)," "))</f>
        <v>Igu Ward</v>
      </c>
      <c r="C160" s="8" t="str">
        <f t="array" ref="C160">TRIM(SUBSTITUTE(CLEAN(Raw_Data!C160),CHAR(160)," "))</f>
        <v>Igu Primary Health Center</v>
      </c>
      <c r="D160" s="7">
        <f>COUNTA(Raw_Data!D160:CI160)</f>
        <v>63</v>
      </c>
      <c r="E160" s="7">
        <f t="shared" si="8"/>
        <v>21</v>
      </c>
      <c r="F160" s="9">
        <f>INDEX(tblParameters[Value],MATCH("ExpectedValues",tblParameters[Parameter],0))</f>
        <v>84</v>
      </c>
      <c r="G160" s="7">
        <f t="shared" si="9"/>
        <v>0.75</v>
      </c>
      <c r="H160" s="7" t="str">
        <f>LOOKUP(G160,tblIndicatorScore[Min],tblIndicatorScore[Rating])</f>
        <v>Poor</v>
      </c>
      <c r="I160" s="7">
        <f>LOOKUP(G160,tblIndicatorScore[Min],tblIndicatorScore[Score])</f>
        <v>0</v>
      </c>
      <c r="J160" s="7" t="str">
        <f t="shared" si="10"/>
        <v>No</v>
      </c>
      <c r="K160" s="7" t="str">
        <f t="shared" si="11"/>
        <v>No</v>
      </c>
      <c r="L160" s="7" t="str">
        <f>IFERROR(
IF(K160="Yes","Incomplete",
IF(OR(
J160="Yes",
G160&lt;INDEX(tblParameters[Value],MATCH("MinimumAcceptCompleteness",tblParameters[Parameter],0))
),
"Review",
"Accept")),
"Parameter Error")</f>
        <v>Review</v>
      </c>
    </row>
    <row r="161" spans="1:12" ht="51">
      <c r="A161" s="8" t="str">
        <f>TRIM(SUBSTITUTE(CLEAN(Raw_Data!A161),CHAR(160)," "))</f>
        <v>Kwali Local Government Area</v>
      </c>
      <c r="B161" s="8" t="str">
        <f t="array" ref="B161">TRIM(SUBSTITUTE(CLEAN(Raw_Data!B161),CHAR(160)," "))</f>
        <v>Yangoji Ward</v>
      </c>
      <c r="C161" s="8" t="str">
        <f t="array" ref="C161">TRIM(SUBSTITUTE(CLEAN(Raw_Data!C161),CHAR(160)," "))</f>
        <v>Ijah Sarki Primary Health Centre</v>
      </c>
      <c r="D161" s="7">
        <f>COUNTA(Raw_Data!D161:CI161)</f>
        <v>57</v>
      </c>
      <c r="E161" s="7">
        <f t="shared" si="8"/>
        <v>27</v>
      </c>
      <c r="F161" s="9">
        <f>INDEX(tblParameters[Value],MATCH("ExpectedValues",tblParameters[Parameter],0))</f>
        <v>84</v>
      </c>
      <c r="G161" s="7">
        <f t="shared" si="9"/>
        <v>0.6785714285714286</v>
      </c>
      <c r="H161" s="7" t="str">
        <f>LOOKUP(G161,tblIndicatorScore[Min],tblIndicatorScore[Rating])</f>
        <v>Poor</v>
      </c>
      <c r="I161" s="7">
        <f>LOOKUP(G161,tblIndicatorScore[Min],tblIndicatorScore[Score])</f>
        <v>0</v>
      </c>
      <c r="J161" s="7" t="str">
        <f t="shared" si="10"/>
        <v>No</v>
      </c>
      <c r="K161" s="7" t="str">
        <f t="shared" si="11"/>
        <v>No</v>
      </c>
      <c r="L161" s="7" t="str">
        <f>IFERROR(
IF(K161="Yes","Incomplete",
IF(OR(
J161="Yes",
G161&lt;INDEX(tblParameters[Value],MATCH("MinimumAcceptCompleteness",tblParameters[Parameter],0))
),
"Review",
"Accept")),
"Parameter Error")</f>
        <v>Review</v>
      </c>
    </row>
    <row r="162" spans="1:12" ht="51">
      <c r="A162" s="8" t="str">
        <f>TRIM(SUBSTITUTE(CLEAN(Raw_Data!A162),CHAR(160)," "))</f>
        <v>Kwali Local Government Area</v>
      </c>
      <c r="B162" s="8" t="str">
        <f t="array" ref="B162">TRIM(SUBSTITUTE(CLEAN(Raw_Data!B162),CHAR(160)," "))</f>
        <v>Ashara Ward</v>
      </c>
      <c r="C162" s="8" t="str">
        <f t="array" ref="C162">TRIM(SUBSTITUTE(CLEAN(Raw_Data!C162),CHAR(160)," "))</f>
        <v>Ike Health Post</v>
      </c>
      <c r="D162" s="7">
        <f>COUNTA(Raw_Data!D162:CI162)</f>
        <v>56</v>
      </c>
      <c r="E162" s="7">
        <f t="shared" si="8"/>
        <v>28</v>
      </c>
      <c r="F162" s="9">
        <f>INDEX(tblParameters[Value],MATCH("ExpectedValues",tblParameters[Parameter],0))</f>
        <v>84</v>
      </c>
      <c r="G162" s="7">
        <f t="shared" si="9"/>
        <v>0.66666666666666663</v>
      </c>
      <c r="H162" s="7" t="str">
        <f>LOOKUP(G162,tblIndicatorScore[Min],tblIndicatorScore[Rating])</f>
        <v>Poor</v>
      </c>
      <c r="I162" s="7">
        <f>LOOKUP(G162,tblIndicatorScore[Min],tblIndicatorScore[Score])</f>
        <v>0</v>
      </c>
      <c r="J162" s="7" t="str">
        <f t="shared" si="10"/>
        <v>No</v>
      </c>
      <c r="K162" s="7" t="str">
        <f t="shared" si="11"/>
        <v>No</v>
      </c>
      <c r="L162" s="7" t="str">
        <f>IFERROR(
IF(K162="Yes","Incomplete",
IF(OR(
J162="Yes",
G162&lt;INDEX(tblParameters[Value],MATCH("MinimumAcceptCompleteness",tblParameters[Parameter],0))
),
"Review",
"Accept")),
"Parameter Error")</f>
        <v>Review</v>
      </c>
    </row>
    <row r="163" spans="1:12" ht="51">
      <c r="A163" s="8" t="str">
        <f>TRIM(SUBSTITUTE(CLEAN(Raw_Data!A163),CHAR(160)," "))</f>
        <v>Gwagwalada Local Government Area</v>
      </c>
      <c r="B163" s="8" t="str">
        <f t="array" ref="B163">TRIM(SUBSTITUTE(CLEAN(Raw_Data!B163),CHAR(160)," "))</f>
        <v>Ikwa Ward</v>
      </c>
      <c r="C163" s="8" t="str">
        <f t="array" ref="C163">TRIM(SUBSTITUTE(CLEAN(Raw_Data!C163),CHAR(160)," "))</f>
        <v>Ikwa Primary Health Clinic</v>
      </c>
      <c r="D163" s="7">
        <f>COUNTA(Raw_Data!D163:CI163)</f>
        <v>64</v>
      </c>
      <c r="E163" s="7">
        <f t="shared" si="8"/>
        <v>20</v>
      </c>
      <c r="F163" s="9">
        <f>INDEX(tblParameters[Value],MATCH("ExpectedValues",tblParameters[Parameter],0))</f>
        <v>84</v>
      </c>
      <c r="G163" s="7">
        <f t="shared" si="9"/>
        <v>0.76190476190476186</v>
      </c>
      <c r="H163" s="7" t="str">
        <f>LOOKUP(G163,tblIndicatorScore[Min],tblIndicatorScore[Rating])</f>
        <v>Poor</v>
      </c>
      <c r="I163" s="7">
        <f>LOOKUP(G163,tblIndicatorScore[Min],tblIndicatorScore[Score])</f>
        <v>0</v>
      </c>
      <c r="J163" s="7" t="str">
        <f t="shared" si="10"/>
        <v>No</v>
      </c>
      <c r="K163" s="7" t="str">
        <f t="shared" si="11"/>
        <v>No</v>
      </c>
      <c r="L163" s="7" t="str">
        <f>IFERROR(
IF(K163="Yes","Incomplete",
IF(OR(
J163="Yes",
G163&lt;INDEX(tblParameters[Value],MATCH("MinimumAcceptCompleteness",tblParameters[Parameter],0))
),
"Review",
"Accept")),
"Parameter Error")</f>
        <v>Review</v>
      </c>
    </row>
    <row r="164" spans="1:12" ht="51">
      <c r="A164" s="8" t="str">
        <f>TRIM(SUBSTITUTE(CLEAN(Raw_Data!A164),CHAR(160)," "))</f>
        <v>Kuje Local Government Area</v>
      </c>
      <c r="B164" s="8" t="str">
        <f t="array" ref="B164">TRIM(SUBSTITUTE(CLEAN(Raw_Data!B164),CHAR(160)," "))</f>
        <v>Kuje Central Ward</v>
      </c>
      <c r="C164" s="8" t="str">
        <f t="array" ref="C164">TRIM(SUBSTITUTE(CLEAN(Raw_Data!C164),CHAR(160)," "))</f>
        <v>Ila Universal Hospital</v>
      </c>
      <c r="D164" s="7">
        <f>COUNTA(Raw_Data!D164:CI164)</f>
        <v>2</v>
      </c>
      <c r="E164" s="7">
        <f t="shared" si="8"/>
        <v>82</v>
      </c>
      <c r="F164" s="9">
        <f>INDEX(tblParameters[Value],MATCH("ExpectedValues",tblParameters[Parameter],0))</f>
        <v>84</v>
      </c>
      <c r="G164" s="7">
        <f t="shared" si="9"/>
        <v>2.3809523809523808E-2</v>
      </c>
      <c r="H164" s="7" t="str">
        <f>LOOKUP(G164,tblIndicatorScore[Min],tblIndicatorScore[Rating])</f>
        <v>Poor</v>
      </c>
      <c r="I164" s="7">
        <f>LOOKUP(G164,tblIndicatorScore[Min],tblIndicatorScore[Score])</f>
        <v>0</v>
      </c>
      <c r="J164" s="7" t="str">
        <f t="shared" si="10"/>
        <v>No</v>
      </c>
      <c r="K164" s="7" t="str">
        <f t="shared" si="11"/>
        <v>No</v>
      </c>
      <c r="L164" s="7" t="str">
        <f>IFERROR(
IF(K164="Yes","Incomplete",
IF(OR(
J164="Yes",
G164&lt;INDEX(tblParameters[Value],MATCH("MinimumAcceptCompleteness",tblParameters[Parameter],0))
),
"Review",
"Accept")),
"Parameter Error")</f>
        <v>Review</v>
      </c>
    </row>
    <row r="165" spans="1:12" ht="51">
      <c r="A165" s="8" t="str">
        <f>TRIM(SUBSTITUTE(CLEAN(Raw_Data!A165),CHAR(160)," "))</f>
        <v>Abuja Municipal Area Council</v>
      </c>
      <c r="B165" s="8" t="str">
        <f t="array" ref="B165">TRIM(SUBSTITUTE(CLEAN(Raw_Data!B165),CHAR(160)," "))</f>
        <v>Gwarimpa Ward</v>
      </c>
      <c r="C165" s="8" t="str">
        <f t="array" ref="C165">TRIM(SUBSTITUTE(CLEAN(Raw_Data!C165),CHAR(160)," "))</f>
        <v>Jabi Arewa Hospital</v>
      </c>
      <c r="D165" s="7">
        <f>COUNTA(Raw_Data!D165:CI165)</f>
        <v>47</v>
      </c>
      <c r="E165" s="7">
        <f t="shared" si="8"/>
        <v>37</v>
      </c>
      <c r="F165" s="9">
        <f>INDEX(tblParameters[Value],MATCH("ExpectedValues",tblParameters[Parameter],0))</f>
        <v>84</v>
      </c>
      <c r="G165" s="7">
        <f t="shared" si="9"/>
        <v>0.55952380952380953</v>
      </c>
      <c r="H165" s="7" t="str">
        <f>LOOKUP(G165,tblIndicatorScore[Min],tblIndicatorScore[Rating])</f>
        <v>Poor</v>
      </c>
      <c r="I165" s="7">
        <f>LOOKUP(G165,tblIndicatorScore[Min],tblIndicatorScore[Score])</f>
        <v>0</v>
      </c>
      <c r="J165" s="7" t="str">
        <f t="shared" si="10"/>
        <v>No</v>
      </c>
      <c r="K165" s="7" t="str">
        <f t="shared" si="11"/>
        <v>No</v>
      </c>
      <c r="L165" s="7" t="str">
        <f>IFERROR(
IF(K165="Yes","Incomplete",
IF(OR(
J165="Yes",
G165&lt;INDEX(tblParameters[Value],MATCH("MinimumAcceptCompleteness",tblParameters[Parameter],0))
),
"Review",
"Accept")),
"Parameter Error")</f>
        <v>Review</v>
      </c>
    </row>
    <row r="166" spans="1:12" ht="51">
      <c r="A166" s="8" t="str">
        <f>TRIM(SUBSTITUTE(CLEAN(Raw_Data!A166),CHAR(160)," "))</f>
        <v>Abuja Municipal Area Council</v>
      </c>
      <c r="B166" s="8" t="str">
        <f t="array" ref="B166">TRIM(SUBSTITUTE(CLEAN(Raw_Data!B166),CHAR(160)," "))</f>
        <v>Gwarimpa Ward</v>
      </c>
      <c r="C166" s="8" t="str">
        <f t="array" ref="C166">TRIM(SUBSTITUTE(CLEAN(Raw_Data!C166),CHAR(160)," "))</f>
        <v>Jabi Federal Medical Centre</v>
      </c>
      <c r="D166" s="7">
        <f>COUNTA(Raw_Data!D166:CI166)</f>
        <v>46</v>
      </c>
      <c r="E166" s="7">
        <f t="shared" si="8"/>
        <v>38</v>
      </c>
      <c r="F166" s="9">
        <f>INDEX(tblParameters[Value],MATCH("ExpectedValues",tblParameters[Parameter],0))</f>
        <v>84</v>
      </c>
      <c r="G166" s="7">
        <f t="shared" si="9"/>
        <v>0.54761904761904767</v>
      </c>
      <c r="H166" s="7" t="str">
        <f>LOOKUP(G166,tblIndicatorScore[Min],tblIndicatorScore[Rating])</f>
        <v>Poor</v>
      </c>
      <c r="I166" s="7">
        <f>LOOKUP(G166,tblIndicatorScore[Min],tblIndicatorScore[Score])</f>
        <v>0</v>
      </c>
      <c r="J166" s="7" t="str">
        <f t="shared" si="10"/>
        <v>No</v>
      </c>
      <c r="K166" s="7" t="str">
        <f t="shared" si="11"/>
        <v>No</v>
      </c>
      <c r="L166" s="7" t="str">
        <f>IFERROR(
IF(K166="Yes","Incomplete",
IF(OR(
J166="Yes",
G166&lt;INDEX(tblParameters[Value],MATCH("MinimumAcceptCompleteness",tblParameters[Parameter],0))
),
"Review",
"Accept")),
"Parameter Error")</f>
        <v>Review</v>
      </c>
    </row>
    <row r="167" spans="1:12" ht="51">
      <c r="A167" s="8" t="str">
        <f>TRIM(SUBSTITUTE(CLEAN(Raw_Data!A167),CHAR(160)," "))</f>
        <v>Abuja Municipal Area Council</v>
      </c>
      <c r="B167" s="8" t="str">
        <f t="array" ref="B167">TRIM(SUBSTITUTE(CLEAN(Raw_Data!B167),CHAR(160)," "))</f>
        <v>Gwarimpa Ward</v>
      </c>
      <c r="C167" s="8" t="str">
        <f t="array" ref="C167">TRIM(SUBSTITUTE(CLEAN(Raw_Data!C167),CHAR(160)," "))</f>
        <v>Jahi Primary Health Clinic</v>
      </c>
      <c r="D167" s="7">
        <f>COUNTA(Raw_Data!D167:CI167)</f>
        <v>52</v>
      </c>
      <c r="E167" s="7">
        <f t="shared" si="8"/>
        <v>32</v>
      </c>
      <c r="F167" s="9">
        <f>INDEX(tblParameters[Value],MATCH("ExpectedValues",tblParameters[Parameter],0))</f>
        <v>84</v>
      </c>
      <c r="G167" s="7">
        <f t="shared" si="9"/>
        <v>0.61904761904761907</v>
      </c>
      <c r="H167" s="7" t="str">
        <f>LOOKUP(G167,tblIndicatorScore[Min],tblIndicatorScore[Rating])</f>
        <v>Poor</v>
      </c>
      <c r="I167" s="7">
        <f>LOOKUP(G167,tblIndicatorScore[Min],tblIndicatorScore[Score])</f>
        <v>0</v>
      </c>
      <c r="J167" s="7" t="str">
        <f t="shared" si="10"/>
        <v>No</v>
      </c>
      <c r="K167" s="7" t="str">
        <f t="shared" si="11"/>
        <v>No</v>
      </c>
      <c r="L167" s="7" t="str">
        <f>IFERROR(
IF(K167="Yes","Incomplete",
IF(OR(
J167="Yes",
G167&lt;INDEX(tblParameters[Value],MATCH("MinimumAcceptCompleteness",tblParameters[Parameter],0))
),
"Review",
"Accept")),
"Parameter Error")</f>
        <v>Review</v>
      </c>
    </row>
    <row r="168" spans="1:12" ht="89.25">
      <c r="A168" s="8" t="str">
        <f>TRIM(SUBSTITUTE(CLEAN(Raw_Data!A168),CHAR(160)," "))</f>
        <v>Gwagwalada Local Government Area</v>
      </c>
      <c r="B168" s="8" t="str">
        <f t="array" ref="B168">TRIM(SUBSTITUTE(CLEAN(Raw_Data!B168),CHAR(160)," "))</f>
        <v>Quarters Ward</v>
      </c>
      <c r="C168" s="8" t="str">
        <f t="array" ref="C168">TRIM(SUBSTITUTE(CLEAN(Raw_Data!C168),CHAR(160)," "))</f>
        <v>Jehovah Adonai Eagle Hospital Ltd, Phase 1, Quarters</v>
      </c>
      <c r="D168" s="7">
        <f>COUNTA(Raw_Data!D168:CI168)</f>
        <v>27</v>
      </c>
      <c r="E168" s="7">
        <f t="shared" si="8"/>
        <v>57</v>
      </c>
      <c r="F168" s="9">
        <f>INDEX(tblParameters[Value],MATCH("ExpectedValues",tblParameters[Parameter],0))</f>
        <v>84</v>
      </c>
      <c r="G168" s="7">
        <f t="shared" si="9"/>
        <v>0.32142857142857145</v>
      </c>
      <c r="H168" s="7" t="str">
        <f>LOOKUP(G168,tblIndicatorScore[Min],tblIndicatorScore[Rating])</f>
        <v>Poor</v>
      </c>
      <c r="I168" s="7">
        <f>LOOKUP(G168,tblIndicatorScore[Min],tblIndicatorScore[Score])</f>
        <v>0</v>
      </c>
      <c r="J168" s="7" t="str">
        <f t="shared" si="10"/>
        <v>No</v>
      </c>
      <c r="K168" s="7" t="str">
        <f t="shared" si="11"/>
        <v>No</v>
      </c>
      <c r="L168" s="7" t="str">
        <f>IFERROR(
IF(K168="Yes","Incomplete",
IF(OR(
J168="Yes",
G168&lt;INDEX(tblParameters[Value],MATCH("MinimumAcceptCompleteness",tblParameters[Parameter],0))
),
"Review",
"Accept")),
"Parameter Error")</f>
        <v>Review</v>
      </c>
    </row>
    <row r="169" spans="1:12" ht="51">
      <c r="A169" s="8" t="str">
        <f>TRIM(SUBSTITUTE(CLEAN(Raw_Data!A169),CHAR(160)," "))</f>
        <v>Gwagwalada Local Government Area</v>
      </c>
      <c r="B169" s="8" t="str">
        <f t="array" ref="B169">TRIM(SUBSTITUTE(CLEAN(Raw_Data!B169),CHAR(160)," "))</f>
        <v>Kutunku Ward</v>
      </c>
      <c r="C169" s="8" t="str">
        <f t="array" ref="C169">TRIM(SUBSTITUTE(CLEAN(Raw_Data!C169),CHAR(160)," "))</f>
        <v>Jeraba Hospital</v>
      </c>
      <c r="D169" s="7">
        <f>COUNTA(Raw_Data!D169:CI169)</f>
        <v>32</v>
      </c>
      <c r="E169" s="7">
        <f t="shared" si="8"/>
        <v>52</v>
      </c>
      <c r="F169" s="9">
        <f>INDEX(tblParameters[Value],MATCH("ExpectedValues",tblParameters[Parameter],0))</f>
        <v>84</v>
      </c>
      <c r="G169" s="7">
        <f t="shared" si="9"/>
        <v>0.38095238095238093</v>
      </c>
      <c r="H169" s="7" t="str">
        <f>LOOKUP(G169,tblIndicatorScore[Min],tblIndicatorScore[Rating])</f>
        <v>Poor</v>
      </c>
      <c r="I169" s="7">
        <f>LOOKUP(G169,tblIndicatorScore[Min],tblIndicatorScore[Score])</f>
        <v>0</v>
      </c>
      <c r="J169" s="7" t="str">
        <f t="shared" si="10"/>
        <v>No</v>
      </c>
      <c r="K169" s="7" t="str">
        <f t="shared" si="11"/>
        <v>No</v>
      </c>
      <c r="L169" s="7" t="str">
        <f>IFERROR(
IF(K169="Yes","Incomplete",
IF(OR(
J169="Yes",
G169&lt;INDEX(tblParameters[Value],MATCH("MinimumAcceptCompleteness",tblParameters[Parameter],0))
),
"Review",
"Accept")),
"Parameter Error")</f>
        <v>Review</v>
      </c>
    </row>
    <row r="170" spans="1:12" ht="51">
      <c r="A170" s="8" t="str">
        <f>TRIM(SUBSTITUTE(CLEAN(Raw_Data!A170),CHAR(160)," "))</f>
        <v>Bwari Local Government Area</v>
      </c>
      <c r="B170" s="8" t="str">
        <f t="array" ref="B170">TRIM(SUBSTITUTE(CLEAN(Raw_Data!B170),CHAR(160)," "))</f>
        <v>Kubwa Ward</v>
      </c>
      <c r="C170" s="8" t="str">
        <f t="array" ref="C170">TRIM(SUBSTITUTE(CLEAN(Raw_Data!C170),CHAR(160)," "))</f>
        <v>Jethrone Hospital</v>
      </c>
      <c r="D170" s="7">
        <f>COUNTA(Raw_Data!D170:CI170)</f>
        <v>5</v>
      </c>
      <c r="E170" s="7">
        <f t="shared" si="8"/>
        <v>79</v>
      </c>
      <c r="F170" s="9">
        <f>INDEX(tblParameters[Value],MATCH("ExpectedValues",tblParameters[Parameter],0))</f>
        <v>84</v>
      </c>
      <c r="G170" s="7">
        <f t="shared" si="9"/>
        <v>5.9523809523809521E-2</v>
      </c>
      <c r="H170" s="7" t="str">
        <f>LOOKUP(G170,tblIndicatorScore[Min],tblIndicatorScore[Rating])</f>
        <v>Poor</v>
      </c>
      <c r="I170" s="7">
        <f>LOOKUP(G170,tblIndicatorScore[Min],tblIndicatorScore[Score])</f>
        <v>0</v>
      </c>
      <c r="J170" s="7" t="str">
        <f t="shared" si="10"/>
        <v>No</v>
      </c>
      <c r="K170" s="7" t="str">
        <f t="shared" si="11"/>
        <v>No</v>
      </c>
      <c r="L170" s="7" t="str">
        <f>IFERROR(
IF(K170="Yes","Incomplete",
IF(OR(
J170="Yes",
G170&lt;INDEX(tblParameters[Value],MATCH("MinimumAcceptCompleteness",tblParameters[Parameter],0))
),
"Review",
"Accept")),
"Parameter Error")</f>
        <v>Review</v>
      </c>
    </row>
    <row r="171" spans="1:12" ht="51">
      <c r="A171" s="8" t="str">
        <f>TRIM(SUBSTITUTE(CLEAN(Raw_Data!A171),CHAR(160)," "))</f>
        <v>Bwari Local Government Area</v>
      </c>
      <c r="B171" s="8" t="str">
        <f t="array" ref="B171">TRIM(SUBSTITUTE(CLEAN(Raw_Data!B171),CHAR(160)," "))</f>
        <v>Ushafa Ward</v>
      </c>
      <c r="C171" s="8" t="str">
        <f t="array" ref="C171">TRIM(SUBSTITUTE(CLEAN(Raw_Data!C171),CHAR(160)," "))</f>
        <v>Jigo Primary Health Clinic</v>
      </c>
      <c r="D171" s="7">
        <f>COUNTA(Raw_Data!D171:CI171)</f>
        <v>57</v>
      </c>
      <c r="E171" s="7">
        <f t="shared" si="8"/>
        <v>27</v>
      </c>
      <c r="F171" s="9">
        <f>INDEX(tblParameters[Value],MATCH("ExpectedValues",tblParameters[Parameter],0))</f>
        <v>84</v>
      </c>
      <c r="G171" s="7">
        <f t="shared" si="9"/>
        <v>0.6785714285714286</v>
      </c>
      <c r="H171" s="7" t="str">
        <f>LOOKUP(G171,tblIndicatorScore[Min],tblIndicatorScore[Rating])</f>
        <v>Poor</v>
      </c>
      <c r="I171" s="7">
        <f>LOOKUP(G171,tblIndicatorScore[Min],tblIndicatorScore[Score])</f>
        <v>0</v>
      </c>
      <c r="J171" s="7" t="str">
        <f t="shared" si="10"/>
        <v>No</v>
      </c>
      <c r="K171" s="7" t="str">
        <f t="shared" si="11"/>
        <v>No</v>
      </c>
      <c r="L171" s="7" t="str">
        <f>IFERROR(
IF(K171="Yes","Incomplete",
IF(OR(
J171="Yes",
G171&lt;INDEX(tblParameters[Value],MATCH("MinimumAcceptCompleteness",tblParameters[Parameter],0))
),
"Review",
"Accept")),
"Parameter Error")</f>
        <v>Review</v>
      </c>
    </row>
    <row r="172" spans="1:12" ht="51">
      <c r="A172" s="8" t="str">
        <f>TRIM(SUBSTITUTE(CLEAN(Raw_Data!A172),CHAR(160)," "))</f>
        <v>Bwari Local Government Area</v>
      </c>
      <c r="B172" s="8" t="str">
        <f t="array" ref="B172">TRIM(SUBSTITUTE(CLEAN(Raw_Data!B172),CHAR(160)," "))</f>
        <v>Dutse Ward</v>
      </c>
      <c r="C172" s="8" t="str">
        <f t="array" ref="C172">TRIM(SUBSTITUTE(CLEAN(Raw_Data!C172),CHAR(160)," "))</f>
        <v>Jikoko Primary Health Clinic</v>
      </c>
      <c r="D172" s="7">
        <f>COUNTA(Raw_Data!D172:CI172)</f>
        <v>48</v>
      </c>
      <c r="E172" s="7">
        <f t="shared" si="8"/>
        <v>36</v>
      </c>
      <c r="F172" s="9">
        <f>INDEX(tblParameters[Value],MATCH("ExpectedValues",tblParameters[Parameter],0))</f>
        <v>84</v>
      </c>
      <c r="G172" s="7">
        <f t="shared" si="9"/>
        <v>0.5714285714285714</v>
      </c>
      <c r="H172" s="7" t="str">
        <f>LOOKUP(G172,tblIndicatorScore[Min],tblIndicatorScore[Rating])</f>
        <v>Poor</v>
      </c>
      <c r="I172" s="7">
        <f>LOOKUP(G172,tblIndicatorScore[Min],tblIndicatorScore[Score])</f>
        <v>0</v>
      </c>
      <c r="J172" s="7" t="str">
        <f t="shared" si="10"/>
        <v>No</v>
      </c>
      <c r="K172" s="7" t="str">
        <f t="shared" si="11"/>
        <v>No</v>
      </c>
      <c r="L172" s="7" t="str">
        <f>IFERROR(
IF(K172="Yes","Incomplete",
IF(OR(
J172="Yes",
G172&lt;INDEX(tblParameters[Value],MATCH("MinimumAcceptCompleteness",tblParameters[Parameter],0))
),
"Review",
"Accept")),
"Parameter Error")</f>
        <v>Review</v>
      </c>
    </row>
    <row r="173" spans="1:12" ht="51">
      <c r="A173" s="8" t="str">
        <f>TRIM(SUBSTITUTE(CLEAN(Raw_Data!A173),CHAR(160)," "))</f>
        <v>Abuja Municipal Area Council</v>
      </c>
      <c r="B173" s="8" t="str">
        <f t="array" ref="B173">TRIM(SUBSTITUTE(CLEAN(Raw_Data!B173),CHAR(160)," "))</f>
        <v>Karu Ward</v>
      </c>
      <c r="C173" s="8" t="str">
        <f t="array" ref="C173">TRIM(SUBSTITUTE(CLEAN(Raw_Data!C173),CHAR(160)," "))</f>
        <v>Jikoyi Medical Center</v>
      </c>
      <c r="D173" s="7">
        <f>COUNTA(Raw_Data!D173:CI173)</f>
        <v>52</v>
      </c>
      <c r="E173" s="7">
        <f t="shared" si="8"/>
        <v>32</v>
      </c>
      <c r="F173" s="9">
        <f>INDEX(tblParameters[Value],MATCH("ExpectedValues",tblParameters[Parameter],0))</f>
        <v>84</v>
      </c>
      <c r="G173" s="7">
        <f t="shared" si="9"/>
        <v>0.61904761904761907</v>
      </c>
      <c r="H173" s="7" t="str">
        <f>LOOKUP(G173,tblIndicatorScore[Min],tblIndicatorScore[Rating])</f>
        <v>Poor</v>
      </c>
      <c r="I173" s="7">
        <f>LOOKUP(G173,tblIndicatorScore[Min],tblIndicatorScore[Score])</f>
        <v>0</v>
      </c>
      <c r="J173" s="7" t="str">
        <f t="shared" si="10"/>
        <v>No</v>
      </c>
      <c r="K173" s="7" t="str">
        <f t="shared" si="11"/>
        <v>No</v>
      </c>
      <c r="L173" s="7" t="str">
        <f>IFERROR(
IF(K173="Yes","Incomplete",
IF(OR(
J173="Yes",
G173&lt;INDEX(tblParameters[Value],MATCH("MinimumAcceptCompleteness",tblParameters[Parameter],0))
),
"Review",
"Accept")),
"Parameter Error")</f>
        <v>Review</v>
      </c>
    </row>
    <row r="174" spans="1:12" ht="51">
      <c r="A174" s="8" t="str">
        <f>TRIM(SUBSTITUTE(CLEAN(Raw_Data!A174),CHAR(160)," "))</f>
        <v>Abuja Municipal Area Council</v>
      </c>
      <c r="B174" s="8" t="str">
        <f t="array" ref="B174">TRIM(SUBSTITUTE(CLEAN(Raw_Data!B174),CHAR(160)," "))</f>
        <v>Karu Ward</v>
      </c>
      <c r="C174" s="8" t="str">
        <f t="array" ref="C174">TRIM(SUBSTITUTE(CLEAN(Raw_Data!C174),CHAR(160)," "))</f>
        <v>Jikwoyi Primary Health Clinic</v>
      </c>
      <c r="D174" s="7">
        <f>COUNTA(Raw_Data!D174:CI174)</f>
        <v>75</v>
      </c>
      <c r="E174" s="7">
        <f t="shared" si="8"/>
        <v>9</v>
      </c>
      <c r="F174" s="9">
        <f>INDEX(tblParameters[Value],MATCH("ExpectedValues",tblParameters[Parameter],0))</f>
        <v>84</v>
      </c>
      <c r="G174" s="7">
        <f t="shared" si="9"/>
        <v>0.8928571428571429</v>
      </c>
      <c r="H174" s="7" t="str">
        <f>LOOKUP(G174,tblIndicatorScore[Min],tblIndicatorScore[Rating])</f>
        <v>Fair</v>
      </c>
      <c r="I174" s="7">
        <f>LOOKUP(G174,tblIndicatorScore[Min],tblIndicatorScore[Score])</f>
        <v>1</v>
      </c>
      <c r="J174" s="7" t="str">
        <f t="shared" si="10"/>
        <v>No</v>
      </c>
      <c r="K174" s="7" t="str">
        <f t="shared" si="11"/>
        <v>No</v>
      </c>
      <c r="L174" s="7" t="str">
        <f>IFERROR(
IF(K174="Yes","Incomplete",
IF(OR(
J174="Yes",
G174&lt;INDEX(tblParameters[Value],MATCH("MinimumAcceptCompleteness",tblParameters[Parameter],0))
),
"Review",
"Accept")),
"Parameter Error")</f>
        <v>Review</v>
      </c>
    </row>
    <row r="175" spans="1:12" ht="63.75">
      <c r="A175" s="8" t="str">
        <f>TRIM(SUBSTITUTE(CLEAN(Raw_Data!A175),CHAR(160)," "))</f>
        <v>Abuja Municipal Area Council</v>
      </c>
      <c r="B175" s="8" t="str">
        <f t="array" ref="B175">TRIM(SUBSTITUTE(CLEAN(Raw_Data!B175),CHAR(160)," "))</f>
        <v>Jiwa Ward</v>
      </c>
      <c r="C175" s="8" t="str">
        <f t="array" ref="C175">TRIM(SUBSTITUTE(CLEAN(Raw_Data!C175),CHAR(160)," "))</f>
        <v>Jiwa Primary Health Care Center</v>
      </c>
      <c r="D175" s="7">
        <f>COUNTA(Raw_Data!D175:CI175)</f>
        <v>64</v>
      </c>
      <c r="E175" s="7">
        <f t="shared" si="8"/>
        <v>20</v>
      </c>
      <c r="F175" s="9">
        <f>INDEX(tblParameters[Value],MATCH("ExpectedValues",tblParameters[Parameter],0))</f>
        <v>84</v>
      </c>
      <c r="G175" s="7">
        <f t="shared" si="9"/>
        <v>0.76190476190476186</v>
      </c>
      <c r="H175" s="7" t="str">
        <f>LOOKUP(G175,tblIndicatorScore[Min],tblIndicatorScore[Rating])</f>
        <v>Poor</v>
      </c>
      <c r="I175" s="7">
        <f>LOOKUP(G175,tblIndicatorScore[Min],tblIndicatorScore[Score])</f>
        <v>0</v>
      </c>
      <c r="J175" s="7" t="str">
        <f t="shared" si="10"/>
        <v>No</v>
      </c>
      <c r="K175" s="7" t="str">
        <f t="shared" si="11"/>
        <v>No</v>
      </c>
      <c r="L175" s="7" t="str">
        <f>IFERROR(
IF(K175="Yes","Incomplete",
IF(OR(
J175="Yes",
G175&lt;INDEX(tblParameters[Value],MATCH("MinimumAcceptCompleteness",tblParameters[Parameter],0))
),
"Review",
"Accept")),
"Parameter Error")</f>
        <v>Review</v>
      </c>
    </row>
    <row r="176" spans="1:12" ht="51">
      <c r="A176" s="8" t="str">
        <f>TRIM(SUBSTITUTE(CLEAN(Raw_Data!A176),CHAR(160)," "))</f>
        <v>Gwagwalada Local Government Area</v>
      </c>
      <c r="B176" s="8" t="str">
        <f t="array" ref="B176">TRIM(SUBSTITUTE(CLEAN(Raw_Data!B176),CHAR(160)," "))</f>
        <v>Gwako Ward</v>
      </c>
      <c r="C176" s="8" t="str">
        <f t="array" ref="C176">TRIM(SUBSTITUTE(CLEAN(Raw_Data!C176),CHAR(160)," "))</f>
        <v>Joefag Alheri Clinic and Maternity</v>
      </c>
      <c r="D176" s="7">
        <f>COUNTA(Raw_Data!D176:CI176)</f>
        <v>48</v>
      </c>
      <c r="E176" s="7">
        <f t="shared" si="8"/>
        <v>36</v>
      </c>
      <c r="F176" s="9">
        <f>INDEX(tblParameters[Value],MATCH("ExpectedValues",tblParameters[Parameter],0))</f>
        <v>84</v>
      </c>
      <c r="G176" s="7">
        <f t="shared" si="9"/>
        <v>0.5714285714285714</v>
      </c>
      <c r="H176" s="7" t="str">
        <f>LOOKUP(G176,tblIndicatorScore[Min],tblIndicatorScore[Rating])</f>
        <v>Poor</v>
      </c>
      <c r="I176" s="7">
        <f>LOOKUP(G176,tblIndicatorScore[Min],tblIndicatorScore[Score])</f>
        <v>0</v>
      </c>
      <c r="J176" s="7" t="str">
        <f t="shared" si="10"/>
        <v>No</v>
      </c>
      <c r="K176" s="7" t="str">
        <f t="shared" si="11"/>
        <v>No</v>
      </c>
      <c r="L176" s="7" t="str">
        <f>IFERROR(
IF(K176="Yes","Incomplete",
IF(OR(
J176="Yes",
G176&lt;INDEX(tblParameters[Value],MATCH("MinimumAcceptCompleteness",tblParameters[Parameter],0))
),
"Review",
"Accept")),
"Parameter Error")</f>
        <v>Review</v>
      </c>
    </row>
    <row r="177" spans="1:12" ht="63.75">
      <c r="A177" s="8" t="str">
        <f>TRIM(SUBSTITUTE(CLEAN(Raw_Data!A177),CHAR(160)," "))</f>
        <v>Kuje Local Government Area</v>
      </c>
      <c r="B177" s="8" t="str">
        <f t="array" ref="B177">TRIM(SUBSTITUTE(CLEAN(Raw_Data!B177),CHAR(160)," "))</f>
        <v>Kabi Ward</v>
      </c>
      <c r="C177" s="8" t="str">
        <f t="array" ref="C177">TRIM(SUBSTITUTE(CLEAN(Raw_Data!C177),CHAR(160)," "))</f>
        <v>Kabin Kassa Primary Health Centre</v>
      </c>
      <c r="D177" s="7">
        <f>COUNTA(Raw_Data!D177:CI177)</f>
        <v>49</v>
      </c>
      <c r="E177" s="7">
        <f t="shared" si="8"/>
        <v>35</v>
      </c>
      <c r="F177" s="9">
        <f>INDEX(tblParameters[Value],MATCH("ExpectedValues",tblParameters[Parameter],0))</f>
        <v>84</v>
      </c>
      <c r="G177" s="7">
        <f t="shared" si="9"/>
        <v>0.58333333333333337</v>
      </c>
      <c r="H177" s="7" t="str">
        <f>LOOKUP(G177,tblIndicatorScore[Min],tblIndicatorScore[Rating])</f>
        <v>Poor</v>
      </c>
      <c r="I177" s="7">
        <f>LOOKUP(G177,tblIndicatorScore[Min],tblIndicatorScore[Score])</f>
        <v>0</v>
      </c>
      <c r="J177" s="7" t="str">
        <f t="shared" si="10"/>
        <v>No</v>
      </c>
      <c r="K177" s="7" t="str">
        <f t="shared" si="11"/>
        <v>No</v>
      </c>
      <c r="L177" s="7" t="str">
        <f>IFERROR(
IF(K177="Yes","Incomplete",
IF(OR(
J177="Yes",
G177&lt;INDEX(tblParameters[Value],MATCH("MinimumAcceptCompleteness",tblParameters[Parameter],0))
),
"Review",
"Accept")),
"Parameter Error")</f>
        <v>Review</v>
      </c>
    </row>
    <row r="178" spans="1:12" ht="63.75">
      <c r="A178" s="8" t="str">
        <f>TRIM(SUBSTITUTE(CLEAN(Raw_Data!A178),CHAR(160)," "))</f>
        <v>Kuje Local Government Area</v>
      </c>
      <c r="B178" s="8" t="str">
        <f t="array" ref="B178">TRIM(SUBSTITUTE(CLEAN(Raw_Data!B178),CHAR(160)," "))</f>
        <v>Kabi Ward</v>
      </c>
      <c r="C178" s="8" t="str">
        <f t="array" ref="C178">TRIM(SUBSTITUTE(CLEAN(Raw_Data!C178),CHAR(160)," "))</f>
        <v>Kabin Mangoro Primary Health Centre</v>
      </c>
      <c r="D178" s="7">
        <f>COUNTA(Raw_Data!D178:CI178)</f>
        <v>33</v>
      </c>
      <c r="E178" s="7">
        <f t="shared" si="8"/>
        <v>51</v>
      </c>
      <c r="F178" s="9">
        <f>INDEX(tblParameters[Value],MATCH("ExpectedValues",tblParameters[Parameter],0))</f>
        <v>84</v>
      </c>
      <c r="G178" s="7">
        <f t="shared" si="9"/>
        <v>0.39285714285714285</v>
      </c>
      <c r="H178" s="7" t="str">
        <f>LOOKUP(G178,tblIndicatorScore[Min],tblIndicatorScore[Rating])</f>
        <v>Poor</v>
      </c>
      <c r="I178" s="7">
        <f>LOOKUP(G178,tblIndicatorScore[Min],tblIndicatorScore[Score])</f>
        <v>0</v>
      </c>
      <c r="J178" s="7" t="str">
        <f t="shared" si="10"/>
        <v>No</v>
      </c>
      <c r="K178" s="7" t="str">
        <f t="shared" si="11"/>
        <v>No</v>
      </c>
      <c r="L178" s="7" t="str">
        <f>IFERROR(
IF(K178="Yes","Incomplete",
IF(OR(
J178="Yes",
G178&lt;INDEX(tblParameters[Value],MATCH("MinimumAcceptCompleteness",tblParameters[Parameter],0))
),
"Review",
"Accept")),
"Parameter Error")</f>
        <v>Review</v>
      </c>
    </row>
    <row r="179" spans="1:12" ht="63.75">
      <c r="A179" s="8" t="str">
        <f>TRIM(SUBSTITUTE(CLEAN(Raw_Data!A179),CHAR(160)," "))</f>
        <v>Abuja Municipal Area Council</v>
      </c>
      <c r="B179" s="8" t="str">
        <f t="array" ref="B179">TRIM(SUBSTITUTE(CLEAN(Raw_Data!B179),CHAR(160)," "))</f>
        <v>Kabusa Ward</v>
      </c>
      <c r="C179" s="8" t="str">
        <f t="array" ref="C179">TRIM(SUBSTITUTE(CLEAN(Raw_Data!C179),CHAR(160)," "))</f>
        <v>Kabusa Primary Health Care Center</v>
      </c>
      <c r="D179" s="7">
        <f>COUNTA(Raw_Data!D179:CI179)</f>
        <v>58</v>
      </c>
      <c r="E179" s="7">
        <f t="shared" si="8"/>
        <v>26</v>
      </c>
      <c r="F179" s="9">
        <f>INDEX(tblParameters[Value],MATCH("ExpectedValues",tblParameters[Parameter],0))</f>
        <v>84</v>
      </c>
      <c r="G179" s="7">
        <f t="shared" si="9"/>
        <v>0.69047619047619047</v>
      </c>
      <c r="H179" s="7" t="str">
        <f>LOOKUP(G179,tblIndicatorScore[Min],tblIndicatorScore[Rating])</f>
        <v>Poor</v>
      </c>
      <c r="I179" s="7">
        <f>LOOKUP(G179,tblIndicatorScore[Min],tblIndicatorScore[Score])</f>
        <v>0</v>
      </c>
      <c r="J179" s="7" t="str">
        <f t="shared" si="10"/>
        <v>No</v>
      </c>
      <c r="K179" s="7" t="str">
        <f t="shared" si="11"/>
        <v>No</v>
      </c>
      <c r="L179" s="7" t="str">
        <f>IFERROR(
IF(K179="Yes","Incomplete",
IF(OR(
J179="Yes",
G179&lt;INDEX(tblParameters[Value],MATCH("MinimumAcceptCompleteness",tblParameters[Parameter],0))
),
"Review",
"Accept")),
"Parameter Error")</f>
        <v>Review</v>
      </c>
    </row>
    <row r="180" spans="1:12" ht="63.75">
      <c r="A180" s="8" t="str">
        <f>TRIM(SUBSTITUTE(CLEAN(Raw_Data!A180),CHAR(160)," "))</f>
        <v>Abuja Municipal Area Council</v>
      </c>
      <c r="B180" s="8" t="str">
        <f t="array" ref="B180">TRIM(SUBSTITUTE(CLEAN(Raw_Data!B180),CHAR(160)," "))</f>
        <v>Gwagwa Ward</v>
      </c>
      <c r="C180" s="8" t="str">
        <f t="array" ref="C180">TRIM(SUBSTITUTE(CLEAN(Raw_Data!C180),CHAR(160)," "))</f>
        <v>Kagini Primary Health Care Centre</v>
      </c>
      <c r="D180" s="7">
        <f>COUNTA(Raw_Data!D180:CI180)</f>
        <v>70</v>
      </c>
      <c r="E180" s="7">
        <f t="shared" si="8"/>
        <v>14</v>
      </c>
      <c r="F180" s="9">
        <f>INDEX(tblParameters[Value],MATCH("ExpectedValues",tblParameters[Parameter],0))</f>
        <v>84</v>
      </c>
      <c r="G180" s="7">
        <f t="shared" si="9"/>
        <v>0.83333333333333337</v>
      </c>
      <c r="H180" s="7" t="str">
        <f>LOOKUP(G180,tblIndicatorScore[Min],tblIndicatorScore[Rating])</f>
        <v>Fair</v>
      </c>
      <c r="I180" s="7">
        <f>LOOKUP(G180,tblIndicatorScore[Min],tblIndicatorScore[Score])</f>
        <v>1</v>
      </c>
      <c r="J180" s="7" t="str">
        <f t="shared" si="10"/>
        <v>No</v>
      </c>
      <c r="K180" s="7" t="str">
        <f t="shared" si="11"/>
        <v>No</v>
      </c>
      <c r="L180" s="7" t="str">
        <f>IFERROR(
IF(K180="Yes","Incomplete",
IF(OR(
J180="Yes",
G180&lt;INDEX(tblParameters[Value],MATCH("MinimumAcceptCompleteness",tblParameters[Parameter],0))
),
"Review",
"Accept")),
"Parameter Error")</f>
        <v>Review</v>
      </c>
    </row>
    <row r="181" spans="1:12" ht="63.75">
      <c r="A181" s="8" t="str">
        <f>TRIM(SUBSTITUTE(CLEAN(Raw_Data!A181),CHAR(160)," "))</f>
        <v>Kuje Local Government Area</v>
      </c>
      <c r="B181" s="8" t="str">
        <f t="array" ref="B181">TRIM(SUBSTITUTE(CLEAN(Raw_Data!B181),CHAR(160)," "))</f>
        <v>Gaube Ward</v>
      </c>
      <c r="C181" s="8" t="str">
        <f t="array" ref="C181">TRIM(SUBSTITUTE(CLEAN(Raw_Data!C181),CHAR(160)," "))</f>
        <v>Kahodahannu Primary Health Centre</v>
      </c>
      <c r="D181" s="7">
        <f>COUNTA(Raw_Data!D181:CI181)</f>
        <v>16</v>
      </c>
      <c r="E181" s="7">
        <f t="shared" si="8"/>
        <v>68</v>
      </c>
      <c r="F181" s="9">
        <f>INDEX(tblParameters[Value],MATCH("ExpectedValues",tblParameters[Parameter],0))</f>
        <v>84</v>
      </c>
      <c r="G181" s="7">
        <f t="shared" si="9"/>
        <v>0.19047619047619047</v>
      </c>
      <c r="H181" s="7" t="str">
        <f>LOOKUP(G181,tblIndicatorScore[Min],tblIndicatorScore[Rating])</f>
        <v>Poor</v>
      </c>
      <c r="I181" s="7">
        <f>LOOKUP(G181,tblIndicatorScore[Min],tblIndicatorScore[Score])</f>
        <v>0</v>
      </c>
      <c r="J181" s="7" t="str">
        <f t="shared" si="10"/>
        <v>No</v>
      </c>
      <c r="K181" s="7" t="str">
        <f t="shared" si="11"/>
        <v>No</v>
      </c>
      <c r="L181" s="7" t="str">
        <f>IFERROR(
IF(K181="Yes","Incomplete",
IF(OR(
J181="Yes",
G181&lt;INDEX(tblParameters[Value],MATCH("MinimumAcceptCompleteness",tblParameters[Parameter],0))
),
"Review",
"Accept")),
"Parameter Error")</f>
        <v>Review</v>
      </c>
    </row>
    <row r="182" spans="1:12" ht="51">
      <c r="A182" s="8" t="str">
        <f>TRIM(SUBSTITUTE(CLEAN(Raw_Data!A182),CHAR(160)," "))</f>
        <v>Gwagwalada Local Government Area</v>
      </c>
      <c r="B182" s="8" t="str">
        <f t="array" ref="B182">TRIM(SUBSTITUTE(CLEAN(Raw_Data!B182),CHAR(160)," "))</f>
        <v>Dobi Ward</v>
      </c>
      <c r="C182" s="8" t="str">
        <f t="array" ref="C182">TRIM(SUBSTITUTE(CLEAN(Raw_Data!C182),CHAR(160)," "))</f>
        <v>Kaida Sabo Health Post</v>
      </c>
      <c r="D182" s="7">
        <f>COUNTA(Raw_Data!D182:CI182)</f>
        <v>41</v>
      </c>
      <c r="E182" s="7">
        <f t="shared" si="8"/>
        <v>43</v>
      </c>
      <c r="F182" s="9">
        <f>INDEX(tblParameters[Value],MATCH("ExpectedValues",tblParameters[Parameter],0))</f>
        <v>84</v>
      </c>
      <c r="G182" s="7">
        <f t="shared" si="9"/>
        <v>0.48809523809523808</v>
      </c>
      <c r="H182" s="7" t="str">
        <f>LOOKUP(G182,tblIndicatorScore[Min],tblIndicatorScore[Rating])</f>
        <v>Poor</v>
      </c>
      <c r="I182" s="7">
        <f>LOOKUP(G182,tblIndicatorScore[Min],tblIndicatorScore[Score])</f>
        <v>0</v>
      </c>
      <c r="J182" s="7" t="str">
        <f t="shared" si="10"/>
        <v>No</v>
      </c>
      <c r="K182" s="7" t="str">
        <f t="shared" si="11"/>
        <v>No</v>
      </c>
      <c r="L182" s="7" t="str">
        <f>IFERROR(
IF(K182="Yes","Incomplete",
IF(OR(
J182="Yes",
G182&lt;INDEX(tblParameters[Value],MATCH("MinimumAcceptCompleteness",tblParameters[Parameter],0))
),
"Review",
"Accept")),
"Parameter Error")</f>
        <v>Review</v>
      </c>
    </row>
    <row r="183" spans="1:12" ht="51">
      <c r="A183" s="8" t="str">
        <f>TRIM(SUBSTITUTE(CLEAN(Raw_Data!A183),CHAR(160)," "))</f>
        <v>Gwagwalada Local Government Area</v>
      </c>
      <c r="B183" s="8" t="str">
        <f t="array" ref="B183">TRIM(SUBSTITUTE(CLEAN(Raw_Data!B183),CHAR(160)," "))</f>
        <v>Paikon Ward</v>
      </c>
      <c r="C183" s="8" t="str">
        <f t="array" ref="C183">TRIM(SUBSTITUTE(CLEAN(Raw_Data!C183),CHAR(160)," "))</f>
        <v>Kaida Tsoho Health Clinic</v>
      </c>
      <c r="D183" s="7">
        <f>COUNTA(Raw_Data!D183:CI183)</f>
        <v>50</v>
      </c>
      <c r="E183" s="7">
        <f t="shared" si="8"/>
        <v>34</v>
      </c>
      <c r="F183" s="9">
        <f>INDEX(tblParameters[Value],MATCH("ExpectedValues",tblParameters[Parameter],0))</f>
        <v>84</v>
      </c>
      <c r="G183" s="7">
        <f t="shared" si="9"/>
        <v>0.59523809523809523</v>
      </c>
      <c r="H183" s="7" t="str">
        <f>LOOKUP(G183,tblIndicatorScore[Min],tblIndicatorScore[Rating])</f>
        <v>Poor</v>
      </c>
      <c r="I183" s="7">
        <f>LOOKUP(G183,tblIndicatorScore[Min],tblIndicatorScore[Score])</f>
        <v>0</v>
      </c>
      <c r="J183" s="7" t="str">
        <f t="shared" si="10"/>
        <v>No</v>
      </c>
      <c r="K183" s="7" t="str">
        <f t="shared" si="11"/>
        <v>No</v>
      </c>
      <c r="L183" s="7" t="str">
        <f>IFERROR(
IF(K183="Yes","Incomplete",
IF(OR(
J183="Yes",
G183&lt;INDEX(tblParameters[Value],MATCH("MinimumAcceptCompleteness",tblParameters[Parameter],0))
),
"Review",
"Accept")),
"Parameter Error")</f>
        <v>Review</v>
      </c>
    </row>
    <row r="184" spans="1:12" ht="51">
      <c r="A184" s="8" t="str">
        <f>TRIM(SUBSTITUTE(CLEAN(Raw_Data!A184),CHAR(160)," "))</f>
        <v>Bwari Local Government Area</v>
      </c>
      <c r="B184" s="8" t="str">
        <f t="array" ref="B184">TRIM(SUBSTITUTE(CLEAN(Raw_Data!B184),CHAR(160)," "))</f>
        <v>Igu Ward</v>
      </c>
      <c r="C184" s="8" t="str">
        <f t="array" ref="C184">TRIM(SUBSTITUTE(CLEAN(Raw_Data!C184),CHAR(160)," "))</f>
        <v>Kaima Primary Health Clinic</v>
      </c>
      <c r="D184" s="7">
        <f>COUNTA(Raw_Data!D184:CI184)</f>
        <v>52</v>
      </c>
      <c r="E184" s="7">
        <f t="shared" si="8"/>
        <v>32</v>
      </c>
      <c r="F184" s="9">
        <f>INDEX(tblParameters[Value],MATCH("ExpectedValues",tblParameters[Parameter],0))</f>
        <v>84</v>
      </c>
      <c r="G184" s="7">
        <f t="shared" si="9"/>
        <v>0.61904761904761907</v>
      </c>
      <c r="H184" s="7" t="str">
        <f>LOOKUP(G184,tblIndicatorScore[Min],tblIndicatorScore[Rating])</f>
        <v>Poor</v>
      </c>
      <c r="I184" s="7">
        <f>LOOKUP(G184,tblIndicatorScore[Min],tblIndicatorScore[Score])</f>
        <v>0</v>
      </c>
      <c r="J184" s="7" t="str">
        <f t="shared" si="10"/>
        <v>No</v>
      </c>
      <c r="K184" s="7" t="str">
        <f t="shared" si="11"/>
        <v>No</v>
      </c>
      <c r="L184" s="7" t="str">
        <f>IFERROR(
IF(K184="Yes","Incomplete",
IF(OR(
J184="Yes",
G184&lt;INDEX(tblParameters[Value],MATCH("MinimumAcceptCompleteness",tblParameters[Parameter],0))
),
"Review",
"Accept")),
"Parameter Error")</f>
        <v>Review</v>
      </c>
    </row>
    <row r="185" spans="1:12" ht="63.75">
      <c r="A185" s="8" t="str">
        <f>TRIM(SUBSTITUTE(CLEAN(Raw_Data!A185),CHAR(160)," "))</f>
        <v>Kwali Local Government Area</v>
      </c>
      <c r="B185" s="8" t="str">
        <f t="array" ref="B185">TRIM(SUBSTITUTE(CLEAN(Raw_Data!B185),CHAR(160)," "))</f>
        <v>Ashara Ward</v>
      </c>
      <c r="C185" s="8" t="str">
        <f t="array" ref="C185">TRIM(SUBSTITUTE(CLEAN(Raw_Data!C185),CHAR(160)," "))</f>
        <v>Kamadi Tsoho primary Health Clinic</v>
      </c>
      <c r="D185" s="7">
        <f>COUNTA(Raw_Data!D185:CI185)</f>
        <v>63</v>
      </c>
      <c r="E185" s="7">
        <f t="shared" si="8"/>
        <v>21</v>
      </c>
      <c r="F185" s="9">
        <f>INDEX(tblParameters[Value],MATCH("ExpectedValues",tblParameters[Parameter],0))</f>
        <v>84</v>
      </c>
      <c r="G185" s="7">
        <f t="shared" si="9"/>
        <v>0.75</v>
      </c>
      <c r="H185" s="7" t="str">
        <f>LOOKUP(G185,tblIndicatorScore[Min],tblIndicatorScore[Rating])</f>
        <v>Poor</v>
      </c>
      <c r="I185" s="7">
        <f>LOOKUP(G185,tblIndicatorScore[Min],tblIndicatorScore[Score])</f>
        <v>0</v>
      </c>
      <c r="J185" s="7" t="str">
        <f t="shared" si="10"/>
        <v>No</v>
      </c>
      <c r="K185" s="7" t="str">
        <f t="shared" si="11"/>
        <v>No</v>
      </c>
      <c r="L185" s="7" t="str">
        <f>IFERROR(
IF(K185="Yes","Incomplete",
IF(OR(
J185="Yes",
G185&lt;INDEX(tblParameters[Value],MATCH("MinimumAcceptCompleteness",tblParameters[Parameter],0))
),
"Review",
"Accept")),
"Parameter Error")</f>
        <v>Review</v>
      </c>
    </row>
    <row r="186" spans="1:12" ht="51">
      <c r="A186" s="8" t="str">
        <f>TRIM(SUBSTITUTE(CLEAN(Raw_Data!A186),CHAR(160)," "))</f>
        <v>Abuja Municipal Area Council</v>
      </c>
      <c r="B186" s="8" t="str">
        <f t="array" ref="B186">TRIM(SUBSTITUTE(CLEAN(Raw_Data!B186),CHAR(160)," "))</f>
        <v>Gwagwa Ward</v>
      </c>
      <c r="C186" s="8" t="str">
        <f t="array" ref="C186">TRIM(SUBSTITUTE(CLEAN(Raw_Data!C186),CHAR(160)," "))</f>
        <v>Kapital Hospital (Gwagwa)</v>
      </c>
      <c r="D186" s="7">
        <f>COUNTA(Raw_Data!D186:CI186)</f>
        <v>15</v>
      </c>
      <c r="E186" s="7">
        <f t="shared" si="8"/>
        <v>69</v>
      </c>
      <c r="F186" s="9">
        <f>INDEX(tblParameters[Value],MATCH("ExpectedValues",tblParameters[Parameter],0))</f>
        <v>84</v>
      </c>
      <c r="G186" s="7">
        <f t="shared" si="9"/>
        <v>0.17857142857142858</v>
      </c>
      <c r="H186" s="7" t="str">
        <f>LOOKUP(G186,tblIndicatorScore[Min],tblIndicatorScore[Rating])</f>
        <v>Poor</v>
      </c>
      <c r="I186" s="7">
        <f>LOOKUP(G186,tblIndicatorScore[Min],tblIndicatorScore[Score])</f>
        <v>0</v>
      </c>
      <c r="J186" s="7" t="str">
        <f t="shared" si="10"/>
        <v>No</v>
      </c>
      <c r="K186" s="7" t="str">
        <f t="shared" si="11"/>
        <v>No</v>
      </c>
      <c r="L186" s="7" t="str">
        <f>IFERROR(
IF(K186="Yes","Incomplete",
IF(OR(
J186="Yes",
G186&lt;INDEX(tblParameters[Value],MATCH("MinimumAcceptCompleteness",tblParameters[Parameter],0))
),
"Review",
"Accept")),
"Parameter Error")</f>
        <v>Review</v>
      </c>
    </row>
    <row r="187" spans="1:12" ht="63.75">
      <c r="A187" s="8" t="str">
        <f>TRIM(SUBSTITUTE(CLEAN(Raw_Data!A187),CHAR(160)," "))</f>
        <v>Abuja Municipal Area Council</v>
      </c>
      <c r="B187" s="8" t="str">
        <f t="array" ref="B187">TRIM(SUBSTITUTE(CLEAN(Raw_Data!B187),CHAR(160)," "))</f>
        <v>Gwarimpa Ward</v>
      </c>
      <c r="C187" s="8" t="str">
        <f t="array" ref="C187">TRIM(SUBSTITUTE(CLEAN(Raw_Data!C187),CHAR(160)," "))</f>
        <v>Karon Majigi Primary Health Clinic</v>
      </c>
      <c r="D187" s="7">
        <f>COUNTA(Raw_Data!D187:CI187)</f>
        <v>70</v>
      </c>
      <c r="E187" s="7">
        <f t="shared" si="8"/>
        <v>14</v>
      </c>
      <c r="F187" s="9">
        <f>INDEX(tblParameters[Value],MATCH("ExpectedValues",tblParameters[Parameter],0))</f>
        <v>84</v>
      </c>
      <c r="G187" s="7">
        <f t="shared" si="9"/>
        <v>0.83333333333333337</v>
      </c>
      <c r="H187" s="7" t="str">
        <f>LOOKUP(G187,tblIndicatorScore[Min],tblIndicatorScore[Rating])</f>
        <v>Fair</v>
      </c>
      <c r="I187" s="7">
        <f>LOOKUP(G187,tblIndicatorScore[Min],tblIndicatorScore[Score])</f>
        <v>1</v>
      </c>
      <c r="J187" s="7" t="str">
        <f t="shared" si="10"/>
        <v>No</v>
      </c>
      <c r="K187" s="7" t="str">
        <f t="shared" si="11"/>
        <v>No</v>
      </c>
      <c r="L187" s="7" t="str">
        <f>IFERROR(
IF(K187="Yes","Incomplete",
IF(OR(
J187="Yes",
G187&lt;INDEX(tblParameters[Value],MATCH("MinimumAcceptCompleteness",tblParameters[Parameter],0))
),
"Review",
"Accept")),
"Parameter Error")</f>
        <v>Review</v>
      </c>
    </row>
    <row r="188" spans="1:12" ht="51">
      <c r="A188" s="8" t="str">
        <f>TRIM(SUBSTITUTE(CLEAN(Raw_Data!A188),CHAR(160)," "))</f>
        <v>Abuja Municipal Area Council</v>
      </c>
      <c r="B188" s="8" t="str">
        <f t="array" ref="B188">TRIM(SUBSTITUTE(CLEAN(Raw_Data!B188),CHAR(160)," "))</f>
        <v>Karshi Ward</v>
      </c>
      <c r="C188" s="8" t="str">
        <f t="array" ref="C188">TRIM(SUBSTITUTE(CLEAN(Raw_Data!C188),CHAR(160)," "))</f>
        <v>Karshi General Hospital</v>
      </c>
      <c r="D188" s="7">
        <f>COUNTA(Raw_Data!D188:CI188)</f>
        <v>58</v>
      </c>
      <c r="E188" s="7">
        <f t="shared" si="8"/>
        <v>26</v>
      </c>
      <c r="F188" s="9">
        <f>INDEX(tblParameters[Value],MATCH("ExpectedValues",tblParameters[Parameter],0))</f>
        <v>84</v>
      </c>
      <c r="G188" s="7">
        <f t="shared" si="9"/>
        <v>0.69047619047619047</v>
      </c>
      <c r="H188" s="7" t="str">
        <f>LOOKUP(G188,tblIndicatorScore[Min],tblIndicatorScore[Rating])</f>
        <v>Poor</v>
      </c>
      <c r="I188" s="7">
        <f>LOOKUP(G188,tblIndicatorScore[Min],tblIndicatorScore[Score])</f>
        <v>0</v>
      </c>
      <c r="J188" s="7" t="str">
        <f t="shared" si="10"/>
        <v>No</v>
      </c>
      <c r="K188" s="7" t="str">
        <f t="shared" si="11"/>
        <v>No</v>
      </c>
      <c r="L188" s="7" t="str">
        <f>IFERROR(
IF(K188="Yes","Incomplete",
IF(OR(
J188="Yes",
G188&lt;INDEX(tblParameters[Value],MATCH("MinimumAcceptCompleteness",tblParameters[Parameter],0))
),
"Review",
"Accept")),
"Parameter Error")</f>
        <v>Review</v>
      </c>
    </row>
    <row r="189" spans="1:12" ht="51">
      <c r="A189" s="8" t="str">
        <f>TRIM(SUBSTITUTE(CLEAN(Raw_Data!A189),CHAR(160)," "))</f>
        <v>Abuja Municipal Area Council</v>
      </c>
      <c r="B189" s="8" t="str">
        <f t="array" ref="B189">TRIM(SUBSTITUTE(CLEAN(Raw_Data!B189),CHAR(160)," "))</f>
        <v>Karshi Ward</v>
      </c>
      <c r="C189" s="8" t="str">
        <f t="array" ref="C189">TRIM(SUBSTITUTE(CLEAN(Raw_Data!C189),CHAR(160)," "))</f>
        <v>Karshi Primary Health Clinic</v>
      </c>
      <c r="D189" s="7">
        <f>COUNTA(Raw_Data!D189:CI189)</f>
        <v>72</v>
      </c>
      <c r="E189" s="7">
        <f t="shared" si="8"/>
        <v>12</v>
      </c>
      <c r="F189" s="9">
        <f>INDEX(tblParameters[Value],MATCH("ExpectedValues",tblParameters[Parameter],0))</f>
        <v>84</v>
      </c>
      <c r="G189" s="7">
        <f t="shared" si="9"/>
        <v>0.8571428571428571</v>
      </c>
      <c r="H189" s="7" t="str">
        <f>LOOKUP(G189,tblIndicatorScore[Min],tblIndicatorScore[Rating])</f>
        <v>Fair</v>
      </c>
      <c r="I189" s="7">
        <f>LOOKUP(G189,tblIndicatorScore[Min],tblIndicatorScore[Score])</f>
        <v>1</v>
      </c>
      <c r="J189" s="7" t="str">
        <f t="shared" si="10"/>
        <v>No</v>
      </c>
      <c r="K189" s="7" t="str">
        <f t="shared" si="11"/>
        <v>No</v>
      </c>
      <c r="L189" s="7" t="str">
        <f>IFERROR(
IF(K189="Yes","Incomplete",
IF(OR(
J189="Yes",
G189&lt;INDEX(tblParameters[Value],MATCH("MinimumAcceptCompleteness",tblParameters[Parameter],0))
),
"Review",
"Accept")),
"Parameter Error")</f>
        <v>Review</v>
      </c>
    </row>
    <row r="190" spans="1:12" ht="51">
      <c r="A190" s="8" t="str">
        <f>TRIM(SUBSTITUTE(CLEAN(Raw_Data!A190),CHAR(160)," "))</f>
        <v>Abuja Municipal Area Council</v>
      </c>
      <c r="B190" s="8" t="str">
        <f t="array" ref="B190">TRIM(SUBSTITUTE(CLEAN(Raw_Data!B190),CHAR(160)," "))</f>
        <v>Karu Ward</v>
      </c>
      <c r="C190" s="8" t="str">
        <f t="array" ref="C190">TRIM(SUBSTITUTE(CLEAN(Raw_Data!C190),CHAR(160)," "))</f>
        <v>Karu General Hospital</v>
      </c>
      <c r="D190" s="7">
        <f>COUNTA(Raw_Data!D190:CI190)</f>
        <v>2</v>
      </c>
      <c r="E190" s="7">
        <f t="shared" si="8"/>
        <v>82</v>
      </c>
      <c r="F190" s="9">
        <f>INDEX(tblParameters[Value],MATCH("ExpectedValues",tblParameters[Parameter],0))</f>
        <v>84</v>
      </c>
      <c r="G190" s="7">
        <f t="shared" si="9"/>
        <v>2.3809523809523808E-2</v>
      </c>
      <c r="H190" s="7" t="str">
        <f>LOOKUP(G190,tblIndicatorScore[Min],tblIndicatorScore[Rating])</f>
        <v>Poor</v>
      </c>
      <c r="I190" s="7">
        <f>LOOKUP(G190,tblIndicatorScore[Min],tblIndicatorScore[Score])</f>
        <v>0</v>
      </c>
      <c r="J190" s="7" t="str">
        <f t="shared" si="10"/>
        <v>No</v>
      </c>
      <c r="K190" s="7" t="str">
        <f t="shared" si="11"/>
        <v>No</v>
      </c>
      <c r="L190" s="7" t="str">
        <f>IFERROR(
IF(K190="Yes","Incomplete",
IF(OR(
J190="Yes",
G190&lt;INDEX(tblParameters[Value],MATCH("MinimumAcceptCompleteness",tblParameters[Parameter],0))
),
"Review",
"Accept")),
"Parameter Error")</f>
        <v>Review</v>
      </c>
    </row>
    <row r="191" spans="1:12" ht="63.75">
      <c r="A191" s="8" t="str">
        <f>TRIM(SUBSTITUTE(CLEAN(Raw_Data!A191),CHAR(160)," "))</f>
        <v>Abuja Municipal Area Council</v>
      </c>
      <c r="B191" s="8" t="str">
        <f t="array" ref="B191">TRIM(SUBSTITUTE(CLEAN(Raw_Data!B191),CHAR(160)," "))</f>
        <v>Karu Ward</v>
      </c>
      <c r="C191" s="8" t="str">
        <f t="array" ref="C191">TRIM(SUBSTITUTE(CLEAN(Raw_Data!C191),CHAR(160)," "))</f>
        <v>Karu Primary Health Care Centre</v>
      </c>
      <c r="D191" s="7">
        <f>COUNTA(Raw_Data!D191:CI191)</f>
        <v>56</v>
      </c>
      <c r="E191" s="7">
        <f t="shared" si="8"/>
        <v>28</v>
      </c>
      <c r="F191" s="9">
        <f>INDEX(tblParameters[Value],MATCH("ExpectedValues",tblParameters[Parameter],0))</f>
        <v>84</v>
      </c>
      <c r="G191" s="7">
        <f t="shared" si="9"/>
        <v>0.66666666666666663</v>
      </c>
      <c r="H191" s="7" t="str">
        <f>LOOKUP(G191,tblIndicatorScore[Min],tblIndicatorScore[Rating])</f>
        <v>Poor</v>
      </c>
      <c r="I191" s="7">
        <f>LOOKUP(G191,tblIndicatorScore[Min],tblIndicatorScore[Score])</f>
        <v>0</v>
      </c>
      <c r="J191" s="7" t="str">
        <f t="shared" si="10"/>
        <v>No</v>
      </c>
      <c r="K191" s="7" t="str">
        <f t="shared" si="11"/>
        <v>No</v>
      </c>
      <c r="L191" s="7" t="str">
        <f>IFERROR(
IF(K191="Yes","Incomplete",
IF(OR(
J191="Yes",
G191&lt;INDEX(tblParameters[Value],MATCH("MinimumAcceptCompleteness",tblParameters[Parameter],0))
),
"Review",
"Accept")),
"Parameter Error")</f>
        <v>Review</v>
      </c>
    </row>
    <row r="192" spans="1:12" ht="51">
      <c r="A192" s="8" t="str">
        <f>TRIM(SUBSTITUTE(CLEAN(Raw_Data!A192),CHAR(160)," "))</f>
        <v>Kuje Local Government Area</v>
      </c>
      <c r="B192" s="8" t="str">
        <f t="array" ref="B192">TRIM(SUBSTITUTE(CLEAN(Raw_Data!B192),CHAR(160)," "))</f>
        <v>Gaube Ward</v>
      </c>
      <c r="C192" s="8" t="str">
        <f t="array" ref="C192">TRIM(SUBSTITUTE(CLEAN(Raw_Data!C192),CHAR(160)," "))</f>
        <v>Kasada Primary Health Centre</v>
      </c>
      <c r="D192" s="7">
        <f>COUNTA(Raw_Data!D192:CI192)</f>
        <v>60</v>
      </c>
      <c r="E192" s="7">
        <f t="shared" si="8"/>
        <v>24</v>
      </c>
      <c r="F192" s="9">
        <f>INDEX(tblParameters[Value],MATCH("ExpectedValues",tblParameters[Parameter],0))</f>
        <v>84</v>
      </c>
      <c r="G192" s="7">
        <f t="shared" si="9"/>
        <v>0.7142857142857143</v>
      </c>
      <c r="H192" s="7" t="str">
        <f>LOOKUP(G192,tblIndicatorScore[Min],tblIndicatorScore[Rating])</f>
        <v>Poor</v>
      </c>
      <c r="I192" s="7">
        <f>LOOKUP(G192,tblIndicatorScore[Min],tblIndicatorScore[Score])</f>
        <v>0</v>
      </c>
      <c r="J192" s="7" t="str">
        <f t="shared" si="10"/>
        <v>No</v>
      </c>
      <c r="K192" s="7" t="str">
        <f t="shared" si="11"/>
        <v>No</v>
      </c>
      <c r="L192" s="7" t="str">
        <f>IFERROR(
IF(K192="Yes","Incomplete",
IF(OR(
J192="Yes",
G192&lt;INDEX(tblParameters[Value],MATCH("MinimumAcceptCompleteness",tblParameters[Parameter],0))
),
"Review",
"Accept")),
"Parameter Error")</f>
        <v>Review</v>
      </c>
    </row>
    <row r="193" spans="1:12" ht="51">
      <c r="A193" s="8" t="str">
        <f>TRIM(SUBSTITUTE(CLEAN(Raw_Data!A193),CHAR(160)," "))</f>
        <v>Bwari Local Government Area</v>
      </c>
      <c r="B193" s="8" t="str">
        <f t="array" ref="B193">TRIM(SUBSTITUTE(CLEAN(Raw_Data!B193),CHAR(160)," "))</f>
        <v>Dutse Ward</v>
      </c>
      <c r="C193" s="8" t="str">
        <f t="array" ref="C193">TRIM(SUBSTITUTE(CLEAN(Raw_Data!C193),CHAR(160)," "))</f>
        <v>Katampe 2 Primary Health Clinic</v>
      </c>
      <c r="D193" s="7">
        <f>COUNTA(Raw_Data!D193:CI193)</f>
        <v>58</v>
      </c>
      <c r="E193" s="7">
        <f t="shared" si="8"/>
        <v>26</v>
      </c>
      <c r="F193" s="9">
        <f>INDEX(tblParameters[Value],MATCH("ExpectedValues",tblParameters[Parameter],0))</f>
        <v>84</v>
      </c>
      <c r="G193" s="7">
        <f t="shared" si="9"/>
        <v>0.69047619047619047</v>
      </c>
      <c r="H193" s="7" t="str">
        <f>LOOKUP(G193,tblIndicatorScore[Min],tblIndicatorScore[Rating])</f>
        <v>Poor</v>
      </c>
      <c r="I193" s="7">
        <f>LOOKUP(G193,tblIndicatorScore[Min],tblIndicatorScore[Score])</f>
        <v>0</v>
      </c>
      <c r="J193" s="7" t="str">
        <f t="shared" si="10"/>
        <v>No</v>
      </c>
      <c r="K193" s="7" t="str">
        <f t="shared" si="11"/>
        <v>No</v>
      </c>
      <c r="L193" s="7" t="str">
        <f>IFERROR(
IF(K193="Yes","Incomplete",
IF(OR(
J193="Yes",
G193&lt;INDEX(tblParameters[Value],MATCH("MinimumAcceptCompleteness",tblParameters[Parameter],0))
),
"Review",
"Accept")),
"Parameter Error")</f>
        <v>Review</v>
      </c>
    </row>
    <row r="194" spans="1:12" ht="51">
      <c r="A194" s="8" t="str">
        <f>TRIM(SUBSTITUTE(CLEAN(Raw_Data!A194),CHAR(160)," "))</f>
        <v>Kuje Local Government Area</v>
      </c>
      <c r="B194" s="8" t="str">
        <f t="array" ref="B194">TRIM(SUBSTITUTE(CLEAN(Raw_Data!B194),CHAR(160)," "))</f>
        <v>Gaube Ward</v>
      </c>
      <c r="C194" s="8" t="str">
        <f t="array" ref="C194">TRIM(SUBSTITUTE(CLEAN(Raw_Data!C194),CHAR(160)," "))</f>
        <v>Kaura Primary Health Clinic</v>
      </c>
      <c r="D194" s="7">
        <f>COUNTA(Raw_Data!D194:CI194)</f>
        <v>7</v>
      </c>
      <c r="E194" s="7">
        <f t="shared" si="8"/>
        <v>77</v>
      </c>
      <c r="F194" s="9">
        <f>INDEX(tblParameters[Value],MATCH("ExpectedValues",tblParameters[Parameter],0))</f>
        <v>84</v>
      </c>
      <c r="G194" s="7">
        <f t="shared" si="9"/>
        <v>8.3333333333333329E-2</v>
      </c>
      <c r="H194" s="7" t="str">
        <f>LOOKUP(G194,tblIndicatorScore[Min],tblIndicatorScore[Rating])</f>
        <v>Poor</v>
      </c>
      <c r="I194" s="7">
        <f>LOOKUP(G194,tblIndicatorScore[Min],tblIndicatorScore[Score])</f>
        <v>0</v>
      </c>
      <c r="J194" s="7" t="str">
        <f t="shared" si="10"/>
        <v>No</v>
      </c>
      <c r="K194" s="7" t="str">
        <f t="shared" si="11"/>
        <v>No</v>
      </c>
      <c r="L194" s="7" t="str">
        <f>IFERROR(
IF(K194="Yes","Incomplete",
IF(OR(
J194="Yes",
G194&lt;INDEX(tblParameters[Value],MATCH("MinimumAcceptCompleteness",tblParameters[Parameter],0))
),
"Review",
"Accept")),
"Parameter Error")</f>
        <v>Review</v>
      </c>
    </row>
    <row r="195" spans="1:12" ht="51">
      <c r="A195" s="8" t="str">
        <f>TRIM(SUBSTITUTE(CLEAN(Raw_Data!A195),CHAR(160)," "))</f>
        <v>Bwari Local Government Area</v>
      </c>
      <c r="B195" s="8" t="str">
        <f t="array" ref="B195">TRIM(SUBSTITUTE(CLEAN(Raw_Data!B195),CHAR(160)," "))</f>
        <v>Kawu Ward</v>
      </c>
      <c r="C195" s="8" t="str">
        <f t="array" ref="C195">TRIM(SUBSTITUTE(CLEAN(Raw_Data!C195),CHAR(160)," "))</f>
        <v>Kawu Primary Health Center</v>
      </c>
      <c r="D195" s="7">
        <f>COUNTA(Raw_Data!D195:CI195)</f>
        <v>67</v>
      </c>
      <c r="E195" s="7">
        <f t="shared" ref="E195:E258" si="12">F195-D195</f>
        <v>17</v>
      </c>
      <c r="F195" s="9">
        <f>INDEX(tblParameters[Value],MATCH("ExpectedValues",tblParameters[Parameter],0))</f>
        <v>84</v>
      </c>
      <c r="G195" s="7">
        <f t="shared" ref="G195:G258" si="13">D195/F195</f>
        <v>0.79761904761904767</v>
      </c>
      <c r="H195" s="7" t="str">
        <f>LOOKUP(G195,tblIndicatorScore[Min],tblIndicatorScore[Rating])</f>
        <v>Poor</v>
      </c>
      <c r="I195" s="7">
        <f>LOOKUP(G195,tblIndicatorScore[Min],tblIndicatorScore[Score])</f>
        <v>0</v>
      </c>
      <c r="J195" s="7" t="str">
        <f t="shared" ref="J195:J258" si="14">IF(OR(A195="",B195="",C195=""),"",IF(COUNTIFS($A:$A,A195,$B:$B,B195,$C:$C,C195)&gt;1,"Yes","No"))</f>
        <v>No</v>
      </c>
      <c r="K195" s="7" t="str">
        <f t="shared" ref="K195:K258" si="15">IF(OR(TRIM(A195)="",TRIM(B195)="",TRIM(C195)="",D195&lt;=0,F195&lt;=0),"Yes","No")</f>
        <v>No</v>
      </c>
      <c r="L195" s="7" t="str">
        <f>IFERROR(
IF(K195="Yes","Incomplete",
IF(OR(
J195="Yes",
G195&lt;INDEX(tblParameters[Value],MATCH("MinimumAcceptCompleteness",tblParameters[Parameter],0))
),
"Review",
"Accept")),
"Parameter Error")</f>
        <v>Review</v>
      </c>
    </row>
    <row r="196" spans="1:12" ht="51">
      <c r="A196" s="8" t="str">
        <f>TRIM(SUBSTITUTE(CLEAN(Raw_Data!A196),CHAR(160)," "))</f>
        <v>Abaji Local Government Area</v>
      </c>
      <c r="B196" s="8" t="str">
        <f t="array" ref="B196">TRIM(SUBSTITUTE(CLEAN(Raw_Data!B196),CHAR(160)," "))</f>
        <v>Nuku Sabon Gari Ward</v>
      </c>
      <c r="C196" s="8" t="str">
        <f t="array" ref="C196">TRIM(SUBSTITUTE(CLEAN(Raw_Data!C196),CHAR(160)," "))</f>
        <v>Kekeshi Primary Health Clinic</v>
      </c>
      <c r="D196" s="7">
        <f>COUNTA(Raw_Data!D196:CI196)</f>
        <v>60</v>
      </c>
      <c r="E196" s="7">
        <f t="shared" si="12"/>
        <v>24</v>
      </c>
      <c r="F196" s="9">
        <f>INDEX(tblParameters[Value],MATCH("ExpectedValues",tblParameters[Parameter],0))</f>
        <v>84</v>
      </c>
      <c r="G196" s="7">
        <f t="shared" si="13"/>
        <v>0.7142857142857143</v>
      </c>
      <c r="H196" s="7" t="str">
        <f>LOOKUP(G196,tblIndicatorScore[Min],tblIndicatorScore[Rating])</f>
        <v>Poor</v>
      </c>
      <c r="I196" s="7">
        <f>LOOKUP(G196,tblIndicatorScore[Min],tblIndicatorScore[Score])</f>
        <v>0</v>
      </c>
      <c r="J196" s="7" t="str">
        <f t="shared" si="14"/>
        <v>No</v>
      </c>
      <c r="K196" s="7" t="str">
        <f t="shared" si="15"/>
        <v>No</v>
      </c>
      <c r="L196" s="7" t="str">
        <f>IFERROR(
IF(K196="Yes","Incomplete",
IF(OR(
J196="Yes",
G196&lt;INDEX(tblParameters[Value],MATCH("MinimumAcceptCompleteness",tblParameters[Parameter],0))
),
"Review",
"Accept")),
"Parameter Error")</f>
        <v>Review</v>
      </c>
    </row>
    <row r="197" spans="1:12" ht="51">
      <c r="A197" s="8" t="str">
        <f>TRIM(SUBSTITUTE(CLEAN(Raw_Data!A197),CHAR(160)," "))</f>
        <v>Bwari Local Government Area</v>
      </c>
      <c r="B197" s="8" t="str">
        <f t="array" ref="B197">TRIM(SUBSTITUTE(CLEAN(Raw_Data!B197),CHAR(160)," "))</f>
        <v>Usuma Ward</v>
      </c>
      <c r="C197" s="8" t="str">
        <f t="array" ref="C197">TRIM(SUBSTITUTE(CLEAN(Raw_Data!C197),CHAR(160)," "))</f>
        <v>Kenony Clinic Ltd</v>
      </c>
      <c r="D197" s="7">
        <f>COUNTA(Raw_Data!D197:CI197)</f>
        <v>1</v>
      </c>
      <c r="E197" s="7">
        <f t="shared" si="12"/>
        <v>83</v>
      </c>
      <c r="F197" s="9">
        <f>INDEX(tblParameters[Value],MATCH("ExpectedValues",tblParameters[Parameter],0))</f>
        <v>84</v>
      </c>
      <c r="G197" s="7">
        <f t="shared" si="13"/>
        <v>1.1904761904761904E-2</v>
      </c>
      <c r="H197" s="7" t="str">
        <f>LOOKUP(G197,tblIndicatorScore[Min],tblIndicatorScore[Rating])</f>
        <v>Poor</v>
      </c>
      <c r="I197" s="7">
        <f>LOOKUP(G197,tblIndicatorScore[Min],tblIndicatorScore[Score])</f>
        <v>0</v>
      </c>
      <c r="J197" s="7" t="str">
        <f t="shared" si="14"/>
        <v>No</v>
      </c>
      <c r="K197" s="7" t="str">
        <f t="shared" si="15"/>
        <v>No</v>
      </c>
      <c r="L197" s="7" t="str">
        <f>IFERROR(
IF(K197="Yes","Incomplete",
IF(OR(
J197="Yes",
G197&lt;INDEX(tblParameters[Value],MATCH("MinimumAcceptCompleteness",tblParameters[Parameter],0))
),
"Review",
"Accept")),
"Parameter Error")</f>
        <v>Review</v>
      </c>
    </row>
    <row r="198" spans="1:12" ht="63.75">
      <c r="A198" s="8" t="str">
        <f>TRIM(SUBSTITUTE(CLEAN(Raw_Data!A198),CHAR(160)," "))</f>
        <v>Abuja Municipal Area Council</v>
      </c>
      <c r="B198" s="8" t="str">
        <f t="array" ref="B198">TRIM(SUBSTITUTE(CLEAN(Raw_Data!B198),CHAR(160)," "))</f>
        <v>Kabusa Ward</v>
      </c>
      <c r="C198" s="8" t="str">
        <f t="array" ref="C198">TRIM(SUBSTITUTE(CLEAN(Raw_Data!C198),CHAR(160)," "))</f>
        <v>Ketti Primary Health Care Center</v>
      </c>
      <c r="D198" s="7">
        <f>COUNTA(Raw_Data!D198:CI198)</f>
        <v>57</v>
      </c>
      <c r="E198" s="7">
        <f t="shared" si="12"/>
        <v>27</v>
      </c>
      <c r="F198" s="9">
        <f>INDEX(tblParameters[Value],MATCH("ExpectedValues",tblParameters[Parameter],0))</f>
        <v>84</v>
      </c>
      <c r="G198" s="7">
        <f t="shared" si="13"/>
        <v>0.6785714285714286</v>
      </c>
      <c r="H198" s="7" t="str">
        <f>LOOKUP(G198,tblIndicatorScore[Min],tblIndicatorScore[Rating])</f>
        <v>Poor</v>
      </c>
      <c r="I198" s="7">
        <f>LOOKUP(G198,tblIndicatorScore[Min],tblIndicatorScore[Score])</f>
        <v>0</v>
      </c>
      <c r="J198" s="7" t="str">
        <f t="shared" si="14"/>
        <v>No</v>
      </c>
      <c r="K198" s="7" t="str">
        <f t="shared" si="15"/>
        <v>No</v>
      </c>
      <c r="L198" s="7" t="str">
        <f>IFERROR(
IF(K198="Yes","Incomplete",
IF(OR(
J198="Yes",
G198&lt;INDEX(tblParameters[Value],MATCH("MinimumAcceptCompleteness",tblParameters[Parameter],0))
),
"Review",
"Accept")),
"Parameter Error")</f>
        <v>Review</v>
      </c>
    </row>
    <row r="199" spans="1:12" ht="51">
      <c r="A199" s="8" t="str">
        <f>TRIM(SUBSTITUTE(CLEAN(Raw_Data!A199),CHAR(160)," "))</f>
        <v>Kwali Local Government Area</v>
      </c>
      <c r="B199" s="8" t="str">
        <f t="array" ref="B199">TRIM(SUBSTITUTE(CLEAN(Raw_Data!B199),CHAR(160)," "))</f>
        <v>Yebu Ward</v>
      </c>
      <c r="C199" s="8" t="str">
        <f t="array" ref="C199">TRIM(SUBSTITUTE(CLEAN(Raw_Data!C199),CHAR(160)," "))</f>
        <v>Kigbe Primary Health Clinic</v>
      </c>
      <c r="D199" s="7">
        <f>COUNTA(Raw_Data!D199:CI199)</f>
        <v>43</v>
      </c>
      <c r="E199" s="7">
        <f t="shared" si="12"/>
        <v>41</v>
      </c>
      <c r="F199" s="9">
        <f>INDEX(tblParameters[Value],MATCH("ExpectedValues",tblParameters[Parameter],0))</f>
        <v>84</v>
      </c>
      <c r="G199" s="7">
        <f t="shared" si="13"/>
        <v>0.51190476190476186</v>
      </c>
      <c r="H199" s="7" t="str">
        <f>LOOKUP(G199,tblIndicatorScore[Min],tblIndicatorScore[Rating])</f>
        <v>Poor</v>
      </c>
      <c r="I199" s="7">
        <f>LOOKUP(G199,tblIndicatorScore[Min],tblIndicatorScore[Score])</f>
        <v>0</v>
      </c>
      <c r="J199" s="7" t="str">
        <f t="shared" si="14"/>
        <v>No</v>
      </c>
      <c r="K199" s="7" t="str">
        <f t="shared" si="15"/>
        <v>No</v>
      </c>
      <c r="L199" s="7" t="str">
        <f>IFERROR(
IF(K199="Yes","Incomplete",
IF(OR(
J199="Yes",
G199&lt;INDEX(tblParameters[Value],MATCH("MinimumAcceptCompleteness",tblParameters[Parameter],0))
),
"Review",
"Accept")),
"Parameter Error")</f>
        <v>Review</v>
      </c>
    </row>
    <row r="200" spans="1:12" ht="51">
      <c r="A200" s="8" t="str">
        <f>TRIM(SUBSTITUTE(CLEAN(Raw_Data!A200),CHAR(160)," "))</f>
        <v>Kwali Local Government Area</v>
      </c>
      <c r="B200" s="8" t="str">
        <f t="array" ref="B200">TRIM(SUBSTITUTE(CLEAN(Raw_Data!B200),CHAR(160)," "))</f>
        <v>Kilankwa Ward</v>
      </c>
      <c r="C200" s="8" t="str">
        <f t="array" ref="C200">TRIM(SUBSTITUTE(CLEAN(Raw_Data!C200),CHAR(160)," "))</f>
        <v>Kilankwa I Primary Health Centre</v>
      </c>
      <c r="D200" s="7">
        <f>COUNTA(Raw_Data!D200:CI200)</f>
        <v>61</v>
      </c>
      <c r="E200" s="7">
        <f t="shared" si="12"/>
        <v>23</v>
      </c>
      <c r="F200" s="9">
        <f>INDEX(tblParameters[Value],MATCH("ExpectedValues",tblParameters[Parameter],0))</f>
        <v>84</v>
      </c>
      <c r="G200" s="7">
        <f t="shared" si="13"/>
        <v>0.72619047619047616</v>
      </c>
      <c r="H200" s="7" t="str">
        <f>LOOKUP(G200,tblIndicatorScore[Min],tblIndicatorScore[Rating])</f>
        <v>Poor</v>
      </c>
      <c r="I200" s="7">
        <f>LOOKUP(G200,tblIndicatorScore[Min],tblIndicatorScore[Score])</f>
        <v>0</v>
      </c>
      <c r="J200" s="7" t="str">
        <f t="shared" si="14"/>
        <v>No</v>
      </c>
      <c r="K200" s="7" t="str">
        <f t="shared" si="15"/>
        <v>No</v>
      </c>
      <c r="L200" s="7" t="str">
        <f>IFERROR(
IF(K200="Yes","Incomplete",
IF(OR(
J200="Yes",
G200&lt;INDEX(tblParameters[Value],MATCH("MinimumAcceptCompleteness",tblParameters[Parameter],0))
),
"Review",
"Accept")),
"Parameter Error")</f>
        <v>Review</v>
      </c>
    </row>
    <row r="201" spans="1:12" ht="51">
      <c r="A201" s="8" t="str">
        <f>TRIM(SUBSTITUTE(CLEAN(Raw_Data!A201),CHAR(160)," "))</f>
        <v>Kwali Local Government Area</v>
      </c>
      <c r="B201" s="8" t="str">
        <f t="array" ref="B201">TRIM(SUBSTITUTE(CLEAN(Raw_Data!B201),CHAR(160)," "))</f>
        <v>Kilankwa Ward</v>
      </c>
      <c r="C201" s="8" t="str">
        <f t="array" ref="C201">TRIM(SUBSTITUTE(CLEAN(Raw_Data!C201),CHAR(160)," "))</f>
        <v>Kilankwa II Primary Health Clinic</v>
      </c>
      <c r="D201" s="7">
        <f>COUNTA(Raw_Data!D201:CI201)</f>
        <v>72</v>
      </c>
      <c r="E201" s="7">
        <f t="shared" si="12"/>
        <v>12</v>
      </c>
      <c r="F201" s="9">
        <f>INDEX(tblParameters[Value],MATCH("ExpectedValues",tblParameters[Parameter],0))</f>
        <v>84</v>
      </c>
      <c r="G201" s="7">
        <f t="shared" si="13"/>
        <v>0.8571428571428571</v>
      </c>
      <c r="H201" s="7" t="str">
        <f>LOOKUP(G201,tblIndicatorScore[Min],tblIndicatorScore[Rating])</f>
        <v>Fair</v>
      </c>
      <c r="I201" s="7">
        <f>LOOKUP(G201,tblIndicatorScore[Min],tblIndicatorScore[Score])</f>
        <v>1</v>
      </c>
      <c r="J201" s="7" t="str">
        <f t="shared" si="14"/>
        <v>No</v>
      </c>
      <c r="K201" s="7" t="str">
        <f t="shared" si="15"/>
        <v>No</v>
      </c>
      <c r="L201" s="7" t="str">
        <f>IFERROR(
IF(K201="Yes","Incomplete",
IF(OR(
J201="Yes",
G201&lt;INDEX(tblParameters[Value],MATCH("MinimumAcceptCompleteness",tblParameters[Parameter],0))
),
"Review",
"Accept")),
"Parameter Error")</f>
        <v>Review</v>
      </c>
    </row>
    <row r="202" spans="1:12" ht="51">
      <c r="A202" s="8" t="str">
        <f>TRIM(SUBSTITUTE(CLEAN(Raw_Data!A202),CHAR(160)," "))</f>
        <v>Abuja Municipal Area Council</v>
      </c>
      <c r="B202" s="8" t="str">
        <f t="array" ref="B202">TRIM(SUBSTITUTE(CLEAN(Raw_Data!B202),CHAR(160)," "))</f>
        <v>City Centre Ward</v>
      </c>
      <c r="C202" s="8" t="str">
        <f t="array" ref="C202">TRIM(SUBSTITUTE(CLEAN(Raw_Data!C202),CHAR(160)," "))</f>
        <v>Kinectic Hospital</v>
      </c>
      <c r="D202" s="7">
        <f>COUNTA(Raw_Data!D202:CI202)</f>
        <v>17</v>
      </c>
      <c r="E202" s="7">
        <f t="shared" si="12"/>
        <v>67</v>
      </c>
      <c r="F202" s="9">
        <f>INDEX(tblParameters[Value],MATCH("ExpectedValues",tblParameters[Parameter],0))</f>
        <v>84</v>
      </c>
      <c r="G202" s="7">
        <f t="shared" si="13"/>
        <v>0.20238095238095238</v>
      </c>
      <c r="H202" s="7" t="str">
        <f>LOOKUP(G202,tblIndicatorScore[Min],tblIndicatorScore[Rating])</f>
        <v>Poor</v>
      </c>
      <c r="I202" s="7">
        <f>LOOKUP(G202,tblIndicatorScore[Min],tblIndicatorScore[Score])</f>
        <v>0</v>
      </c>
      <c r="J202" s="7" t="str">
        <f t="shared" si="14"/>
        <v>No</v>
      </c>
      <c r="K202" s="7" t="str">
        <f t="shared" si="15"/>
        <v>No</v>
      </c>
      <c r="L202" s="7" t="str">
        <f>IFERROR(
IF(K202="Yes","Incomplete",
IF(OR(
J202="Yes",
G202&lt;INDEX(tblParameters[Value],MATCH("MinimumAcceptCompleteness",tblParameters[Parameter],0))
),
"Review",
"Accept")),
"Parameter Error")</f>
        <v>Review</v>
      </c>
    </row>
    <row r="203" spans="1:12" ht="76.5">
      <c r="A203" s="8" t="str">
        <f>TRIM(SUBSTITUTE(CLEAN(Raw_Data!A203),CHAR(160)," "))</f>
        <v>Abuja Municipal Area Council</v>
      </c>
      <c r="B203" s="8" t="str">
        <f t="array" ref="B203">TRIM(SUBSTITUTE(CLEAN(Raw_Data!B203),CHAR(160)," "))</f>
        <v>Wuse Ward</v>
      </c>
      <c r="C203" s="8" t="str">
        <f t="array" ref="C203">TRIM(SUBSTITUTE(CLEAN(Raw_Data!C203),CHAR(160)," "))</f>
        <v>King'S Care Hospital and Maternity (Wuse)</v>
      </c>
      <c r="D203" s="7">
        <f>COUNTA(Raw_Data!D203:CI203)</f>
        <v>57</v>
      </c>
      <c r="E203" s="7">
        <f t="shared" si="12"/>
        <v>27</v>
      </c>
      <c r="F203" s="9">
        <f>INDEX(tblParameters[Value],MATCH("ExpectedValues",tblParameters[Parameter],0))</f>
        <v>84</v>
      </c>
      <c r="G203" s="7">
        <f t="shared" si="13"/>
        <v>0.6785714285714286</v>
      </c>
      <c r="H203" s="7" t="str">
        <f>LOOKUP(G203,tblIndicatorScore[Min],tblIndicatorScore[Rating])</f>
        <v>Poor</v>
      </c>
      <c r="I203" s="7">
        <f>LOOKUP(G203,tblIndicatorScore[Min],tblIndicatorScore[Score])</f>
        <v>0</v>
      </c>
      <c r="J203" s="7" t="str">
        <f t="shared" si="14"/>
        <v>No</v>
      </c>
      <c r="K203" s="7" t="str">
        <f t="shared" si="15"/>
        <v>No</v>
      </c>
      <c r="L203" s="7" t="str">
        <f>IFERROR(
IF(K203="Yes","Incomplete",
IF(OR(
J203="Yes",
G203&lt;INDEX(tblParameters[Value],MATCH("MinimumAcceptCompleteness",tblParameters[Parameter],0))
),
"Review",
"Accept")),
"Parameter Error")</f>
        <v>Review</v>
      </c>
    </row>
    <row r="204" spans="1:12" ht="51">
      <c r="A204" s="8" t="str">
        <f>TRIM(SUBSTITUTE(CLEAN(Raw_Data!A204),CHAR(160)," "))</f>
        <v>Kuje Local Government Area</v>
      </c>
      <c r="B204" s="8" t="str">
        <f t="array" ref="B204">TRIM(SUBSTITUTE(CLEAN(Raw_Data!B204),CHAR(160)," "))</f>
        <v>Chibiri Ward</v>
      </c>
      <c r="C204" s="8" t="str">
        <f t="array" ref="C204">TRIM(SUBSTITUTE(CLEAN(Raw_Data!C204),CHAR(160)," "))</f>
        <v>Kiyi Primary Health Centre</v>
      </c>
      <c r="D204" s="7">
        <f>COUNTA(Raw_Data!D204:CI204)</f>
        <v>65</v>
      </c>
      <c r="E204" s="7">
        <f t="shared" si="12"/>
        <v>19</v>
      </c>
      <c r="F204" s="9">
        <f>INDEX(tblParameters[Value],MATCH("ExpectedValues",tblParameters[Parameter],0))</f>
        <v>84</v>
      </c>
      <c r="G204" s="7">
        <f t="shared" si="13"/>
        <v>0.77380952380952384</v>
      </c>
      <c r="H204" s="7" t="str">
        <f>LOOKUP(G204,tblIndicatorScore[Min],tblIndicatorScore[Rating])</f>
        <v>Poor</v>
      </c>
      <c r="I204" s="7">
        <f>LOOKUP(G204,tblIndicatorScore[Min],tblIndicatorScore[Score])</f>
        <v>0</v>
      </c>
      <c r="J204" s="7" t="str">
        <f t="shared" si="14"/>
        <v>No</v>
      </c>
      <c r="K204" s="7" t="str">
        <f t="shared" si="15"/>
        <v>No</v>
      </c>
      <c r="L204" s="7" t="str">
        <f>IFERROR(
IF(K204="Yes","Incomplete",
IF(OR(
J204="Yes",
G204&lt;INDEX(tblParameters[Value],MATCH("MinimumAcceptCompleteness",tblParameters[Parameter],0))
),
"Review",
"Accept")),
"Parameter Error")</f>
        <v>Review</v>
      </c>
    </row>
    <row r="205" spans="1:12" ht="51">
      <c r="A205" s="8" t="str">
        <f>TRIM(SUBSTITUTE(CLEAN(Raw_Data!A205),CHAR(160)," "))</f>
        <v>Abuja Municipal Area Council</v>
      </c>
      <c r="B205" s="8" t="str">
        <f t="array" ref="B205">TRIM(SUBSTITUTE(CLEAN(Raw_Data!B205),CHAR(160)," "))</f>
        <v>Garki Ward</v>
      </c>
      <c r="C205" s="8" t="str">
        <f t="array" ref="C205">TRIM(SUBSTITUTE(CLEAN(Raw_Data!C205),CHAR(160)," "))</f>
        <v>Kobi Primary Health clinic</v>
      </c>
      <c r="D205" s="7">
        <f>COUNTA(Raw_Data!D205:CI205)</f>
        <v>60</v>
      </c>
      <c r="E205" s="7">
        <f t="shared" si="12"/>
        <v>24</v>
      </c>
      <c r="F205" s="9">
        <f>INDEX(tblParameters[Value],MATCH("ExpectedValues",tblParameters[Parameter],0))</f>
        <v>84</v>
      </c>
      <c r="G205" s="7">
        <f t="shared" si="13"/>
        <v>0.7142857142857143</v>
      </c>
      <c r="H205" s="7" t="str">
        <f>LOOKUP(G205,tblIndicatorScore[Min],tblIndicatorScore[Rating])</f>
        <v>Poor</v>
      </c>
      <c r="I205" s="7">
        <f>LOOKUP(G205,tblIndicatorScore[Min],tblIndicatorScore[Score])</f>
        <v>0</v>
      </c>
      <c r="J205" s="7" t="str">
        <f t="shared" si="14"/>
        <v>No</v>
      </c>
      <c r="K205" s="7" t="str">
        <f t="shared" si="15"/>
        <v>No</v>
      </c>
      <c r="L205" s="7" t="str">
        <f>IFERROR(
IF(K205="Yes","Incomplete",
IF(OR(
J205="Yes",
G205&lt;INDEX(tblParameters[Value],MATCH("MinimumAcceptCompleteness",tblParameters[Parameter],0))
),
"Review",
"Accept")),
"Parameter Error")</f>
        <v>Review</v>
      </c>
    </row>
    <row r="206" spans="1:12" ht="51">
      <c r="A206" s="8" t="str">
        <f>TRIM(SUBSTITUTE(CLEAN(Raw_Data!A206),CHAR(160)," "))</f>
        <v>Bwari Local Government Area</v>
      </c>
      <c r="B206" s="8" t="str">
        <f t="array" ref="B206">TRIM(SUBSTITUTE(CLEAN(Raw_Data!B206),CHAR(160)," "))</f>
        <v>Bwari Central Ward</v>
      </c>
      <c r="C206" s="8" t="str">
        <f t="array" ref="C206">TRIM(SUBSTITUTE(CLEAN(Raw_Data!C206),CHAR(160)," "))</f>
        <v>Kogo Primary Health Centre</v>
      </c>
      <c r="D206" s="7">
        <f>COUNTA(Raw_Data!D206:CI206)</f>
        <v>69</v>
      </c>
      <c r="E206" s="7">
        <f t="shared" si="12"/>
        <v>15</v>
      </c>
      <c r="F206" s="9">
        <f>INDEX(tblParameters[Value],MATCH("ExpectedValues",tblParameters[Parameter],0))</f>
        <v>84</v>
      </c>
      <c r="G206" s="7">
        <f t="shared" si="13"/>
        <v>0.8214285714285714</v>
      </c>
      <c r="H206" s="7" t="str">
        <f>LOOKUP(G206,tblIndicatorScore[Min],tblIndicatorScore[Rating])</f>
        <v>Fair</v>
      </c>
      <c r="I206" s="7">
        <f>LOOKUP(G206,tblIndicatorScore[Min],tblIndicatorScore[Score])</f>
        <v>1</v>
      </c>
      <c r="J206" s="7" t="str">
        <f t="shared" si="14"/>
        <v>No</v>
      </c>
      <c r="K206" s="7" t="str">
        <f t="shared" si="15"/>
        <v>No</v>
      </c>
      <c r="L206" s="7" t="str">
        <f>IFERROR(
IF(K206="Yes","Incomplete",
IF(OR(
J206="Yes",
G206&lt;INDEX(tblParameters[Value],MATCH("MinimumAcceptCompleteness",tblParameters[Parameter],0))
),
"Review",
"Accept")),
"Parameter Error")</f>
        <v>Review</v>
      </c>
    </row>
    <row r="207" spans="1:12" ht="51">
      <c r="A207" s="8" t="str">
        <f>TRIM(SUBSTITUTE(CLEAN(Raw_Data!A207),CHAR(160)," "))</f>
        <v>Kwali Local Government Area</v>
      </c>
      <c r="B207" s="8" t="str">
        <f t="array" ref="B207">TRIM(SUBSTITUTE(CLEAN(Raw_Data!B207),CHAR(160)," "))</f>
        <v>Yangoji Ward</v>
      </c>
      <c r="C207" s="8" t="str">
        <f t="array" ref="C207">TRIM(SUBSTITUTE(CLEAN(Raw_Data!C207),CHAR(160)," "))</f>
        <v>Koroko Primary Health Centre</v>
      </c>
      <c r="D207" s="7">
        <f>COUNTA(Raw_Data!D207:CI207)</f>
        <v>55</v>
      </c>
      <c r="E207" s="7">
        <f t="shared" si="12"/>
        <v>29</v>
      </c>
      <c r="F207" s="9">
        <f>INDEX(tblParameters[Value],MATCH("ExpectedValues",tblParameters[Parameter],0))</f>
        <v>84</v>
      </c>
      <c r="G207" s="7">
        <f t="shared" si="13"/>
        <v>0.65476190476190477</v>
      </c>
      <c r="H207" s="7" t="str">
        <f>LOOKUP(G207,tblIndicatorScore[Min],tblIndicatorScore[Rating])</f>
        <v>Poor</v>
      </c>
      <c r="I207" s="7">
        <f>LOOKUP(G207,tblIndicatorScore[Min],tblIndicatorScore[Score])</f>
        <v>0</v>
      </c>
      <c r="J207" s="7" t="str">
        <f t="shared" si="14"/>
        <v>No</v>
      </c>
      <c r="K207" s="7" t="str">
        <f t="shared" si="15"/>
        <v>No</v>
      </c>
      <c r="L207" s="7" t="str">
        <f>IFERROR(
IF(K207="Yes","Incomplete",
IF(OR(
J207="Yes",
G207&lt;INDEX(tblParameters[Value],MATCH("MinimumAcceptCompleteness",tblParameters[Parameter],0))
),
"Review",
"Accept")),
"Parameter Error")</f>
        <v>Review</v>
      </c>
    </row>
    <row r="208" spans="1:12" ht="51">
      <c r="A208" s="8" t="str">
        <f>TRIM(SUBSTITUTE(CLEAN(Raw_Data!A208),CHAR(160)," "))</f>
        <v>Abaji Local Government Area</v>
      </c>
      <c r="B208" s="8" t="str">
        <f t="array" ref="B208">TRIM(SUBSTITUTE(CLEAN(Raw_Data!B208),CHAR(160)," "))</f>
        <v>Yaba Ward</v>
      </c>
      <c r="C208" s="8" t="str">
        <f t="array" ref="C208">TRIM(SUBSTITUTE(CLEAN(Raw_Data!C208),CHAR(160)," "))</f>
        <v>Kpache Primary Health Clinic</v>
      </c>
      <c r="D208" s="7">
        <f>COUNTA(Raw_Data!D208:CI208)</f>
        <v>66</v>
      </c>
      <c r="E208" s="7">
        <f t="shared" si="12"/>
        <v>18</v>
      </c>
      <c r="F208" s="9">
        <f>INDEX(tblParameters[Value],MATCH("ExpectedValues",tblParameters[Parameter],0))</f>
        <v>84</v>
      </c>
      <c r="G208" s="7">
        <f t="shared" si="13"/>
        <v>0.7857142857142857</v>
      </c>
      <c r="H208" s="7" t="str">
        <f>LOOKUP(G208,tblIndicatorScore[Min],tblIndicatorScore[Rating])</f>
        <v>Poor</v>
      </c>
      <c r="I208" s="7">
        <f>LOOKUP(G208,tblIndicatorScore[Min],tblIndicatorScore[Score])</f>
        <v>0</v>
      </c>
      <c r="J208" s="7" t="str">
        <f t="shared" si="14"/>
        <v>No</v>
      </c>
      <c r="K208" s="7" t="str">
        <f t="shared" si="15"/>
        <v>No</v>
      </c>
      <c r="L208" s="7" t="str">
        <f>IFERROR(
IF(K208="Yes","Incomplete",
IF(OR(
J208="Yes",
G208&lt;INDEX(tblParameters[Value],MATCH("MinimumAcceptCompleteness",tblParameters[Parameter],0))
),
"Review",
"Accept")),
"Parameter Error")</f>
        <v>Review</v>
      </c>
    </row>
    <row r="209" spans="1:12" ht="63.75">
      <c r="A209" s="8" t="str">
        <f>TRIM(SUBSTITUTE(CLEAN(Raw_Data!A209),CHAR(160)," "))</f>
        <v>Gwagwalada Local Government Area</v>
      </c>
      <c r="B209" s="8" t="str">
        <f t="array" ref="B209">TRIM(SUBSTITUTE(CLEAN(Raw_Data!B209),CHAR(160)," "))</f>
        <v>Gwako Ward</v>
      </c>
      <c r="C209" s="8" t="str">
        <f t="array" ref="C209">TRIM(SUBSTITUTE(CLEAN(Raw_Data!C209),CHAR(160)," "))</f>
        <v>Kpakuru Liman Primary Health Clinic</v>
      </c>
      <c r="D209" s="7">
        <f>COUNTA(Raw_Data!D209:CI209)</f>
        <v>62</v>
      </c>
      <c r="E209" s="7">
        <f t="shared" si="12"/>
        <v>22</v>
      </c>
      <c r="F209" s="9">
        <f>INDEX(tblParameters[Value],MATCH("ExpectedValues",tblParameters[Parameter],0))</f>
        <v>84</v>
      </c>
      <c r="G209" s="7">
        <f t="shared" si="13"/>
        <v>0.73809523809523814</v>
      </c>
      <c r="H209" s="7" t="str">
        <f>LOOKUP(G209,tblIndicatorScore[Min],tblIndicatorScore[Rating])</f>
        <v>Poor</v>
      </c>
      <c r="I209" s="7">
        <f>LOOKUP(G209,tblIndicatorScore[Min],tblIndicatorScore[Score])</f>
        <v>0</v>
      </c>
      <c r="J209" s="7" t="str">
        <f t="shared" si="14"/>
        <v>No</v>
      </c>
      <c r="K209" s="7" t="str">
        <f t="shared" si="15"/>
        <v>No</v>
      </c>
      <c r="L209" s="7" t="str">
        <f>IFERROR(
IF(K209="Yes","Incomplete",
IF(OR(
J209="Yes",
G209&lt;INDEX(tblParameters[Value],MATCH("MinimumAcceptCompleteness",tblParameters[Parameter],0))
),
"Review",
"Accept")),
"Parameter Error")</f>
        <v>Review</v>
      </c>
    </row>
    <row r="210" spans="1:12" ht="51">
      <c r="A210" s="8" t="str">
        <f>TRIM(SUBSTITUTE(CLEAN(Raw_Data!A210),CHAR(160)," "))</f>
        <v>Abuja Municipal Area Council</v>
      </c>
      <c r="B210" s="8" t="str">
        <f t="array" ref="B210">TRIM(SUBSTITUTE(CLEAN(Raw_Data!B210),CHAR(160)," "))</f>
        <v>Orozo Ward</v>
      </c>
      <c r="C210" s="8" t="str">
        <f t="array" ref="C210">TRIM(SUBSTITUTE(CLEAN(Raw_Data!C210),CHAR(160)," "))</f>
        <v>Kpeyegyi Primary Health Centre</v>
      </c>
      <c r="D210" s="7">
        <f>COUNTA(Raw_Data!D210:CI210)</f>
        <v>51</v>
      </c>
      <c r="E210" s="7">
        <f t="shared" si="12"/>
        <v>33</v>
      </c>
      <c r="F210" s="9">
        <f>INDEX(tblParameters[Value],MATCH("ExpectedValues",tblParameters[Parameter],0))</f>
        <v>84</v>
      </c>
      <c r="G210" s="7">
        <f t="shared" si="13"/>
        <v>0.6071428571428571</v>
      </c>
      <c r="H210" s="7" t="str">
        <f>LOOKUP(G210,tblIndicatorScore[Min],tblIndicatorScore[Rating])</f>
        <v>Poor</v>
      </c>
      <c r="I210" s="7">
        <f>LOOKUP(G210,tblIndicatorScore[Min],tblIndicatorScore[Score])</f>
        <v>0</v>
      </c>
      <c r="J210" s="7" t="str">
        <f t="shared" si="14"/>
        <v>No</v>
      </c>
      <c r="K210" s="7" t="str">
        <f t="shared" si="15"/>
        <v>No</v>
      </c>
      <c r="L210" s="7" t="str">
        <f>IFERROR(
IF(K210="Yes","Incomplete",
IF(OR(
J210="Yes",
G210&lt;INDEX(tblParameters[Value],MATCH("MinimumAcceptCompleteness",tblParameters[Parameter],0))
),
"Review",
"Accept")),
"Parameter Error")</f>
        <v>Review</v>
      </c>
    </row>
    <row r="211" spans="1:12" ht="51">
      <c r="A211" s="8" t="str">
        <f>TRIM(SUBSTITUTE(CLEAN(Raw_Data!A211),CHAR(160)," "))</f>
        <v>Bwari Local Government Area</v>
      </c>
      <c r="B211" s="8" t="str">
        <f t="array" ref="B211">TRIM(SUBSTITUTE(CLEAN(Raw_Data!B211),CHAR(160)," "))</f>
        <v>Usuma Ward</v>
      </c>
      <c r="C211" s="8" t="str">
        <f t="array" ref="C211">TRIM(SUBSTITUTE(CLEAN(Raw_Data!C211),CHAR(160)," "))</f>
        <v>Kubwa General Hospital</v>
      </c>
      <c r="D211" s="7">
        <f>COUNTA(Raw_Data!D211:CI211)</f>
        <v>61</v>
      </c>
      <c r="E211" s="7">
        <f t="shared" si="12"/>
        <v>23</v>
      </c>
      <c r="F211" s="9">
        <f>INDEX(tblParameters[Value],MATCH("ExpectedValues",tblParameters[Parameter],0))</f>
        <v>84</v>
      </c>
      <c r="G211" s="7">
        <f t="shared" si="13"/>
        <v>0.72619047619047616</v>
      </c>
      <c r="H211" s="7" t="str">
        <f>LOOKUP(G211,tblIndicatorScore[Min],tblIndicatorScore[Rating])</f>
        <v>Poor</v>
      </c>
      <c r="I211" s="7">
        <f>LOOKUP(G211,tblIndicatorScore[Min],tblIndicatorScore[Score])</f>
        <v>0</v>
      </c>
      <c r="J211" s="7" t="str">
        <f t="shared" si="14"/>
        <v>No</v>
      </c>
      <c r="K211" s="7" t="str">
        <f t="shared" si="15"/>
        <v>No</v>
      </c>
      <c r="L211" s="7" t="str">
        <f>IFERROR(
IF(K211="Yes","Incomplete",
IF(OR(
J211="Yes",
G211&lt;INDEX(tblParameters[Value],MATCH("MinimumAcceptCompleteness",tblParameters[Parameter],0))
),
"Review",
"Accept")),
"Parameter Error")</f>
        <v>Review</v>
      </c>
    </row>
    <row r="212" spans="1:12" ht="63.75">
      <c r="A212" s="8" t="str">
        <f>TRIM(SUBSTITUTE(CLEAN(Raw_Data!A212),CHAR(160)," "))</f>
        <v>Bwari Local Government Area</v>
      </c>
      <c r="B212" s="8" t="str">
        <f t="array" ref="B212">TRIM(SUBSTITUTE(CLEAN(Raw_Data!B212),CHAR(160)," "))</f>
        <v>Usuma Ward</v>
      </c>
      <c r="C212" s="8" t="str">
        <f t="array" ref="C212">TRIM(SUBSTITUTE(CLEAN(Raw_Data!C212),CHAR(160)," "))</f>
        <v>Kubwa Muslim Community Hospital</v>
      </c>
      <c r="D212" s="7">
        <f>COUNTA(Raw_Data!D212:CI212)</f>
        <v>12</v>
      </c>
      <c r="E212" s="7">
        <f t="shared" si="12"/>
        <v>72</v>
      </c>
      <c r="F212" s="9">
        <f>INDEX(tblParameters[Value],MATCH("ExpectedValues",tblParameters[Parameter],0))</f>
        <v>84</v>
      </c>
      <c r="G212" s="7">
        <f t="shared" si="13"/>
        <v>0.14285714285714285</v>
      </c>
      <c r="H212" s="7" t="str">
        <f>LOOKUP(G212,tblIndicatorScore[Min],tblIndicatorScore[Rating])</f>
        <v>Poor</v>
      </c>
      <c r="I212" s="7">
        <f>LOOKUP(G212,tblIndicatorScore[Min],tblIndicatorScore[Score])</f>
        <v>0</v>
      </c>
      <c r="J212" s="7" t="str">
        <f t="shared" si="14"/>
        <v>No</v>
      </c>
      <c r="K212" s="7" t="str">
        <f t="shared" si="15"/>
        <v>No</v>
      </c>
      <c r="L212" s="7" t="str">
        <f>IFERROR(
IF(K212="Yes","Incomplete",
IF(OR(
J212="Yes",
G212&lt;INDEX(tblParameters[Value],MATCH("MinimumAcceptCompleteness",tblParameters[Parameter],0))
),
"Review",
"Accept")),
"Parameter Error")</f>
        <v>Review</v>
      </c>
    </row>
    <row r="213" spans="1:12" ht="51">
      <c r="A213" s="8" t="str">
        <f>TRIM(SUBSTITUTE(CLEAN(Raw_Data!A213),CHAR(160)," "))</f>
        <v>Bwari Local Government Area</v>
      </c>
      <c r="B213" s="8" t="str">
        <f t="array" ref="B213">TRIM(SUBSTITUTE(CLEAN(Raw_Data!B213),CHAR(160)," "))</f>
        <v>Kubwa Ward</v>
      </c>
      <c r="C213" s="8" t="str">
        <f t="array" ref="C213">TRIM(SUBSTITUTE(CLEAN(Raw_Data!C213),CHAR(160)," "))</f>
        <v>Kubwa Police Hospital</v>
      </c>
      <c r="D213" s="7">
        <f>COUNTA(Raw_Data!D213:CI213)</f>
        <v>46</v>
      </c>
      <c r="E213" s="7">
        <f t="shared" si="12"/>
        <v>38</v>
      </c>
      <c r="F213" s="9">
        <f>INDEX(tblParameters[Value],MATCH("ExpectedValues",tblParameters[Parameter],0))</f>
        <v>84</v>
      </c>
      <c r="G213" s="7">
        <f t="shared" si="13"/>
        <v>0.54761904761904767</v>
      </c>
      <c r="H213" s="7" t="str">
        <f>LOOKUP(G213,tblIndicatorScore[Min],tblIndicatorScore[Rating])</f>
        <v>Poor</v>
      </c>
      <c r="I213" s="7">
        <f>LOOKUP(G213,tblIndicatorScore[Min],tblIndicatorScore[Score])</f>
        <v>0</v>
      </c>
      <c r="J213" s="7" t="str">
        <f t="shared" si="14"/>
        <v>No</v>
      </c>
      <c r="K213" s="7" t="str">
        <f t="shared" si="15"/>
        <v>No</v>
      </c>
      <c r="L213" s="7" t="str">
        <f>IFERROR(
IF(K213="Yes","Incomplete",
IF(OR(
J213="Yes",
G213&lt;INDEX(tblParameters[Value],MATCH("MinimumAcceptCompleteness",tblParameters[Parameter],0))
),
"Review",
"Accept")),
"Parameter Error")</f>
        <v>Review</v>
      </c>
    </row>
    <row r="214" spans="1:12" ht="51">
      <c r="A214" s="8" t="str">
        <f>TRIM(SUBSTITUTE(CLEAN(Raw_Data!A214),CHAR(160)," "))</f>
        <v>Bwari Local Government Area</v>
      </c>
      <c r="B214" s="8" t="str">
        <f t="array" ref="B214">TRIM(SUBSTITUTE(CLEAN(Raw_Data!B214),CHAR(160)," "))</f>
        <v>Byazhin Ward</v>
      </c>
      <c r="C214" s="8" t="str">
        <f t="array" ref="C214">TRIM(SUBSTITUTE(CLEAN(Raw_Data!C214),CHAR(160)," "))</f>
        <v>Kuchibuyi Primary Health Clinic</v>
      </c>
      <c r="D214" s="7">
        <f>COUNTA(Raw_Data!D214:CI214)</f>
        <v>57</v>
      </c>
      <c r="E214" s="7">
        <f t="shared" si="12"/>
        <v>27</v>
      </c>
      <c r="F214" s="9">
        <f>INDEX(tblParameters[Value],MATCH("ExpectedValues",tblParameters[Parameter],0))</f>
        <v>84</v>
      </c>
      <c r="G214" s="7">
        <f t="shared" si="13"/>
        <v>0.6785714285714286</v>
      </c>
      <c r="H214" s="7" t="str">
        <f>LOOKUP(G214,tblIndicatorScore[Min],tblIndicatorScore[Rating])</f>
        <v>Poor</v>
      </c>
      <c r="I214" s="7">
        <f>LOOKUP(G214,tblIndicatorScore[Min],tblIndicatorScore[Score])</f>
        <v>0</v>
      </c>
      <c r="J214" s="7" t="str">
        <f t="shared" si="14"/>
        <v>No</v>
      </c>
      <c r="K214" s="7" t="str">
        <f t="shared" si="15"/>
        <v>No</v>
      </c>
      <c r="L214" s="7" t="str">
        <f>IFERROR(
IF(K214="Yes","Incomplete",
IF(OR(
J214="Yes",
G214&lt;INDEX(tblParameters[Value],MATCH("MinimumAcceptCompleteness",tblParameters[Parameter],0))
),
"Review",
"Accept")),
"Parameter Error")</f>
        <v>Review</v>
      </c>
    </row>
    <row r="215" spans="1:12" ht="51">
      <c r="A215" s="8" t="str">
        <f>TRIM(SUBSTITUTE(CLEAN(Raw_Data!A215),CHAR(160)," "))</f>
        <v>Bwari Local Government Area</v>
      </c>
      <c r="B215" s="8" t="str">
        <f t="array" ref="B215">TRIM(SUBSTITUTE(CLEAN(Raw_Data!B215),CHAR(160)," "))</f>
        <v>Kuduru Ward</v>
      </c>
      <c r="C215" s="8" t="str">
        <f t="array" ref="C215">TRIM(SUBSTITUTE(CLEAN(Raw_Data!C215),CHAR(160)," "))</f>
        <v>Kuchiko Primary Health Clinic</v>
      </c>
      <c r="D215" s="7">
        <f>COUNTA(Raw_Data!D215:CI215)</f>
        <v>58</v>
      </c>
      <c r="E215" s="7">
        <f t="shared" si="12"/>
        <v>26</v>
      </c>
      <c r="F215" s="9">
        <f>INDEX(tblParameters[Value],MATCH("ExpectedValues",tblParameters[Parameter],0))</f>
        <v>84</v>
      </c>
      <c r="G215" s="7">
        <f t="shared" si="13"/>
        <v>0.69047619047619047</v>
      </c>
      <c r="H215" s="7" t="str">
        <f>LOOKUP(G215,tblIndicatorScore[Min],tblIndicatorScore[Rating])</f>
        <v>Poor</v>
      </c>
      <c r="I215" s="7">
        <f>LOOKUP(G215,tblIndicatorScore[Min],tblIndicatorScore[Score])</f>
        <v>0</v>
      </c>
      <c r="J215" s="7" t="str">
        <f t="shared" si="14"/>
        <v>No</v>
      </c>
      <c r="K215" s="7" t="str">
        <f t="shared" si="15"/>
        <v>No</v>
      </c>
      <c r="L215" s="7" t="str">
        <f>IFERROR(
IF(K215="Yes","Incomplete",
IF(OR(
J215="Yes",
G215&lt;INDEX(tblParameters[Value],MATCH("MinimumAcceptCompleteness",tblParameters[Parameter],0))
),
"Review",
"Accept")),
"Parameter Error")</f>
        <v>Review</v>
      </c>
    </row>
    <row r="216" spans="1:12" ht="76.5">
      <c r="A216" s="8" t="str">
        <f>TRIM(SUBSTITUTE(CLEAN(Raw_Data!A216),CHAR(160)," "))</f>
        <v>Abuja Municipal Area Council</v>
      </c>
      <c r="B216" s="8" t="str">
        <f t="array" ref="B216">TRIM(SUBSTITUTE(CLEAN(Raw_Data!B216),CHAR(160)," "))</f>
        <v>Gwarimpa Ward</v>
      </c>
      <c r="C216" s="8" t="str">
        <f t="array" ref="C216">TRIM(SUBSTITUTE(CLEAN(Raw_Data!C216),CHAR(160)," "))</f>
        <v>Kuchingoro Primary Health Care Centre</v>
      </c>
      <c r="D216" s="7">
        <f>COUNTA(Raw_Data!D216:CI216)</f>
        <v>75</v>
      </c>
      <c r="E216" s="7">
        <f t="shared" si="12"/>
        <v>9</v>
      </c>
      <c r="F216" s="9">
        <f>INDEX(tblParameters[Value],MATCH("ExpectedValues",tblParameters[Parameter],0))</f>
        <v>84</v>
      </c>
      <c r="G216" s="7">
        <f t="shared" si="13"/>
        <v>0.8928571428571429</v>
      </c>
      <c r="H216" s="7" t="str">
        <f>LOOKUP(G216,tblIndicatorScore[Min],tblIndicatorScore[Rating])</f>
        <v>Fair</v>
      </c>
      <c r="I216" s="7">
        <f>LOOKUP(G216,tblIndicatorScore[Min],tblIndicatorScore[Score])</f>
        <v>1</v>
      </c>
      <c r="J216" s="7" t="str">
        <f t="shared" si="14"/>
        <v>No</v>
      </c>
      <c r="K216" s="7" t="str">
        <f t="shared" si="15"/>
        <v>No</v>
      </c>
      <c r="L216" s="7" t="str">
        <f>IFERROR(
IF(K216="Yes","Incomplete",
IF(OR(
J216="Yes",
G216&lt;INDEX(tblParameters[Value],MATCH("MinimumAcceptCompleteness",tblParameters[Parameter],0))
),
"Review",
"Accept")),
"Parameter Error")</f>
        <v>Review</v>
      </c>
    </row>
    <row r="217" spans="1:12" ht="51">
      <c r="A217" s="8" t="str">
        <f>TRIM(SUBSTITUTE(CLEAN(Raw_Data!A217),CHAR(160)," "))</f>
        <v>Kuje Local Government Area</v>
      </c>
      <c r="B217" s="8" t="str">
        <f t="array" ref="B217">TRIM(SUBSTITUTE(CLEAN(Raw_Data!B217),CHAR(160)," "))</f>
        <v>Kuje Central Ward</v>
      </c>
      <c r="C217" s="8" t="str">
        <f t="array" ref="C217">TRIM(SUBSTITUTE(CLEAN(Raw_Data!C217),CHAR(160)," "))</f>
        <v>Kuchiyako Primary Health Centre</v>
      </c>
      <c r="D217" s="7">
        <f>COUNTA(Raw_Data!D217:CI217)</f>
        <v>52</v>
      </c>
      <c r="E217" s="7">
        <f t="shared" si="12"/>
        <v>32</v>
      </c>
      <c r="F217" s="9">
        <f>INDEX(tblParameters[Value],MATCH("ExpectedValues",tblParameters[Parameter],0))</f>
        <v>84</v>
      </c>
      <c r="G217" s="7">
        <f t="shared" si="13"/>
        <v>0.61904761904761907</v>
      </c>
      <c r="H217" s="7" t="str">
        <f>LOOKUP(G217,tblIndicatorScore[Min],tblIndicatorScore[Rating])</f>
        <v>Poor</v>
      </c>
      <c r="I217" s="7">
        <f>LOOKUP(G217,tblIndicatorScore[Min],tblIndicatorScore[Score])</f>
        <v>0</v>
      </c>
      <c r="J217" s="7" t="str">
        <f t="shared" si="14"/>
        <v>No</v>
      </c>
      <c r="K217" s="7" t="str">
        <f t="shared" si="15"/>
        <v>No</v>
      </c>
      <c r="L217" s="7" t="str">
        <f>IFERROR(
IF(K217="Yes","Incomplete",
IF(OR(
J217="Yes",
G217&lt;INDEX(tblParameters[Value],MATCH("MinimumAcceptCompleteness",tblParameters[Parameter],0))
),
"Review",
"Accept")),
"Parameter Error")</f>
        <v>Review</v>
      </c>
    </row>
    <row r="218" spans="1:12" ht="51">
      <c r="A218" s="8" t="str">
        <f>TRIM(SUBSTITUTE(CLEAN(Raw_Data!A218),CHAR(160)," "))</f>
        <v>Bwari Local Government Area</v>
      </c>
      <c r="B218" s="8" t="str">
        <f t="array" ref="B218">TRIM(SUBSTITUTE(CLEAN(Raw_Data!B218),CHAR(160)," "))</f>
        <v>Kuduru Ward</v>
      </c>
      <c r="C218" s="8" t="str">
        <f t="array" ref="C218">TRIM(SUBSTITUTE(CLEAN(Raw_Data!C218),CHAR(160)," "))</f>
        <v>Kuduru Primary Health Clinic</v>
      </c>
      <c r="D218" s="7">
        <f>COUNTA(Raw_Data!D218:CI218)</f>
        <v>60</v>
      </c>
      <c r="E218" s="7">
        <f t="shared" si="12"/>
        <v>24</v>
      </c>
      <c r="F218" s="9">
        <f>INDEX(tblParameters[Value],MATCH("ExpectedValues",tblParameters[Parameter],0))</f>
        <v>84</v>
      </c>
      <c r="G218" s="7">
        <f t="shared" si="13"/>
        <v>0.7142857142857143</v>
      </c>
      <c r="H218" s="7" t="str">
        <f>LOOKUP(G218,tblIndicatorScore[Min],tblIndicatorScore[Rating])</f>
        <v>Poor</v>
      </c>
      <c r="I218" s="7">
        <f>LOOKUP(G218,tblIndicatorScore[Min],tblIndicatorScore[Score])</f>
        <v>0</v>
      </c>
      <c r="J218" s="7" t="str">
        <f t="shared" si="14"/>
        <v>No</v>
      </c>
      <c r="K218" s="7" t="str">
        <f t="shared" si="15"/>
        <v>No</v>
      </c>
      <c r="L218" s="7" t="str">
        <f>IFERROR(
IF(K218="Yes","Incomplete",
IF(OR(
J218="Yes",
G218&lt;INDEX(tblParameters[Value],MATCH("MinimumAcceptCompleteness",tblParameters[Parameter],0))
),
"Review",
"Accept")),
"Parameter Error")</f>
        <v>Review</v>
      </c>
    </row>
    <row r="219" spans="1:12" ht="63.75">
      <c r="A219" s="8" t="str">
        <f>TRIM(SUBSTITUTE(CLEAN(Raw_Data!A219),CHAR(160)," "))</f>
        <v>Bwari Local Government Area</v>
      </c>
      <c r="B219" s="8" t="str">
        <f t="array" ref="B219">TRIM(SUBSTITUTE(CLEAN(Raw_Data!B219),CHAR(160)," "))</f>
        <v>Byazhin Ward</v>
      </c>
      <c r="C219" s="8" t="str">
        <f t="array" ref="C219">TRIM(SUBSTITUTE(CLEAN(Raw_Data!C219),CHAR(160)," "))</f>
        <v>Kugbobokun Primary Health Clinic</v>
      </c>
      <c r="D219" s="7">
        <f>COUNTA(Raw_Data!D219:CI219)</f>
        <v>59</v>
      </c>
      <c r="E219" s="7">
        <f t="shared" si="12"/>
        <v>25</v>
      </c>
      <c r="F219" s="9">
        <f>INDEX(tblParameters[Value],MATCH("ExpectedValues",tblParameters[Parameter],0))</f>
        <v>84</v>
      </c>
      <c r="G219" s="7">
        <f t="shared" si="13"/>
        <v>0.70238095238095233</v>
      </c>
      <c r="H219" s="7" t="str">
        <f>LOOKUP(G219,tblIndicatorScore[Min],tblIndicatorScore[Rating])</f>
        <v>Poor</v>
      </c>
      <c r="I219" s="7">
        <f>LOOKUP(G219,tblIndicatorScore[Min],tblIndicatorScore[Score])</f>
        <v>0</v>
      </c>
      <c r="J219" s="7" t="str">
        <f t="shared" si="14"/>
        <v>No</v>
      </c>
      <c r="K219" s="7" t="str">
        <f t="shared" si="15"/>
        <v>No</v>
      </c>
      <c r="L219" s="7" t="str">
        <f>IFERROR(
IF(K219="Yes","Incomplete",
IF(OR(
J219="Yes",
G219&lt;INDEX(tblParameters[Value],MATCH("MinimumAcceptCompleteness",tblParameters[Parameter],0))
),
"Review",
"Accept")),
"Parameter Error")</f>
        <v>Review</v>
      </c>
    </row>
    <row r="220" spans="1:12" ht="51">
      <c r="A220" s="8" t="str">
        <f>TRIM(SUBSTITUTE(CLEAN(Raw_Data!A220),CHAR(160)," "))</f>
        <v>Kuje Local Government Area</v>
      </c>
      <c r="B220" s="8" t="str">
        <f t="array" ref="B220">TRIM(SUBSTITUTE(CLEAN(Raw_Data!B220),CHAR(160)," "))</f>
        <v>Kuje Central Ward</v>
      </c>
      <c r="C220" s="8" t="str">
        <f t="array" ref="C220">TRIM(SUBSTITUTE(CLEAN(Raw_Data!C220),CHAR(160)," "))</f>
        <v>Kuje General Hospital</v>
      </c>
      <c r="D220" s="7">
        <f>COUNTA(Raw_Data!D220:CI220)</f>
        <v>45</v>
      </c>
      <c r="E220" s="7">
        <f t="shared" si="12"/>
        <v>39</v>
      </c>
      <c r="F220" s="9">
        <f>INDEX(tblParameters[Value],MATCH("ExpectedValues",tblParameters[Parameter],0))</f>
        <v>84</v>
      </c>
      <c r="G220" s="7">
        <f t="shared" si="13"/>
        <v>0.5357142857142857</v>
      </c>
      <c r="H220" s="7" t="str">
        <f>LOOKUP(G220,tblIndicatorScore[Min],tblIndicatorScore[Rating])</f>
        <v>Poor</v>
      </c>
      <c r="I220" s="7">
        <f>LOOKUP(G220,tblIndicatorScore[Min],tblIndicatorScore[Score])</f>
        <v>0</v>
      </c>
      <c r="J220" s="7" t="str">
        <f t="shared" si="14"/>
        <v>No</v>
      </c>
      <c r="K220" s="7" t="str">
        <f t="shared" si="15"/>
        <v>No</v>
      </c>
      <c r="L220" s="7" t="str">
        <f>IFERROR(
IF(K220="Yes","Incomplete",
IF(OR(
J220="Yes",
G220&lt;INDEX(tblParameters[Value],MATCH("MinimumAcceptCompleteness",tblParameters[Parameter],0))
),
"Review",
"Accept")),
"Parameter Error")</f>
        <v>Review</v>
      </c>
    </row>
    <row r="221" spans="1:12" ht="51">
      <c r="A221" s="8" t="str">
        <f>TRIM(SUBSTITUTE(CLEAN(Raw_Data!A221),CHAR(160)," "))</f>
        <v>Kuje Local Government Area</v>
      </c>
      <c r="B221" s="8" t="str">
        <f t="array" ref="B221">TRIM(SUBSTITUTE(CLEAN(Raw_Data!B221),CHAR(160)," "))</f>
        <v>Kuje Central Ward</v>
      </c>
      <c r="C221" s="8" t="str">
        <f t="array" ref="C221">TRIM(SUBSTITUTE(CLEAN(Raw_Data!C221),CHAR(160)," "))</f>
        <v>Kuje Primary Health Centre</v>
      </c>
      <c r="D221" s="7">
        <f>COUNTA(Raw_Data!D221:CI221)</f>
        <v>62</v>
      </c>
      <c r="E221" s="7">
        <f t="shared" si="12"/>
        <v>22</v>
      </c>
      <c r="F221" s="9">
        <f>INDEX(tblParameters[Value],MATCH("ExpectedValues",tblParameters[Parameter],0))</f>
        <v>84</v>
      </c>
      <c r="G221" s="7">
        <f t="shared" si="13"/>
        <v>0.73809523809523814</v>
      </c>
      <c r="H221" s="7" t="str">
        <f>LOOKUP(G221,tblIndicatorScore[Min],tblIndicatorScore[Rating])</f>
        <v>Poor</v>
      </c>
      <c r="I221" s="7">
        <f>LOOKUP(G221,tblIndicatorScore[Min],tblIndicatorScore[Score])</f>
        <v>0</v>
      </c>
      <c r="J221" s="7" t="str">
        <f t="shared" si="14"/>
        <v>No</v>
      </c>
      <c r="K221" s="7" t="str">
        <f t="shared" si="15"/>
        <v>No</v>
      </c>
      <c r="L221" s="7" t="str">
        <f>IFERROR(
IF(K221="Yes","Incomplete",
IF(OR(
J221="Yes",
G221&lt;INDEX(tblParameters[Value],MATCH("MinimumAcceptCompleteness",tblParameters[Parameter],0))
),
"Review",
"Accept")),
"Parameter Error")</f>
        <v>Review</v>
      </c>
    </row>
    <row r="222" spans="1:12" ht="51">
      <c r="A222" s="8" t="str">
        <f>TRIM(SUBSTITUTE(CLEAN(Raw_Data!A222),CHAR(160)," "))</f>
        <v>Kuje Local Government Area</v>
      </c>
      <c r="B222" s="8" t="str">
        <f t="array" ref="B222">TRIM(SUBSTITUTE(CLEAN(Raw_Data!B222),CHAR(160)," "))</f>
        <v>Kujekwa Ward</v>
      </c>
      <c r="C222" s="8" t="str">
        <f t="array" ref="C222">TRIM(SUBSTITUTE(CLEAN(Raw_Data!C222),CHAR(160)," "))</f>
        <v>Kujekwa Primary Health Centre</v>
      </c>
      <c r="D222" s="7">
        <f>COUNTA(Raw_Data!D222:CI222)</f>
        <v>56</v>
      </c>
      <c r="E222" s="7">
        <f t="shared" si="12"/>
        <v>28</v>
      </c>
      <c r="F222" s="9">
        <f>INDEX(tblParameters[Value],MATCH("ExpectedValues",tblParameters[Parameter],0))</f>
        <v>84</v>
      </c>
      <c r="G222" s="7">
        <f t="shared" si="13"/>
        <v>0.66666666666666663</v>
      </c>
      <c r="H222" s="7" t="str">
        <f>LOOKUP(G222,tblIndicatorScore[Min],tblIndicatorScore[Rating])</f>
        <v>Poor</v>
      </c>
      <c r="I222" s="7">
        <f>LOOKUP(G222,tblIndicatorScore[Min],tblIndicatorScore[Score])</f>
        <v>0</v>
      </c>
      <c r="J222" s="7" t="str">
        <f t="shared" si="14"/>
        <v>No</v>
      </c>
      <c r="K222" s="7" t="str">
        <f t="shared" si="15"/>
        <v>No</v>
      </c>
      <c r="L222" s="7" t="str">
        <f>IFERROR(
IF(K222="Yes","Incomplete",
IF(OR(
J222="Yes",
G222&lt;INDEX(tblParameters[Value],MATCH("MinimumAcceptCompleteness",tblParameters[Parameter],0))
),
"Review",
"Accept")),
"Parameter Error")</f>
        <v>Review</v>
      </c>
    </row>
    <row r="223" spans="1:12" ht="51">
      <c r="A223" s="8" t="str">
        <f>TRIM(SUBSTITUTE(CLEAN(Raw_Data!A223),CHAR(160)," "))</f>
        <v>Kuje Local Government Area</v>
      </c>
      <c r="B223" s="8" t="str">
        <f t="array" ref="B223">TRIM(SUBSTITUTE(CLEAN(Raw_Data!B223),CHAR(160)," "))</f>
        <v>Rubochi Ward</v>
      </c>
      <c r="C223" s="8" t="str">
        <f t="array" ref="C223">TRIM(SUBSTITUTE(CLEAN(Raw_Data!C223),CHAR(160)," "))</f>
        <v>Kulo Primary Health Centre</v>
      </c>
      <c r="D223" s="7">
        <f>COUNTA(Raw_Data!D223:CI223)</f>
        <v>55</v>
      </c>
      <c r="E223" s="7">
        <f t="shared" si="12"/>
        <v>29</v>
      </c>
      <c r="F223" s="9">
        <f>INDEX(tblParameters[Value],MATCH("ExpectedValues",tblParameters[Parameter],0))</f>
        <v>84</v>
      </c>
      <c r="G223" s="7">
        <f t="shared" si="13"/>
        <v>0.65476190476190477</v>
      </c>
      <c r="H223" s="7" t="str">
        <f>LOOKUP(G223,tblIndicatorScore[Min],tblIndicatorScore[Rating])</f>
        <v>Poor</v>
      </c>
      <c r="I223" s="7">
        <f>LOOKUP(G223,tblIndicatorScore[Min],tblIndicatorScore[Score])</f>
        <v>0</v>
      </c>
      <c r="J223" s="7" t="str">
        <f t="shared" si="14"/>
        <v>No</v>
      </c>
      <c r="K223" s="7" t="str">
        <f t="shared" si="15"/>
        <v>No</v>
      </c>
      <c r="L223" s="7" t="str">
        <f>IFERROR(
IF(K223="Yes","Incomplete",
IF(OR(
J223="Yes",
G223&lt;INDEX(tblParameters[Value],MATCH("MinimumAcceptCompleteness",tblParameters[Parameter],0))
),
"Review",
"Accept")),
"Parameter Error")</f>
        <v>Review</v>
      </c>
    </row>
    <row r="224" spans="1:12" ht="51">
      <c r="A224" s="8" t="str">
        <f>TRIM(SUBSTITUTE(CLEAN(Raw_Data!A224),CHAR(160)," "))</f>
        <v>Kwali Local Government Area</v>
      </c>
      <c r="B224" s="8" t="str">
        <f t="array" ref="B224">TRIM(SUBSTITUTE(CLEAN(Raw_Data!B224),CHAR(160)," "))</f>
        <v>Kundu Ward</v>
      </c>
      <c r="C224" s="8" t="str">
        <f t="array" ref="C224">TRIM(SUBSTITUTE(CLEAN(Raw_Data!C224),CHAR(160)," "))</f>
        <v>Kundu Primary Health Centre</v>
      </c>
      <c r="D224" s="7">
        <f>COUNTA(Raw_Data!D224:CI224)</f>
        <v>63</v>
      </c>
      <c r="E224" s="7">
        <f t="shared" si="12"/>
        <v>21</v>
      </c>
      <c r="F224" s="9">
        <f>INDEX(tblParameters[Value],MATCH("ExpectedValues",tblParameters[Parameter],0))</f>
        <v>84</v>
      </c>
      <c r="G224" s="7">
        <f t="shared" si="13"/>
        <v>0.75</v>
      </c>
      <c r="H224" s="7" t="str">
        <f>LOOKUP(G224,tblIndicatorScore[Min],tblIndicatorScore[Rating])</f>
        <v>Poor</v>
      </c>
      <c r="I224" s="7">
        <f>LOOKUP(G224,tblIndicatorScore[Min],tblIndicatorScore[Score])</f>
        <v>0</v>
      </c>
      <c r="J224" s="7" t="str">
        <f t="shared" si="14"/>
        <v>No</v>
      </c>
      <c r="K224" s="7" t="str">
        <f t="shared" si="15"/>
        <v>No</v>
      </c>
      <c r="L224" s="7" t="str">
        <f>IFERROR(
IF(K224="Yes","Incomplete",
IF(OR(
J224="Yes",
G224&lt;INDEX(tblParameters[Value],MATCH("MinimumAcceptCompleteness",tblParameters[Parameter],0))
),
"Review",
"Accept")),
"Parameter Error")</f>
        <v>Review</v>
      </c>
    </row>
    <row r="225" spans="1:12" ht="76.5">
      <c r="A225" s="8" t="str">
        <f>TRIM(SUBSTITUTE(CLEAN(Raw_Data!A225),CHAR(160)," "))</f>
        <v>Bwari Local Government Area</v>
      </c>
      <c r="B225" s="8" t="str">
        <f t="array" ref="B225">TRIM(SUBSTITUTE(CLEAN(Raw_Data!B225),CHAR(160)," "))</f>
        <v>Kawu Ward</v>
      </c>
      <c r="C225" s="8" t="str">
        <f t="array" ref="C225">TRIM(SUBSTITUTE(CLEAN(Raw_Data!C225),CHAR(160)," "))</f>
        <v>Kurmi Daudu Model Primary Health Centre</v>
      </c>
      <c r="D225" s="7">
        <f>COUNTA(Raw_Data!D225:CI225)</f>
        <v>54</v>
      </c>
      <c r="E225" s="7">
        <f t="shared" si="12"/>
        <v>30</v>
      </c>
      <c r="F225" s="9">
        <f>INDEX(tblParameters[Value],MATCH("ExpectedValues",tblParameters[Parameter],0))</f>
        <v>84</v>
      </c>
      <c r="G225" s="7">
        <f t="shared" si="13"/>
        <v>0.6428571428571429</v>
      </c>
      <c r="H225" s="7" t="str">
        <f>LOOKUP(G225,tblIndicatorScore[Min],tblIndicatorScore[Rating])</f>
        <v>Poor</v>
      </c>
      <c r="I225" s="7">
        <f>LOOKUP(G225,tblIndicatorScore[Min],tblIndicatorScore[Score])</f>
        <v>0</v>
      </c>
      <c r="J225" s="7" t="str">
        <f t="shared" si="14"/>
        <v>No</v>
      </c>
      <c r="K225" s="7" t="str">
        <f t="shared" si="15"/>
        <v>No</v>
      </c>
      <c r="L225" s="7" t="str">
        <f>IFERROR(
IF(K225="Yes","Incomplete",
IF(OR(
J225="Yes",
G225&lt;INDEX(tblParameters[Value],MATCH("MinimumAcceptCompleteness",tblParameters[Parameter],0))
),
"Review",
"Accept")),
"Parameter Error")</f>
        <v>Review</v>
      </c>
    </row>
    <row r="226" spans="1:12" ht="51">
      <c r="A226" s="8" t="str">
        <f>TRIM(SUBSTITUTE(CLEAN(Raw_Data!A226),CHAR(160)," "))</f>
        <v>Abuja Municipal Area Council</v>
      </c>
      <c r="B226" s="8" t="str">
        <f t="array" ref="B226">TRIM(SUBSTITUTE(CLEAN(Raw_Data!B226),CHAR(160)," "))</f>
        <v>Orozo Ward</v>
      </c>
      <c r="C226" s="8" t="str">
        <f t="array" ref="C226">TRIM(SUBSTITUTE(CLEAN(Raw_Data!C226),CHAR(160)," "))</f>
        <v>Kurudu Primary Health Clinic</v>
      </c>
      <c r="D226" s="7">
        <f>COUNTA(Raw_Data!D226:CI226)</f>
        <v>56</v>
      </c>
      <c r="E226" s="7">
        <f t="shared" si="12"/>
        <v>28</v>
      </c>
      <c r="F226" s="9">
        <f>INDEX(tblParameters[Value],MATCH("ExpectedValues",tblParameters[Parameter],0))</f>
        <v>84</v>
      </c>
      <c r="G226" s="7">
        <f t="shared" si="13"/>
        <v>0.66666666666666663</v>
      </c>
      <c r="H226" s="7" t="str">
        <f>LOOKUP(G226,tblIndicatorScore[Min],tblIndicatorScore[Rating])</f>
        <v>Poor</v>
      </c>
      <c r="I226" s="7">
        <f>LOOKUP(G226,tblIndicatorScore[Min],tblIndicatorScore[Score])</f>
        <v>0</v>
      </c>
      <c r="J226" s="7" t="str">
        <f t="shared" si="14"/>
        <v>No</v>
      </c>
      <c r="K226" s="7" t="str">
        <f t="shared" si="15"/>
        <v>No</v>
      </c>
      <c r="L226" s="7" t="str">
        <f>IFERROR(
IF(K226="Yes","Incomplete",
IF(OR(
J226="Yes",
G226&lt;INDEX(tblParameters[Value],MATCH("MinimumAcceptCompleteness",tblParameters[Parameter],0))
),
"Review",
"Accept")),
"Parameter Error")</f>
        <v>Review</v>
      </c>
    </row>
    <row r="227" spans="1:12" ht="51">
      <c r="A227" s="8" t="str">
        <f>TRIM(SUBSTITUTE(CLEAN(Raw_Data!A227),CHAR(160)," "))</f>
        <v>Kuje Local Government Area</v>
      </c>
      <c r="B227" s="8" t="str">
        <f t="array" ref="B227">TRIM(SUBSTITUTE(CLEAN(Raw_Data!B227),CHAR(160)," "))</f>
        <v>Gaube Ward</v>
      </c>
      <c r="C227" s="8" t="str">
        <f t="array" ref="C227">TRIM(SUBSTITUTE(CLEAN(Raw_Data!C227),CHAR(160)," "))</f>
        <v>Kusaki Primary Health Centre</v>
      </c>
      <c r="D227" s="7">
        <f>COUNTA(Raw_Data!D227:CI227)</f>
        <v>54</v>
      </c>
      <c r="E227" s="7">
        <f t="shared" si="12"/>
        <v>30</v>
      </c>
      <c r="F227" s="9">
        <f>INDEX(tblParameters[Value],MATCH("ExpectedValues",tblParameters[Parameter],0))</f>
        <v>84</v>
      </c>
      <c r="G227" s="7">
        <f t="shared" si="13"/>
        <v>0.6428571428571429</v>
      </c>
      <c r="H227" s="7" t="str">
        <f>LOOKUP(G227,tblIndicatorScore[Min],tblIndicatorScore[Rating])</f>
        <v>Poor</v>
      </c>
      <c r="I227" s="7">
        <f>LOOKUP(G227,tblIndicatorScore[Min],tblIndicatorScore[Score])</f>
        <v>0</v>
      </c>
      <c r="J227" s="7" t="str">
        <f t="shared" si="14"/>
        <v>No</v>
      </c>
      <c r="K227" s="7" t="str">
        <f t="shared" si="15"/>
        <v>No</v>
      </c>
      <c r="L227" s="7" t="str">
        <f>IFERROR(
IF(K227="Yes","Incomplete",
IF(OR(
J227="Yes",
G227&lt;INDEX(tblParameters[Value],MATCH("MinimumAcceptCompleteness",tblParameters[Parameter],0))
),
"Review",
"Accept")),
"Parameter Error")</f>
        <v>Review</v>
      </c>
    </row>
    <row r="228" spans="1:12" ht="51">
      <c r="A228" s="8" t="str">
        <f>TRIM(SUBSTITUTE(CLEAN(Raw_Data!A228),CHAR(160)," "))</f>
        <v>Abuja Municipal Area Council</v>
      </c>
      <c r="B228" s="8" t="str">
        <f t="array" ref="B228">TRIM(SUBSTITUTE(CLEAN(Raw_Data!B228),CHAR(160)," "))</f>
        <v>Karshi Ward</v>
      </c>
      <c r="C228" s="8" t="str">
        <f t="array" ref="C228">TRIM(SUBSTITUTE(CLEAN(Raw_Data!C228),CHAR(160)," "))</f>
        <v>Kuseki Primary Health Clinic</v>
      </c>
      <c r="D228" s="7">
        <f>COUNTA(Raw_Data!D228:CI228)</f>
        <v>31</v>
      </c>
      <c r="E228" s="7">
        <f t="shared" si="12"/>
        <v>53</v>
      </c>
      <c r="F228" s="9">
        <f>INDEX(tblParameters[Value],MATCH("ExpectedValues",tblParameters[Parameter],0))</f>
        <v>84</v>
      </c>
      <c r="G228" s="7">
        <f t="shared" si="13"/>
        <v>0.36904761904761907</v>
      </c>
      <c r="H228" s="7" t="str">
        <f>LOOKUP(G228,tblIndicatorScore[Min],tblIndicatorScore[Rating])</f>
        <v>Poor</v>
      </c>
      <c r="I228" s="7">
        <f>LOOKUP(G228,tblIndicatorScore[Min],tblIndicatorScore[Score])</f>
        <v>0</v>
      </c>
      <c r="J228" s="7" t="str">
        <f t="shared" si="14"/>
        <v>No</v>
      </c>
      <c r="K228" s="7" t="str">
        <f t="shared" si="15"/>
        <v>No</v>
      </c>
      <c r="L228" s="7" t="str">
        <f>IFERROR(
IF(K228="Yes","Incomplete",
IF(OR(
J228="Yes",
G228&lt;INDEX(tblParameters[Value],MATCH("MinimumAcceptCompleteness",tblParameters[Parameter],0))
),
"Review",
"Accept")),
"Parameter Error")</f>
        <v>Review</v>
      </c>
    </row>
    <row r="229" spans="1:12" ht="51">
      <c r="A229" s="8" t="str">
        <f>TRIM(SUBSTITUTE(CLEAN(Raw_Data!A229),CHAR(160)," "))</f>
        <v>Kuje Local Government Area</v>
      </c>
      <c r="B229" s="8" t="str">
        <f t="array" ref="B229">TRIM(SUBSTITUTE(CLEAN(Raw_Data!B229),CHAR(160)," "))</f>
        <v>Kabi Ward</v>
      </c>
      <c r="C229" s="8" t="str">
        <f t="array" ref="C229">TRIM(SUBSTITUTE(CLEAN(Raw_Data!C229),CHAR(160)," "))</f>
        <v>Kutada Primary Health Centre</v>
      </c>
      <c r="D229" s="7">
        <f>COUNTA(Raw_Data!D229:CI229)</f>
        <v>42</v>
      </c>
      <c r="E229" s="7">
        <f t="shared" si="12"/>
        <v>42</v>
      </c>
      <c r="F229" s="9">
        <f>INDEX(tblParameters[Value],MATCH("ExpectedValues",tblParameters[Parameter],0))</f>
        <v>84</v>
      </c>
      <c r="G229" s="7">
        <f t="shared" si="13"/>
        <v>0.5</v>
      </c>
      <c r="H229" s="7" t="str">
        <f>LOOKUP(G229,tblIndicatorScore[Min],tblIndicatorScore[Rating])</f>
        <v>Poor</v>
      </c>
      <c r="I229" s="7">
        <f>LOOKUP(G229,tblIndicatorScore[Min],tblIndicatorScore[Score])</f>
        <v>0</v>
      </c>
      <c r="J229" s="7" t="str">
        <f t="shared" si="14"/>
        <v>No</v>
      </c>
      <c r="K229" s="7" t="str">
        <f t="shared" si="15"/>
        <v>No</v>
      </c>
      <c r="L229" s="7" t="str">
        <f>IFERROR(
IF(K229="Yes","Incomplete",
IF(OR(
J229="Yes",
G229&lt;INDEX(tblParameters[Value],MATCH("MinimumAcceptCompleteness",tblParameters[Parameter],0))
),
"Review",
"Accept")),
"Parameter Error")</f>
        <v>Review</v>
      </c>
    </row>
    <row r="230" spans="1:12" ht="51">
      <c r="A230" s="8" t="str">
        <f>TRIM(SUBSTITUTE(CLEAN(Raw_Data!A230),CHAR(160)," "))</f>
        <v>Abaji Local Government Area</v>
      </c>
      <c r="B230" s="8" t="str">
        <f t="array" ref="B230">TRIM(SUBSTITUTE(CLEAN(Raw_Data!B230),CHAR(160)," "))</f>
        <v>Gurdi Ward</v>
      </c>
      <c r="C230" s="8" t="str">
        <f t="array" ref="C230">TRIM(SUBSTITUTE(CLEAN(Raw_Data!C230),CHAR(160)," "))</f>
        <v>Kutara Primary Health Clinic</v>
      </c>
      <c r="D230" s="7">
        <f>COUNTA(Raw_Data!D230:CI230)</f>
        <v>17</v>
      </c>
      <c r="E230" s="7">
        <f t="shared" si="12"/>
        <v>67</v>
      </c>
      <c r="F230" s="9">
        <f>INDEX(tblParameters[Value],MATCH("ExpectedValues",tblParameters[Parameter],0))</f>
        <v>84</v>
      </c>
      <c r="G230" s="7">
        <f t="shared" si="13"/>
        <v>0.20238095238095238</v>
      </c>
      <c r="H230" s="7" t="str">
        <f>LOOKUP(G230,tblIndicatorScore[Min],tblIndicatorScore[Rating])</f>
        <v>Poor</v>
      </c>
      <c r="I230" s="7">
        <f>LOOKUP(G230,tblIndicatorScore[Min],tblIndicatorScore[Score])</f>
        <v>0</v>
      </c>
      <c r="J230" s="7" t="str">
        <f t="shared" si="14"/>
        <v>No</v>
      </c>
      <c r="K230" s="7" t="str">
        <f t="shared" si="15"/>
        <v>No</v>
      </c>
      <c r="L230" s="7" t="str">
        <f>IFERROR(
IF(K230="Yes","Incomplete",
IF(OR(
J230="Yes",
G230&lt;INDEX(tblParameters[Value],MATCH("MinimumAcceptCompleteness",tblParameters[Parameter],0))
),
"Review",
"Accept")),
"Parameter Error")</f>
        <v>Review</v>
      </c>
    </row>
    <row r="231" spans="1:12" ht="51">
      <c r="A231" s="8" t="str">
        <f>TRIM(SUBSTITUTE(CLEAN(Raw_Data!A231),CHAR(160)," "))</f>
        <v>Bwari Local Government Area</v>
      </c>
      <c r="B231" s="8" t="str">
        <f t="array" ref="B231">TRIM(SUBSTITUTE(CLEAN(Raw_Data!B231),CHAR(160)," "))</f>
        <v>Kawu Ward</v>
      </c>
      <c r="C231" s="8" t="str">
        <f t="array" ref="C231">TRIM(SUBSTITUTE(CLEAN(Raw_Data!C231),CHAR(160)," "))</f>
        <v>Kute Primary Health Clinic</v>
      </c>
      <c r="D231" s="7">
        <f>COUNTA(Raw_Data!D231:CI231)</f>
        <v>66</v>
      </c>
      <c r="E231" s="7">
        <f t="shared" si="12"/>
        <v>18</v>
      </c>
      <c r="F231" s="9">
        <f>INDEX(tblParameters[Value],MATCH("ExpectedValues",tblParameters[Parameter],0))</f>
        <v>84</v>
      </c>
      <c r="G231" s="7">
        <f t="shared" si="13"/>
        <v>0.7857142857142857</v>
      </c>
      <c r="H231" s="7" t="str">
        <f>LOOKUP(G231,tblIndicatorScore[Min],tblIndicatorScore[Rating])</f>
        <v>Poor</v>
      </c>
      <c r="I231" s="7">
        <f>LOOKUP(G231,tblIndicatorScore[Min],tblIndicatorScore[Score])</f>
        <v>0</v>
      </c>
      <c r="J231" s="7" t="str">
        <f t="shared" si="14"/>
        <v>No</v>
      </c>
      <c r="K231" s="7" t="str">
        <f t="shared" si="15"/>
        <v>No</v>
      </c>
      <c r="L231" s="7" t="str">
        <f>IFERROR(
IF(K231="Yes","Incomplete",
IF(OR(
J231="Yes",
G231&lt;INDEX(tblParameters[Value],MATCH("MinimumAcceptCompleteness",tblParameters[Parameter],0))
),
"Review",
"Accept")),
"Parameter Error")</f>
        <v>Review</v>
      </c>
    </row>
    <row r="232" spans="1:12" ht="51">
      <c r="A232" s="8" t="str">
        <f>TRIM(SUBSTITUTE(CLEAN(Raw_Data!A232),CHAR(160)," "))</f>
        <v>Gwagwalada Local Government Area</v>
      </c>
      <c r="B232" s="8" t="str">
        <f t="array" ref="B232">TRIM(SUBSTITUTE(CLEAN(Raw_Data!B232),CHAR(160)," "))</f>
        <v>Kutunku Ward</v>
      </c>
      <c r="C232" s="8" t="str">
        <f t="array" ref="C232">TRIM(SUBSTITUTE(CLEAN(Raw_Data!C232),CHAR(160)," "))</f>
        <v>Kutunku 2 Primary Health Clinic</v>
      </c>
      <c r="D232" s="7">
        <f>COUNTA(Raw_Data!D232:CI232)</f>
        <v>61</v>
      </c>
      <c r="E232" s="7">
        <f t="shared" si="12"/>
        <v>23</v>
      </c>
      <c r="F232" s="9">
        <f>INDEX(tblParameters[Value],MATCH("ExpectedValues",tblParameters[Parameter],0))</f>
        <v>84</v>
      </c>
      <c r="G232" s="7">
        <f t="shared" si="13"/>
        <v>0.72619047619047616</v>
      </c>
      <c r="H232" s="7" t="str">
        <f>LOOKUP(G232,tblIndicatorScore[Min],tblIndicatorScore[Rating])</f>
        <v>Poor</v>
      </c>
      <c r="I232" s="7">
        <f>LOOKUP(G232,tblIndicatorScore[Min],tblIndicatorScore[Score])</f>
        <v>0</v>
      </c>
      <c r="J232" s="7" t="str">
        <f t="shared" si="14"/>
        <v>No</v>
      </c>
      <c r="K232" s="7" t="str">
        <f t="shared" si="15"/>
        <v>No</v>
      </c>
      <c r="L232" s="7" t="str">
        <f>IFERROR(
IF(K232="Yes","Incomplete",
IF(OR(
J232="Yes",
G232&lt;INDEX(tblParameters[Value],MATCH("MinimumAcceptCompleteness",tblParameters[Parameter],0))
),
"Review",
"Accept")),
"Parameter Error")</f>
        <v>Review</v>
      </c>
    </row>
    <row r="233" spans="1:12" ht="51">
      <c r="A233" s="8" t="str">
        <f>TRIM(SUBSTITUTE(CLEAN(Raw_Data!A233),CHAR(160)," "))</f>
        <v>Kuje Local Government Area</v>
      </c>
      <c r="B233" s="8" t="str">
        <f t="array" ref="B233">TRIM(SUBSTITUTE(CLEAN(Raw_Data!B233),CHAR(160)," "))</f>
        <v>Gaube Ward</v>
      </c>
      <c r="C233" s="8" t="str">
        <f t="array" ref="C233">TRIM(SUBSTITUTE(CLEAN(Raw_Data!C233),CHAR(160)," "))</f>
        <v>Kuwyizhi Primary Health Centre</v>
      </c>
      <c r="D233" s="7">
        <f>COUNTA(Raw_Data!D233:CI233)</f>
        <v>40</v>
      </c>
      <c r="E233" s="7">
        <f t="shared" si="12"/>
        <v>44</v>
      </c>
      <c r="F233" s="9">
        <f>INDEX(tblParameters[Value],MATCH("ExpectedValues",tblParameters[Parameter],0))</f>
        <v>84</v>
      </c>
      <c r="G233" s="7">
        <f t="shared" si="13"/>
        <v>0.47619047619047616</v>
      </c>
      <c r="H233" s="7" t="str">
        <f>LOOKUP(G233,tblIndicatorScore[Min],tblIndicatorScore[Rating])</f>
        <v>Poor</v>
      </c>
      <c r="I233" s="7">
        <f>LOOKUP(G233,tblIndicatorScore[Min],tblIndicatorScore[Score])</f>
        <v>0</v>
      </c>
      <c r="J233" s="7" t="str">
        <f t="shared" si="14"/>
        <v>No</v>
      </c>
      <c r="K233" s="7" t="str">
        <f t="shared" si="15"/>
        <v>No</v>
      </c>
      <c r="L233" s="7" t="str">
        <f>IFERROR(
IF(K233="Yes","Incomplete",
IF(OR(
J233="Yes",
G233&lt;INDEX(tblParameters[Value],MATCH("MinimumAcceptCompleteness",tblParameters[Parameter],0))
),
"Review",
"Accept")),
"Parameter Error")</f>
        <v>Review</v>
      </c>
    </row>
    <row r="234" spans="1:12" ht="63.75">
      <c r="A234" s="8" t="str">
        <f>TRIM(SUBSTITUTE(CLEAN(Raw_Data!A234),CHAR(160)," "))</f>
        <v>Kwali Local Government Area</v>
      </c>
      <c r="B234" s="8" t="str">
        <f t="array" ref="B234">TRIM(SUBSTITUTE(CLEAN(Raw_Data!B234),CHAR(160)," "))</f>
        <v>Gumbo Ward</v>
      </c>
      <c r="C234" s="8" t="str">
        <f t="array" ref="C234">TRIM(SUBSTITUTE(CLEAN(Raw_Data!C234),CHAR(160)," "))</f>
        <v>Kwaita Hausa Primary Health Clinic</v>
      </c>
      <c r="D234" s="7">
        <f>COUNTA(Raw_Data!D234:CI234)</f>
        <v>73</v>
      </c>
      <c r="E234" s="7">
        <f t="shared" si="12"/>
        <v>11</v>
      </c>
      <c r="F234" s="9">
        <f>INDEX(tblParameters[Value],MATCH("ExpectedValues",tblParameters[Parameter],0))</f>
        <v>84</v>
      </c>
      <c r="G234" s="7">
        <f t="shared" si="13"/>
        <v>0.86904761904761907</v>
      </c>
      <c r="H234" s="7" t="str">
        <f>LOOKUP(G234,tblIndicatorScore[Min],tblIndicatorScore[Rating])</f>
        <v>Fair</v>
      </c>
      <c r="I234" s="7">
        <f>LOOKUP(G234,tblIndicatorScore[Min],tblIndicatorScore[Score])</f>
        <v>1</v>
      </c>
      <c r="J234" s="7" t="str">
        <f t="shared" si="14"/>
        <v>No</v>
      </c>
      <c r="K234" s="7" t="str">
        <f t="shared" si="15"/>
        <v>No</v>
      </c>
      <c r="L234" s="7" t="str">
        <f>IFERROR(
IF(K234="Yes","Incomplete",
IF(OR(
J234="Yes",
G234&lt;INDEX(tblParameters[Value],MATCH("MinimumAcceptCompleteness",tblParameters[Parameter],0))
),
"Review",
"Accept")),
"Parameter Error")</f>
        <v>Review</v>
      </c>
    </row>
    <row r="235" spans="1:12" ht="63.75">
      <c r="A235" s="8" t="str">
        <f>TRIM(SUBSTITUTE(CLEAN(Raw_Data!A235),CHAR(160)," "))</f>
        <v>Kwali Local Government Area</v>
      </c>
      <c r="B235" s="8" t="str">
        <f t="array" ref="B235">TRIM(SUBSTITUTE(CLEAN(Raw_Data!B235),CHAR(160)," "))</f>
        <v>Yebu Ward</v>
      </c>
      <c r="C235" s="8" t="str">
        <f t="array" ref="C235">TRIM(SUBSTITUTE(CLEAN(Raw_Data!C235),CHAR(160)," "))</f>
        <v>Kwaita Model Primary Health Centre</v>
      </c>
      <c r="D235" s="7">
        <f>COUNTA(Raw_Data!D235:CI235)</f>
        <v>70</v>
      </c>
      <c r="E235" s="7">
        <f t="shared" si="12"/>
        <v>14</v>
      </c>
      <c r="F235" s="9">
        <f>INDEX(tblParameters[Value],MATCH("ExpectedValues",tblParameters[Parameter],0))</f>
        <v>84</v>
      </c>
      <c r="G235" s="7">
        <f t="shared" si="13"/>
        <v>0.83333333333333337</v>
      </c>
      <c r="H235" s="7" t="str">
        <f>LOOKUP(G235,tblIndicatorScore[Min],tblIndicatorScore[Rating])</f>
        <v>Fair</v>
      </c>
      <c r="I235" s="7">
        <f>LOOKUP(G235,tblIndicatorScore[Min],tblIndicatorScore[Score])</f>
        <v>1</v>
      </c>
      <c r="J235" s="7" t="str">
        <f t="shared" si="14"/>
        <v>No</v>
      </c>
      <c r="K235" s="7" t="str">
        <f t="shared" si="15"/>
        <v>No</v>
      </c>
      <c r="L235" s="7" t="str">
        <f>IFERROR(
IF(K235="Yes","Incomplete",
IF(OR(
J235="Yes",
G235&lt;INDEX(tblParameters[Value],MATCH("MinimumAcceptCompleteness",tblParameters[Parameter],0))
),
"Review",
"Accept")),
"Parameter Error")</f>
        <v>Review</v>
      </c>
    </row>
    <row r="236" spans="1:12" ht="51">
      <c r="A236" s="8" t="str">
        <f>TRIM(SUBSTITUTE(CLEAN(Raw_Data!A236),CHAR(160)," "))</f>
        <v>Kuje Local Government Area</v>
      </c>
      <c r="B236" s="8" t="str">
        <f t="array" ref="B236">TRIM(SUBSTITUTE(CLEAN(Raw_Data!B236),CHAR(160)," "))</f>
        <v>Kwaku Ward</v>
      </c>
      <c r="C236" s="8" t="str">
        <f t="array" ref="C236">TRIM(SUBSTITUTE(CLEAN(Raw_Data!C236),CHAR(160)," "))</f>
        <v>Kwaku Primary Health Centre</v>
      </c>
      <c r="D236" s="7">
        <f>COUNTA(Raw_Data!D236:CI236)</f>
        <v>61</v>
      </c>
      <c r="E236" s="7">
        <f t="shared" si="12"/>
        <v>23</v>
      </c>
      <c r="F236" s="9">
        <f>INDEX(tblParameters[Value],MATCH("ExpectedValues",tblParameters[Parameter],0))</f>
        <v>84</v>
      </c>
      <c r="G236" s="7">
        <f t="shared" si="13"/>
        <v>0.72619047619047616</v>
      </c>
      <c r="H236" s="7" t="str">
        <f>LOOKUP(G236,tblIndicatorScore[Min],tblIndicatorScore[Rating])</f>
        <v>Poor</v>
      </c>
      <c r="I236" s="7">
        <f>LOOKUP(G236,tblIndicatorScore[Min],tblIndicatorScore[Score])</f>
        <v>0</v>
      </c>
      <c r="J236" s="7" t="str">
        <f t="shared" si="14"/>
        <v>No</v>
      </c>
      <c r="K236" s="7" t="str">
        <f t="shared" si="15"/>
        <v>No</v>
      </c>
      <c r="L236" s="7" t="str">
        <f>IFERROR(
IF(K236="Yes","Incomplete",
IF(OR(
J236="Yes",
G236&lt;INDEX(tblParameters[Value],MATCH("MinimumAcceptCompleteness",tblParameters[Parameter],0))
),
"Review",
"Accept")),
"Parameter Error")</f>
        <v>Review</v>
      </c>
    </row>
    <row r="237" spans="1:12" ht="51">
      <c r="A237" s="8" t="str">
        <f>TRIM(SUBSTITUTE(CLEAN(Raw_Data!A237),CHAR(160)," "))</f>
        <v>Abaji Local Government Area</v>
      </c>
      <c r="B237" s="8" t="str">
        <f t="array" ref="B237">TRIM(SUBSTITUTE(CLEAN(Raw_Data!B237),CHAR(160)," "))</f>
        <v>Gurdi Ward</v>
      </c>
      <c r="C237" s="8" t="str">
        <f t="array" ref="C237">TRIM(SUBSTITUTE(CLEAN(Raw_Data!C237),CHAR(160)," "))</f>
        <v>Kwakwa Primary Health Clinic</v>
      </c>
      <c r="D237" s="7">
        <f>COUNTA(Raw_Data!D237:CI237)</f>
        <v>55</v>
      </c>
      <c r="E237" s="7">
        <f t="shared" si="12"/>
        <v>29</v>
      </c>
      <c r="F237" s="9">
        <f>INDEX(tblParameters[Value],MATCH("ExpectedValues",tblParameters[Parameter],0))</f>
        <v>84</v>
      </c>
      <c r="G237" s="7">
        <f t="shared" si="13"/>
        <v>0.65476190476190477</v>
      </c>
      <c r="H237" s="7" t="str">
        <f>LOOKUP(G237,tblIndicatorScore[Min],tblIndicatorScore[Rating])</f>
        <v>Poor</v>
      </c>
      <c r="I237" s="7">
        <f>LOOKUP(G237,tblIndicatorScore[Min],tblIndicatorScore[Score])</f>
        <v>0</v>
      </c>
      <c r="J237" s="7" t="str">
        <f t="shared" si="14"/>
        <v>No</v>
      </c>
      <c r="K237" s="7" t="str">
        <f t="shared" si="15"/>
        <v>No</v>
      </c>
      <c r="L237" s="7" t="str">
        <f>IFERROR(
IF(K237="Yes","Incomplete",
IF(OR(
J237="Yes",
G237&lt;INDEX(tblParameters[Value],MATCH("MinimumAcceptCompleteness",tblParameters[Parameter],0))
),
"Review",
"Accept")),
"Parameter Error")</f>
        <v>Review</v>
      </c>
    </row>
    <row r="238" spans="1:12" ht="51">
      <c r="A238" s="8" t="str">
        <f>TRIM(SUBSTITUTE(CLEAN(Raw_Data!A238),CHAR(160)," "))</f>
        <v>Kwali Local Government Area</v>
      </c>
      <c r="B238" s="8" t="str">
        <f t="array" ref="B238">TRIM(SUBSTITUTE(CLEAN(Raw_Data!B238),CHAR(160)," "))</f>
        <v>Kwali Ward</v>
      </c>
      <c r="C238" s="8" t="str">
        <f t="array" ref="C238">TRIM(SUBSTITUTE(CLEAN(Raw_Data!C238),CHAR(160)," "))</f>
        <v>Kwali Basic Health Centre</v>
      </c>
      <c r="D238" s="7">
        <f>COUNTA(Raw_Data!D238:CI238)</f>
        <v>65</v>
      </c>
      <c r="E238" s="7">
        <f t="shared" si="12"/>
        <v>19</v>
      </c>
      <c r="F238" s="9">
        <f>INDEX(tblParameters[Value],MATCH("ExpectedValues",tblParameters[Parameter],0))</f>
        <v>84</v>
      </c>
      <c r="G238" s="7">
        <f t="shared" si="13"/>
        <v>0.77380952380952384</v>
      </c>
      <c r="H238" s="7" t="str">
        <f>LOOKUP(G238,tblIndicatorScore[Min],tblIndicatorScore[Rating])</f>
        <v>Poor</v>
      </c>
      <c r="I238" s="7">
        <f>LOOKUP(G238,tblIndicatorScore[Min],tblIndicatorScore[Score])</f>
        <v>0</v>
      </c>
      <c r="J238" s="7" t="str">
        <f t="shared" si="14"/>
        <v>No</v>
      </c>
      <c r="K238" s="7" t="str">
        <f t="shared" si="15"/>
        <v>No</v>
      </c>
      <c r="L238" s="7" t="str">
        <f>IFERROR(
IF(K238="Yes","Incomplete",
IF(OR(
J238="Yes",
G238&lt;INDEX(tblParameters[Value],MATCH("MinimumAcceptCompleteness",tblParameters[Parameter],0))
),
"Review",
"Accept")),
"Parameter Error")</f>
        <v>Review</v>
      </c>
    </row>
    <row r="239" spans="1:12" ht="51">
      <c r="A239" s="8" t="str">
        <f>TRIM(SUBSTITUTE(CLEAN(Raw_Data!A239),CHAR(160)," "))</f>
        <v>Kwali Local Government Area</v>
      </c>
      <c r="B239" s="8" t="str">
        <f t="array" ref="B239">TRIM(SUBSTITUTE(CLEAN(Raw_Data!B239),CHAR(160)," "))</f>
        <v>Kwali Ward</v>
      </c>
      <c r="C239" s="8" t="str">
        <f t="array" ref="C239">TRIM(SUBSTITUTE(CLEAN(Raw_Data!C239),CHAR(160)," "))</f>
        <v>Kwali General Hospital</v>
      </c>
      <c r="D239" s="7">
        <f>COUNTA(Raw_Data!D239:CI239)</f>
        <v>49</v>
      </c>
      <c r="E239" s="7">
        <f t="shared" si="12"/>
        <v>35</v>
      </c>
      <c r="F239" s="9">
        <f>INDEX(tblParameters[Value],MATCH("ExpectedValues",tblParameters[Parameter],0))</f>
        <v>84</v>
      </c>
      <c r="G239" s="7">
        <f t="shared" si="13"/>
        <v>0.58333333333333337</v>
      </c>
      <c r="H239" s="7" t="str">
        <f>LOOKUP(G239,tblIndicatorScore[Min],tblIndicatorScore[Rating])</f>
        <v>Poor</v>
      </c>
      <c r="I239" s="7">
        <f>LOOKUP(G239,tblIndicatorScore[Min],tblIndicatorScore[Score])</f>
        <v>0</v>
      </c>
      <c r="J239" s="7" t="str">
        <f t="shared" si="14"/>
        <v>No</v>
      </c>
      <c r="K239" s="7" t="str">
        <f t="shared" si="15"/>
        <v>No</v>
      </c>
      <c r="L239" s="7" t="str">
        <f>IFERROR(
IF(K239="Yes","Incomplete",
IF(OR(
J239="Yes",
G239&lt;INDEX(tblParameters[Value],MATCH("MinimumAcceptCompleteness",tblParameters[Parameter],0))
),
"Review",
"Accept")),
"Parameter Error")</f>
        <v>Review</v>
      </c>
    </row>
    <row r="240" spans="1:12" ht="51">
      <c r="A240" s="8" t="str">
        <f>TRIM(SUBSTITUTE(CLEAN(Raw_Data!A240),CHAR(160)," "))</f>
        <v>Kuje Local Government Area</v>
      </c>
      <c r="B240" s="8" t="str">
        <f t="array" ref="B240">TRIM(SUBSTITUTE(CLEAN(Raw_Data!B240),CHAR(160)," "))</f>
        <v>Chibiri Ward</v>
      </c>
      <c r="C240" s="8" t="str">
        <f t="array" ref="C240">TRIM(SUBSTITUTE(CLEAN(Raw_Data!C240),CHAR(160)," "))</f>
        <v>Lanto Primary Health Centre</v>
      </c>
      <c r="D240" s="7">
        <f>COUNTA(Raw_Data!D240:CI240)</f>
        <v>58</v>
      </c>
      <c r="E240" s="7">
        <f t="shared" si="12"/>
        <v>26</v>
      </c>
      <c r="F240" s="9">
        <f>INDEX(tblParameters[Value],MATCH("ExpectedValues",tblParameters[Parameter],0))</f>
        <v>84</v>
      </c>
      <c r="G240" s="7">
        <f t="shared" si="13"/>
        <v>0.69047619047619047</v>
      </c>
      <c r="H240" s="7" t="str">
        <f>LOOKUP(G240,tblIndicatorScore[Min],tblIndicatorScore[Rating])</f>
        <v>Poor</v>
      </c>
      <c r="I240" s="7">
        <f>LOOKUP(G240,tblIndicatorScore[Min],tblIndicatorScore[Score])</f>
        <v>0</v>
      </c>
      <c r="J240" s="7" t="str">
        <f t="shared" si="14"/>
        <v>No</v>
      </c>
      <c r="K240" s="7" t="str">
        <f t="shared" si="15"/>
        <v>No</v>
      </c>
      <c r="L240" s="7" t="str">
        <f>IFERROR(
IF(K240="Yes","Incomplete",
IF(OR(
J240="Yes",
G240&lt;INDEX(tblParameters[Value],MATCH("MinimumAcceptCompleteness",tblParameters[Parameter],0))
),
"Review",
"Accept")),
"Parameter Error")</f>
        <v>Review</v>
      </c>
    </row>
    <row r="241" spans="1:12" ht="51">
      <c r="A241" s="8" t="str">
        <f>TRIM(SUBSTITUTE(CLEAN(Raw_Data!A241),CHAR(160)," "))</f>
        <v>Bwari Local Government Area</v>
      </c>
      <c r="B241" s="8" t="str">
        <f t="array" ref="B241">TRIM(SUBSTITUTE(CLEAN(Raw_Data!B241),CHAR(160)," "))</f>
        <v>Bwari Central Ward</v>
      </c>
      <c r="C241" s="8" t="str">
        <f t="array" ref="C241">TRIM(SUBSTITUTE(CLEAN(Raw_Data!C241),CHAR(160)," "))</f>
        <v>Laura Hospital And Maternity</v>
      </c>
      <c r="D241" s="7">
        <f>COUNTA(Raw_Data!D241:CI241)</f>
        <v>3</v>
      </c>
      <c r="E241" s="7">
        <f t="shared" si="12"/>
        <v>81</v>
      </c>
      <c r="F241" s="9">
        <f>INDEX(tblParameters[Value],MATCH("ExpectedValues",tblParameters[Parameter],0))</f>
        <v>84</v>
      </c>
      <c r="G241" s="7">
        <f t="shared" si="13"/>
        <v>3.5714285714285712E-2</v>
      </c>
      <c r="H241" s="7" t="str">
        <f>LOOKUP(G241,tblIndicatorScore[Min],tblIndicatorScore[Rating])</f>
        <v>Poor</v>
      </c>
      <c r="I241" s="7">
        <f>LOOKUP(G241,tblIndicatorScore[Min],tblIndicatorScore[Score])</f>
        <v>0</v>
      </c>
      <c r="J241" s="7" t="str">
        <f t="shared" si="14"/>
        <v>No</v>
      </c>
      <c r="K241" s="7" t="str">
        <f t="shared" si="15"/>
        <v>No</v>
      </c>
      <c r="L241" s="7" t="str">
        <f>IFERROR(
IF(K241="Yes","Incomplete",
IF(OR(
J241="Yes",
G241&lt;INDEX(tblParameters[Value],MATCH("MinimumAcceptCompleteness",tblParameters[Parameter],0))
),
"Review",
"Accept")),
"Parameter Error")</f>
        <v>Review</v>
      </c>
    </row>
    <row r="242" spans="1:12" ht="51">
      <c r="A242" s="8" t="str">
        <f>TRIM(SUBSTITUTE(CLEAN(Raw_Data!A242),CHAR(160)," "))</f>
        <v>Kwali Local Government Area</v>
      </c>
      <c r="B242" s="8" t="str">
        <f t="array" ref="B242">TRIM(SUBSTITUTE(CLEAN(Raw_Data!B242),CHAR(160)," "))</f>
        <v>Yebu Ward</v>
      </c>
      <c r="C242" s="8" t="str">
        <f t="array" ref="C242">TRIM(SUBSTITUTE(CLEAN(Raw_Data!C242),CHAR(160)," "))</f>
        <v>Leda Primary Health Centre</v>
      </c>
      <c r="D242" s="7">
        <f>COUNTA(Raw_Data!D242:CI242)</f>
        <v>50</v>
      </c>
      <c r="E242" s="7">
        <f t="shared" si="12"/>
        <v>34</v>
      </c>
      <c r="F242" s="9">
        <f>INDEX(tblParameters[Value],MATCH("ExpectedValues",tblParameters[Parameter],0))</f>
        <v>84</v>
      </c>
      <c r="G242" s="7">
        <f t="shared" si="13"/>
        <v>0.59523809523809523</v>
      </c>
      <c r="H242" s="7" t="str">
        <f>LOOKUP(G242,tblIndicatorScore[Min],tblIndicatorScore[Rating])</f>
        <v>Poor</v>
      </c>
      <c r="I242" s="7">
        <f>LOOKUP(G242,tblIndicatorScore[Min],tblIndicatorScore[Score])</f>
        <v>0</v>
      </c>
      <c r="J242" s="7" t="str">
        <f t="shared" si="14"/>
        <v>No</v>
      </c>
      <c r="K242" s="7" t="str">
        <f t="shared" si="15"/>
        <v>No</v>
      </c>
      <c r="L242" s="7" t="str">
        <f>IFERROR(
IF(K242="Yes","Incomplete",
IF(OR(
J242="Yes",
G242&lt;INDEX(tblParameters[Value],MATCH("MinimumAcceptCompleteness",tblParameters[Parameter],0))
),
"Review",
"Accept")),
"Parameter Error")</f>
        <v>Review</v>
      </c>
    </row>
    <row r="243" spans="1:12" ht="51">
      <c r="A243" s="8" t="str">
        <f>TRIM(SUBSTITUTE(CLEAN(Raw_Data!A243),CHAR(160)," "))</f>
        <v>Gwagwalada Local Government Area</v>
      </c>
      <c r="B243" s="8" t="str">
        <f t="array" ref="B243">TRIM(SUBSTITUTE(CLEAN(Raw_Data!B243),CHAR(160)," "))</f>
        <v>Dobi Ward</v>
      </c>
      <c r="C243" s="8" t="str">
        <f t="array" ref="C243">TRIM(SUBSTITUTE(CLEAN(Raw_Data!C243),CHAR(160)," "))</f>
        <v>Ledi Primary Health Clinic</v>
      </c>
      <c r="D243" s="7">
        <f>COUNTA(Raw_Data!D243:CI243)</f>
        <v>49</v>
      </c>
      <c r="E243" s="7">
        <f t="shared" si="12"/>
        <v>35</v>
      </c>
      <c r="F243" s="9">
        <f>INDEX(tblParameters[Value],MATCH("ExpectedValues",tblParameters[Parameter],0))</f>
        <v>84</v>
      </c>
      <c r="G243" s="7">
        <f t="shared" si="13"/>
        <v>0.58333333333333337</v>
      </c>
      <c r="H243" s="7" t="str">
        <f>LOOKUP(G243,tblIndicatorScore[Min],tblIndicatorScore[Rating])</f>
        <v>Poor</v>
      </c>
      <c r="I243" s="7">
        <f>LOOKUP(G243,tblIndicatorScore[Min],tblIndicatorScore[Score])</f>
        <v>0</v>
      </c>
      <c r="J243" s="7" t="str">
        <f t="shared" si="14"/>
        <v>No</v>
      </c>
      <c r="K243" s="7" t="str">
        <f t="shared" si="15"/>
        <v>No</v>
      </c>
      <c r="L243" s="7" t="str">
        <f>IFERROR(
IF(K243="Yes","Incomplete",
IF(OR(
J243="Yes",
G243&lt;INDEX(tblParameters[Value],MATCH("MinimumAcceptCompleteness",tblParameters[Parameter],0))
),
"Review",
"Accept")),
"Parameter Error")</f>
        <v>Review</v>
      </c>
    </row>
    <row r="244" spans="1:12" ht="63.75">
      <c r="A244" s="8" t="str">
        <f>TRIM(SUBSTITUTE(CLEAN(Raw_Data!A244),CHAR(160)," "))</f>
        <v>Kwali Local Government Area</v>
      </c>
      <c r="B244" s="8" t="str">
        <f t="array" ref="B244">TRIM(SUBSTITUTE(CLEAN(Raw_Data!B244),CHAR(160)," "))</f>
        <v>Pai Ward</v>
      </c>
      <c r="C244" s="8" t="str">
        <f t="array" ref="C244">TRIM(SUBSTITUTE(CLEAN(Raw_Data!C244),CHAR(160)," "))</f>
        <v>Leleyi Gwari Primary Health Centre</v>
      </c>
      <c r="D244" s="7">
        <f>COUNTA(Raw_Data!D244:CI244)</f>
        <v>59</v>
      </c>
      <c r="E244" s="7">
        <f t="shared" si="12"/>
        <v>25</v>
      </c>
      <c r="F244" s="9">
        <f>INDEX(tblParameters[Value],MATCH("ExpectedValues",tblParameters[Parameter],0))</f>
        <v>84</v>
      </c>
      <c r="G244" s="7">
        <f t="shared" si="13"/>
        <v>0.70238095238095233</v>
      </c>
      <c r="H244" s="7" t="str">
        <f>LOOKUP(G244,tblIndicatorScore[Min],tblIndicatorScore[Rating])</f>
        <v>Poor</v>
      </c>
      <c r="I244" s="7">
        <f>LOOKUP(G244,tblIndicatorScore[Min],tblIndicatorScore[Score])</f>
        <v>0</v>
      </c>
      <c r="J244" s="7" t="str">
        <f t="shared" si="14"/>
        <v>No</v>
      </c>
      <c r="K244" s="7" t="str">
        <f t="shared" si="15"/>
        <v>No</v>
      </c>
      <c r="L244" s="7" t="str">
        <f>IFERROR(
IF(K244="Yes","Incomplete",
IF(OR(
J244="Yes",
G244&lt;INDEX(tblParameters[Value],MATCH("MinimumAcceptCompleteness",tblParameters[Parameter],0))
),
"Review",
"Accept")),
"Parameter Error")</f>
        <v>Review</v>
      </c>
    </row>
    <row r="245" spans="1:12" ht="51">
      <c r="A245" s="8" t="str">
        <f>TRIM(SUBSTITUTE(CLEAN(Raw_Data!A245),CHAR(160)," "))</f>
        <v>Abuja Municipal Area Council</v>
      </c>
      <c r="B245" s="8" t="str">
        <f t="array" ref="B245">TRIM(SUBSTITUTE(CLEAN(Raw_Data!B245),CHAR(160)," "))</f>
        <v>Gwarimpa Ward</v>
      </c>
      <c r="C245" s="8" t="str">
        <f t="array" ref="C245">TRIM(SUBSTITUTE(CLEAN(Raw_Data!C245),CHAR(160)," "))</f>
        <v>Life Point Hospital</v>
      </c>
      <c r="D245" s="7">
        <f>COUNTA(Raw_Data!D245:CI245)</f>
        <v>31</v>
      </c>
      <c r="E245" s="7">
        <f t="shared" si="12"/>
        <v>53</v>
      </c>
      <c r="F245" s="9">
        <f>INDEX(tblParameters[Value],MATCH("ExpectedValues",tblParameters[Parameter],0))</f>
        <v>84</v>
      </c>
      <c r="G245" s="7">
        <f t="shared" si="13"/>
        <v>0.36904761904761907</v>
      </c>
      <c r="H245" s="7" t="str">
        <f>LOOKUP(G245,tblIndicatorScore[Min],tblIndicatorScore[Rating])</f>
        <v>Poor</v>
      </c>
      <c r="I245" s="7">
        <f>LOOKUP(G245,tblIndicatorScore[Min],tblIndicatorScore[Score])</f>
        <v>0</v>
      </c>
      <c r="J245" s="7" t="str">
        <f t="shared" si="14"/>
        <v>No</v>
      </c>
      <c r="K245" s="7" t="str">
        <f t="shared" si="15"/>
        <v>No</v>
      </c>
      <c r="L245" s="7" t="str">
        <f>IFERROR(
IF(K245="Yes","Incomplete",
IF(OR(
J245="Yes",
G245&lt;INDEX(tblParameters[Value],MATCH("MinimumAcceptCompleteness",tblParameters[Parameter],0))
),
"Review",
"Accept")),
"Parameter Error")</f>
        <v>Review</v>
      </c>
    </row>
    <row r="246" spans="1:12" ht="51">
      <c r="A246" s="8" t="str">
        <f>TRIM(SUBSTITUTE(CLEAN(Raw_Data!A246),CHAR(160)," "))</f>
        <v>Abuja Municipal Area Council</v>
      </c>
      <c r="B246" s="8" t="str">
        <f t="array" ref="B246">TRIM(SUBSTITUTE(CLEAN(Raw_Data!B246),CHAR(160)," "))</f>
        <v>City Centre Ward</v>
      </c>
      <c r="C246" s="8" t="str">
        <f t="array" ref="C246">TRIM(SUBSTITUTE(CLEAN(Raw_Data!C246),CHAR(160)," "))</f>
        <v>Limi Hospital</v>
      </c>
      <c r="D246" s="7">
        <f>COUNTA(Raw_Data!D246:CI246)</f>
        <v>47</v>
      </c>
      <c r="E246" s="7">
        <f t="shared" si="12"/>
        <v>37</v>
      </c>
      <c r="F246" s="9">
        <f>INDEX(tblParameters[Value],MATCH("ExpectedValues",tblParameters[Parameter],0))</f>
        <v>84</v>
      </c>
      <c r="G246" s="7">
        <f t="shared" si="13"/>
        <v>0.55952380952380953</v>
      </c>
      <c r="H246" s="7" t="str">
        <f>LOOKUP(G246,tblIndicatorScore[Min],tblIndicatorScore[Rating])</f>
        <v>Poor</v>
      </c>
      <c r="I246" s="7">
        <f>LOOKUP(G246,tblIndicatorScore[Min],tblIndicatorScore[Score])</f>
        <v>0</v>
      </c>
      <c r="J246" s="7" t="str">
        <f t="shared" si="14"/>
        <v>No</v>
      </c>
      <c r="K246" s="7" t="str">
        <f t="shared" si="15"/>
        <v>No</v>
      </c>
      <c r="L246" s="7" t="str">
        <f>IFERROR(
IF(K246="Yes","Incomplete",
IF(OR(
J246="Yes",
G246&lt;INDEX(tblParameters[Value],MATCH("MinimumAcceptCompleteness",tblParameters[Parameter],0))
),
"Review",
"Accept")),
"Parameter Error")</f>
        <v>Review</v>
      </c>
    </row>
    <row r="247" spans="1:12" ht="63.75">
      <c r="A247" s="8" t="str">
        <f>TRIM(SUBSTITUTE(CLEAN(Raw_Data!A247),CHAR(160)," "))</f>
        <v>Gwagwalada Local Government Area</v>
      </c>
      <c r="B247" s="8" t="str">
        <f t="array" ref="B247">TRIM(SUBSTITUTE(CLEAN(Raw_Data!B247),CHAR(160)," "))</f>
        <v>Zuba Ward</v>
      </c>
      <c r="C247" s="8" t="str">
        <f t="array" ref="C247">TRIM(SUBSTITUTE(CLEAN(Raw_Data!C247),CHAR(160)," "))</f>
        <v>Living Rock Hospital and Maternity</v>
      </c>
      <c r="D247" s="7">
        <f>COUNTA(Raw_Data!D247:CI247)</f>
        <v>10</v>
      </c>
      <c r="E247" s="7">
        <f t="shared" si="12"/>
        <v>74</v>
      </c>
      <c r="F247" s="9">
        <f>INDEX(tblParameters[Value],MATCH("ExpectedValues",tblParameters[Parameter],0))</f>
        <v>84</v>
      </c>
      <c r="G247" s="7">
        <f t="shared" si="13"/>
        <v>0.11904761904761904</v>
      </c>
      <c r="H247" s="7" t="str">
        <f>LOOKUP(G247,tblIndicatorScore[Min],tblIndicatorScore[Rating])</f>
        <v>Poor</v>
      </c>
      <c r="I247" s="7">
        <f>LOOKUP(G247,tblIndicatorScore[Min],tblIndicatorScore[Score])</f>
        <v>0</v>
      </c>
      <c r="J247" s="7" t="str">
        <f t="shared" si="14"/>
        <v>No</v>
      </c>
      <c r="K247" s="7" t="str">
        <f t="shared" si="15"/>
        <v>No</v>
      </c>
      <c r="L247" s="7" t="str">
        <f>IFERROR(
IF(K247="Yes","Incomplete",
IF(OR(
J247="Yes",
G247&lt;INDEX(tblParameters[Value],MATCH("MinimumAcceptCompleteness",tblParameters[Parameter],0))
),
"Review",
"Accept")),
"Parameter Error")</f>
        <v>Review</v>
      </c>
    </row>
    <row r="248" spans="1:12" ht="102">
      <c r="A248" s="8" t="str">
        <f>TRIM(SUBSTITUTE(CLEAN(Raw_Data!A248),CHAR(160)," "))</f>
        <v>Gwagwalada Local Government Area</v>
      </c>
      <c r="B248" s="8" t="str">
        <f t="array" ref="B248">TRIM(SUBSTITUTE(CLEAN(Raw_Data!B248),CHAR(160)," "))</f>
        <v>Quarters Ward</v>
      </c>
      <c r="C248" s="8" t="str">
        <f t="array" ref="C248">TRIM(SUBSTITUTE(CLEAN(Raw_Data!C248),CHAR(160)," "))</f>
        <v>Living Stream Specialist Medical Center Phase 3 Gwagwalada</v>
      </c>
      <c r="D248" s="7">
        <f>COUNTA(Raw_Data!D248:CI248)</f>
        <v>40</v>
      </c>
      <c r="E248" s="7">
        <f t="shared" si="12"/>
        <v>44</v>
      </c>
      <c r="F248" s="9">
        <f>INDEX(tblParameters[Value],MATCH("ExpectedValues",tblParameters[Parameter],0))</f>
        <v>84</v>
      </c>
      <c r="G248" s="7">
        <f t="shared" si="13"/>
        <v>0.47619047619047616</v>
      </c>
      <c r="H248" s="7" t="str">
        <f>LOOKUP(G248,tblIndicatorScore[Min],tblIndicatorScore[Rating])</f>
        <v>Poor</v>
      </c>
      <c r="I248" s="7">
        <f>LOOKUP(G248,tblIndicatorScore[Min],tblIndicatorScore[Score])</f>
        <v>0</v>
      </c>
      <c r="J248" s="7" t="str">
        <f t="shared" si="14"/>
        <v>No</v>
      </c>
      <c r="K248" s="7" t="str">
        <f t="shared" si="15"/>
        <v>No</v>
      </c>
      <c r="L248" s="7" t="str">
        <f>IFERROR(
IF(K248="Yes","Incomplete",
IF(OR(
J248="Yes",
G248&lt;INDEX(tblParameters[Value],MATCH("MinimumAcceptCompleteness",tblParameters[Parameter],0))
),
"Review",
"Accept")),
"Parameter Error")</f>
        <v>Review</v>
      </c>
    </row>
    <row r="249" spans="1:12" ht="63.75">
      <c r="A249" s="8" t="str">
        <f>TRIM(SUBSTITUTE(CLEAN(Raw_Data!A249),CHAR(160)," "))</f>
        <v>Abaji Local Government Area</v>
      </c>
      <c r="B249" s="8" t="str">
        <f t="array" ref="B249">TRIM(SUBSTITUTE(CLEAN(Raw_Data!B249),CHAR(160)," "))</f>
        <v>Nuku Sabon Gari Ward</v>
      </c>
      <c r="C249" s="8" t="str">
        <f t="array" ref="C249">TRIM(SUBSTITUTE(CLEAN(Raw_Data!C249),CHAR(160)," "))</f>
        <v>Lowcost -Barrack Primary Health Clinic</v>
      </c>
      <c r="D249" s="7">
        <f>COUNTA(Raw_Data!D249:CI249)</f>
        <v>49</v>
      </c>
      <c r="E249" s="7">
        <f t="shared" si="12"/>
        <v>35</v>
      </c>
      <c r="F249" s="9">
        <f>INDEX(tblParameters[Value],MATCH("ExpectedValues",tblParameters[Parameter],0))</f>
        <v>84</v>
      </c>
      <c r="G249" s="7">
        <f t="shared" si="13"/>
        <v>0.58333333333333337</v>
      </c>
      <c r="H249" s="7" t="str">
        <f>LOOKUP(G249,tblIndicatorScore[Min],tblIndicatorScore[Rating])</f>
        <v>Poor</v>
      </c>
      <c r="I249" s="7">
        <f>LOOKUP(G249,tblIndicatorScore[Min],tblIndicatorScore[Score])</f>
        <v>0</v>
      </c>
      <c r="J249" s="7" t="str">
        <f t="shared" si="14"/>
        <v>No</v>
      </c>
      <c r="K249" s="7" t="str">
        <f t="shared" si="15"/>
        <v>No</v>
      </c>
      <c r="L249" s="7" t="str">
        <f>IFERROR(
IF(K249="Yes","Incomplete",
IF(OR(
J249="Yes",
G249&lt;INDEX(tblParameters[Value],MATCH("MinimumAcceptCompleteness",tblParameters[Parameter],0))
),
"Review",
"Accept")),
"Parameter Error")</f>
        <v>Review</v>
      </c>
    </row>
    <row r="250" spans="1:12" ht="76.5">
      <c r="A250" s="8" t="str">
        <f>TRIM(SUBSTITUTE(CLEAN(Raw_Data!A250),CHAR(160)," "))</f>
        <v>Bwari Local Government Area</v>
      </c>
      <c r="B250" s="8" t="str">
        <f t="array" ref="B250">TRIM(SUBSTITUTE(CLEAN(Raw_Data!B250),CHAR(160)," "))</f>
        <v>Ushafa Ward</v>
      </c>
      <c r="C250" s="8" t="str">
        <f t="array" ref="C250">TRIM(SUBSTITUTE(CLEAN(Raw_Data!C250),CHAR(160)," "))</f>
        <v>Lower Usuma Dam Primary Health Clinic</v>
      </c>
      <c r="D250" s="7">
        <f>COUNTA(Raw_Data!D250:CI250)</f>
        <v>49</v>
      </c>
      <c r="E250" s="7">
        <f t="shared" si="12"/>
        <v>35</v>
      </c>
      <c r="F250" s="9">
        <f>INDEX(tblParameters[Value],MATCH("ExpectedValues",tblParameters[Parameter],0))</f>
        <v>84</v>
      </c>
      <c r="G250" s="7">
        <f t="shared" si="13"/>
        <v>0.58333333333333337</v>
      </c>
      <c r="H250" s="7" t="str">
        <f>LOOKUP(G250,tblIndicatorScore[Min],tblIndicatorScore[Rating])</f>
        <v>Poor</v>
      </c>
      <c r="I250" s="7">
        <f>LOOKUP(G250,tblIndicatorScore[Min],tblIndicatorScore[Score])</f>
        <v>0</v>
      </c>
      <c r="J250" s="7" t="str">
        <f t="shared" si="14"/>
        <v>No</v>
      </c>
      <c r="K250" s="7" t="str">
        <f t="shared" si="15"/>
        <v>No</v>
      </c>
      <c r="L250" s="7" t="str">
        <f>IFERROR(
IF(K250="Yes","Incomplete",
IF(OR(
J250="Yes",
G250&lt;INDEX(tblParameters[Value],MATCH("MinimumAcceptCompleteness",tblParameters[Parameter],0))
),
"Review",
"Accept")),
"Parameter Error")</f>
        <v>Review</v>
      </c>
    </row>
    <row r="251" spans="1:12" ht="63.75">
      <c r="A251" s="8" t="str">
        <f>TRIM(SUBSTITUTE(CLEAN(Raw_Data!A251),CHAR(160)," "))</f>
        <v>Abuja Municipal Area Council</v>
      </c>
      <c r="B251" s="8" t="str">
        <f t="array" ref="B251">TRIM(SUBSTITUTE(CLEAN(Raw_Data!B251),CHAR(160)," "))</f>
        <v>Kabusa Ward</v>
      </c>
      <c r="C251" s="8" t="str">
        <f t="array" ref="C251">TRIM(SUBSTITUTE(CLEAN(Raw_Data!C251),CHAR(160)," "))</f>
        <v>Lugbe Primary Health Care Centre</v>
      </c>
      <c r="D251" s="7">
        <f>COUNTA(Raw_Data!D251:CI251)</f>
        <v>71</v>
      </c>
      <c r="E251" s="7">
        <f t="shared" si="12"/>
        <v>13</v>
      </c>
      <c r="F251" s="9">
        <f>INDEX(tblParameters[Value],MATCH("ExpectedValues",tblParameters[Parameter],0))</f>
        <v>84</v>
      </c>
      <c r="G251" s="7">
        <f t="shared" si="13"/>
        <v>0.84523809523809523</v>
      </c>
      <c r="H251" s="7" t="str">
        <f>LOOKUP(G251,tblIndicatorScore[Min],tblIndicatorScore[Rating])</f>
        <v>Fair</v>
      </c>
      <c r="I251" s="7">
        <f>LOOKUP(G251,tblIndicatorScore[Min],tblIndicatorScore[Score])</f>
        <v>1</v>
      </c>
      <c r="J251" s="7" t="str">
        <f t="shared" si="14"/>
        <v>No</v>
      </c>
      <c r="K251" s="7" t="str">
        <f t="shared" si="15"/>
        <v>No</v>
      </c>
      <c r="L251" s="7" t="str">
        <f>IFERROR(
IF(K251="Yes","Incomplete",
IF(OR(
J251="Yes",
G251&lt;INDEX(tblParameters[Value],MATCH("MinimumAcceptCompleteness",tblParameters[Parameter],0))
),
"Review",
"Accept")),
"Parameter Error")</f>
        <v>Review</v>
      </c>
    </row>
    <row r="252" spans="1:12" ht="51">
      <c r="A252" s="8" t="str">
        <f>TRIM(SUBSTITUTE(CLEAN(Raw_Data!A252),CHAR(160)," "))</f>
        <v>Abuja Municipal Area Council</v>
      </c>
      <c r="B252" s="8" t="str">
        <f t="array" ref="B252">TRIM(SUBSTITUTE(CLEAN(Raw_Data!B252),CHAR(160)," "))</f>
        <v>Gwarimpa Ward</v>
      </c>
      <c r="C252" s="8" t="str">
        <f t="array" ref="C252">TRIM(SUBSTITUTE(CLEAN(Raw_Data!C252),CHAR(160)," "))</f>
        <v>Mabushi Primary Health Centre</v>
      </c>
      <c r="D252" s="7">
        <f>COUNTA(Raw_Data!D252:CI252)</f>
        <v>57</v>
      </c>
      <c r="E252" s="7">
        <f t="shared" si="12"/>
        <v>27</v>
      </c>
      <c r="F252" s="9">
        <f>INDEX(tblParameters[Value],MATCH("ExpectedValues",tblParameters[Parameter],0))</f>
        <v>84</v>
      </c>
      <c r="G252" s="7">
        <f t="shared" si="13"/>
        <v>0.6785714285714286</v>
      </c>
      <c r="H252" s="7" t="str">
        <f>LOOKUP(G252,tblIndicatorScore[Min],tblIndicatorScore[Rating])</f>
        <v>Poor</v>
      </c>
      <c r="I252" s="7">
        <f>LOOKUP(G252,tblIndicatorScore[Min],tblIndicatorScore[Score])</f>
        <v>0</v>
      </c>
      <c r="J252" s="7" t="str">
        <f t="shared" si="14"/>
        <v>No</v>
      </c>
      <c r="K252" s="7" t="str">
        <f t="shared" si="15"/>
        <v>No</v>
      </c>
      <c r="L252" s="7" t="str">
        <f>IFERROR(
IF(K252="Yes","Incomplete",
IF(OR(
J252="Yes",
G252&lt;INDEX(tblParameters[Value],MATCH("MinimumAcceptCompleteness",tblParameters[Parameter],0))
),
"Review",
"Accept")),
"Parameter Error")</f>
        <v>Review</v>
      </c>
    </row>
    <row r="253" spans="1:12" ht="51">
      <c r="A253" s="8" t="str">
        <f>TRIM(SUBSTITUTE(CLEAN(Raw_Data!A253),CHAR(160)," "))</f>
        <v>Kwali Local Government Area</v>
      </c>
      <c r="B253" s="8" t="str">
        <f t="array" ref="B253">TRIM(SUBSTITUTE(CLEAN(Raw_Data!B253),CHAR(160)," "))</f>
        <v>Ashara Ward</v>
      </c>
      <c r="C253" s="8" t="str">
        <f t="array" ref="C253">TRIM(SUBSTITUTE(CLEAN(Raw_Data!C253),CHAR(160)," "))</f>
        <v>Maikwari Primary Health Clinic</v>
      </c>
      <c r="D253" s="7">
        <f>COUNTA(Raw_Data!D253:CI253)</f>
        <v>52</v>
      </c>
      <c r="E253" s="7">
        <f t="shared" si="12"/>
        <v>32</v>
      </c>
      <c r="F253" s="9">
        <f>INDEX(tblParameters[Value],MATCH("ExpectedValues",tblParameters[Parameter],0))</f>
        <v>84</v>
      </c>
      <c r="G253" s="7">
        <f t="shared" si="13"/>
        <v>0.61904761904761907</v>
      </c>
      <c r="H253" s="7" t="str">
        <f>LOOKUP(G253,tblIndicatorScore[Min],tblIndicatorScore[Rating])</f>
        <v>Poor</v>
      </c>
      <c r="I253" s="7">
        <f>LOOKUP(G253,tblIndicatorScore[Min],tblIndicatorScore[Score])</f>
        <v>0</v>
      </c>
      <c r="J253" s="7" t="str">
        <f t="shared" si="14"/>
        <v>No</v>
      </c>
      <c r="K253" s="7" t="str">
        <f t="shared" si="15"/>
        <v>No</v>
      </c>
      <c r="L253" s="7" t="str">
        <f>IFERROR(
IF(K253="Yes","Incomplete",
IF(OR(
J253="Yes",
G253&lt;INDEX(tblParameters[Value],MATCH("MinimumAcceptCompleteness",tblParameters[Parameter],0))
),
"Review",
"Accept")),
"Parameter Error")</f>
        <v>Review</v>
      </c>
    </row>
    <row r="254" spans="1:12" ht="51">
      <c r="A254" s="8" t="str">
        <f>TRIM(SUBSTITUTE(CLEAN(Raw_Data!A254),CHAR(160)," "))</f>
        <v>Abuja Municipal Area Council</v>
      </c>
      <c r="B254" s="8" t="str">
        <f t="array" ref="B254">TRIM(SUBSTITUTE(CLEAN(Raw_Data!B254),CHAR(160)," "))</f>
        <v>Wuse Ward</v>
      </c>
      <c r="C254" s="8" t="str">
        <f t="array" ref="C254">TRIM(SUBSTITUTE(CLEAN(Raw_Data!C254),CHAR(160)," "))</f>
        <v>Maitama General Hospital</v>
      </c>
      <c r="D254" s="7">
        <f>COUNTA(Raw_Data!D254:CI254)</f>
        <v>66</v>
      </c>
      <c r="E254" s="7">
        <f t="shared" si="12"/>
        <v>18</v>
      </c>
      <c r="F254" s="9">
        <f>INDEX(tblParameters[Value],MATCH("ExpectedValues",tblParameters[Parameter],0))</f>
        <v>84</v>
      </c>
      <c r="G254" s="7">
        <f t="shared" si="13"/>
        <v>0.7857142857142857</v>
      </c>
      <c r="H254" s="7" t="str">
        <f>LOOKUP(G254,tblIndicatorScore[Min],tblIndicatorScore[Rating])</f>
        <v>Poor</v>
      </c>
      <c r="I254" s="7">
        <f>LOOKUP(G254,tblIndicatorScore[Min],tblIndicatorScore[Score])</f>
        <v>0</v>
      </c>
      <c r="J254" s="7" t="str">
        <f t="shared" si="14"/>
        <v>No</v>
      </c>
      <c r="K254" s="7" t="str">
        <f t="shared" si="15"/>
        <v>No</v>
      </c>
      <c r="L254" s="7" t="str">
        <f>IFERROR(
IF(K254="Yes","Incomplete",
IF(OR(
J254="Yes",
G254&lt;INDEX(tblParameters[Value],MATCH("MinimumAcceptCompleteness",tblParameters[Parameter],0))
),
"Review",
"Accept")),
"Parameter Error")</f>
        <v>Review</v>
      </c>
    </row>
    <row r="255" spans="1:12" ht="51">
      <c r="A255" s="8" t="str">
        <f>TRIM(SUBSTITUTE(CLEAN(Raw_Data!A255),CHAR(160)," "))</f>
        <v>Abaji Local Government Area</v>
      </c>
      <c r="B255" s="8" t="str">
        <f t="array" ref="B255">TRIM(SUBSTITUTE(CLEAN(Raw_Data!B255),CHAR(160)," "))</f>
        <v>South East Ward</v>
      </c>
      <c r="C255" s="8" t="str">
        <f t="array" ref="C255">TRIM(SUBSTITUTE(CLEAN(Raw_Data!C255),CHAR(160)," "))</f>
        <v>Makana Primary Health Clinic</v>
      </c>
      <c r="D255" s="7">
        <f>COUNTA(Raw_Data!D255:CI255)</f>
        <v>48</v>
      </c>
      <c r="E255" s="7">
        <f t="shared" si="12"/>
        <v>36</v>
      </c>
      <c r="F255" s="9">
        <f>INDEX(tblParameters[Value],MATCH("ExpectedValues",tblParameters[Parameter],0))</f>
        <v>84</v>
      </c>
      <c r="G255" s="7">
        <f t="shared" si="13"/>
        <v>0.5714285714285714</v>
      </c>
      <c r="H255" s="7" t="str">
        <f>LOOKUP(G255,tblIndicatorScore[Min],tblIndicatorScore[Rating])</f>
        <v>Poor</v>
      </c>
      <c r="I255" s="7">
        <f>LOOKUP(G255,tblIndicatorScore[Min],tblIndicatorScore[Score])</f>
        <v>0</v>
      </c>
      <c r="J255" s="7" t="str">
        <f t="shared" si="14"/>
        <v>No</v>
      </c>
      <c r="K255" s="7" t="str">
        <f t="shared" si="15"/>
        <v>No</v>
      </c>
      <c r="L255" s="7" t="str">
        <f>IFERROR(
IF(K255="Yes","Incomplete",
IF(OR(
J255="Yes",
G255&lt;INDEX(tblParameters[Value],MATCH("MinimumAcceptCompleteness",tblParameters[Parameter],0))
),
"Review",
"Accept")),
"Parameter Error")</f>
        <v>Review</v>
      </c>
    </row>
    <row r="256" spans="1:12" ht="51">
      <c r="A256" s="8" t="str">
        <f>TRIM(SUBSTITUTE(CLEAN(Raw_Data!A256),CHAR(160)," "))</f>
        <v>Abaji Local Government Area</v>
      </c>
      <c r="B256" s="8" t="str">
        <f t="array" ref="B256">TRIM(SUBSTITUTE(CLEAN(Raw_Data!B256),CHAR(160)," "))</f>
        <v>Alumamagi Ward</v>
      </c>
      <c r="C256" s="8" t="str">
        <f t="array" ref="C256">TRIM(SUBSTITUTE(CLEAN(Raw_Data!C256),CHAR(160)," "))</f>
        <v>Mamagi Primary Health Clinic</v>
      </c>
      <c r="D256" s="7">
        <f>COUNTA(Raw_Data!D256:CI256)</f>
        <v>60</v>
      </c>
      <c r="E256" s="7">
        <f t="shared" si="12"/>
        <v>24</v>
      </c>
      <c r="F256" s="9">
        <f>INDEX(tblParameters[Value],MATCH("ExpectedValues",tblParameters[Parameter],0))</f>
        <v>84</v>
      </c>
      <c r="G256" s="7">
        <f t="shared" si="13"/>
        <v>0.7142857142857143</v>
      </c>
      <c r="H256" s="7" t="str">
        <f>LOOKUP(G256,tblIndicatorScore[Min],tblIndicatorScore[Rating])</f>
        <v>Poor</v>
      </c>
      <c r="I256" s="7">
        <f>LOOKUP(G256,tblIndicatorScore[Min],tblIndicatorScore[Score])</f>
        <v>0</v>
      </c>
      <c r="J256" s="7" t="str">
        <f t="shared" si="14"/>
        <v>No</v>
      </c>
      <c r="K256" s="7" t="str">
        <f t="shared" si="15"/>
        <v>No</v>
      </c>
      <c r="L256" s="7" t="str">
        <f>IFERROR(
IF(K256="Yes","Incomplete",
IF(OR(
J256="Yes",
G256&lt;INDEX(tblParameters[Value],MATCH("MinimumAcceptCompleteness",tblParameters[Parameter],0))
),
"Review",
"Accept")),
"Parameter Error")</f>
        <v>Review</v>
      </c>
    </row>
    <row r="257" spans="1:12" ht="51">
      <c r="A257" s="8" t="str">
        <f>TRIM(SUBSTITUTE(CLEAN(Raw_Data!A257),CHAR(160)," "))</f>
        <v>Abuja Municipal Area Council</v>
      </c>
      <c r="B257" s="8" t="str">
        <f t="array" ref="B257">TRIM(SUBSTITUTE(CLEAN(Raw_Data!B257),CHAR(160)," "))</f>
        <v>City Centre Ward</v>
      </c>
      <c r="C257" s="8" t="str">
        <f t="array" ref="C257">TRIM(SUBSTITUTE(CLEAN(Raw_Data!C257),CHAR(160)," "))</f>
        <v>Mambilla Barrack Medical Centre</v>
      </c>
      <c r="D257" s="7">
        <f>COUNTA(Raw_Data!D257:CI257)</f>
        <v>29</v>
      </c>
      <c r="E257" s="7">
        <f t="shared" si="12"/>
        <v>55</v>
      </c>
      <c r="F257" s="9">
        <f>INDEX(tblParameters[Value],MATCH("ExpectedValues",tblParameters[Parameter],0))</f>
        <v>84</v>
      </c>
      <c r="G257" s="7">
        <f t="shared" si="13"/>
        <v>0.34523809523809523</v>
      </c>
      <c r="H257" s="7" t="str">
        <f>LOOKUP(G257,tblIndicatorScore[Min],tblIndicatorScore[Rating])</f>
        <v>Poor</v>
      </c>
      <c r="I257" s="7">
        <f>LOOKUP(G257,tblIndicatorScore[Min],tblIndicatorScore[Score])</f>
        <v>0</v>
      </c>
      <c r="J257" s="7" t="str">
        <f t="shared" si="14"/>
        <v>No</v>
      </c>
      <c r="K257" s="7" t="str">
        <f t="shared" si="15"/>
        <v>No</v>
      </c>
      <c r="L257" s="7" t="str">
        <f>IFERROR(
IF(K257="Yes","Incomplete",
IF(OR(
J257="Yes",
G257&lt;INDEX(tblParameters[Value],MATCH("MinimumAcceptCompleteness",tblParameters[Parameter],0))
),
"Review",
"Accept")),
"Parameter Error")</f>
        <v>Review</v>
      </c>
    </row>
    <row r="258" spans="1:12" ht="51">
      <c r="A258" s="8" t="str">
        <f>TRIM(SUBSTITUTE(CLEAN(Raw_Data!A258),CHAR(160)," "))</f>
        <v>Abaji Local Government Area</v>
      </c>
      <c r="B258" s="8" t="str">
        <f t="array" ref="B258">TRIM(SUBSTITUTE(CLEAN(Raw_Data!B258),CHAR(160)," "))</f>
        <v>Nuku Sabon Gari Ward</v>
      </c>
      <c r="C258" s="8" t="str">
        <f t="array" ref="C258">TRIM(SUBSTITUTE(CLEAN(Raw_Data!C258),CHAR(160)," "))</f>
        <v>Manderegi Primary Health Clinic</v>
      </c>
      <c r="D258" s="7">
        <f>COUNTA(Raw_Data!D258:CI258)</f>
        <v>62</v>
      </c>
      <c r="E258" s="7">
        <f t="shared" si="12"/>
        <v>22</v>
      </c>
      <c r="F258" s="9">
        <f>INDEX(tblParameters[Value],MATCH("ExpectedValues",tblParameters[Parameter],0))</f>
        <v>84</v>
      </c>
      <c r="G258" s="7">
        <f t="shared" si="13"/>
        <v>0.73809523809523814</v>
      </c>
      <c r="H258" s="7" t="str">
        <f>LOOKUP(G258,tblIndicatorScore[Min],tblIndicatorScore[Rating])</f>
        <v>Poor</v>
      </c>
      <c r="I258" s="7">
        <f>LOOKUP(G258,tblIndicatorScore[Min],tblIndicatorScore[Score])</f>
        <v>0</v>
      </c>
      <c r="J258" s="7" t="str">
        <f t="shared" si="14"/>
        <v>No</v>
      </c>
      <c r="K258" s="7" t="str">
        <f t="shared" si="15"/>
        <v>No</v>
      </c>
      <c r="L258" s="7" t="str">
        <f>IFERROR(
IF(K258="Yes","Incomplete",
IF(OR(
J258="Yes",
G258&lt;INDEX(tblParameters[Value],MATCH("MinimumAcceptCompleteness",tblParameters[Parameter],0))
),
"Review",
"Accept")),
"Parameter Error")</f>
        <v>Review</v>
      </c>
    </row>
    <row r="259" spans="1:12" ht="51">
      <c r="A259" s="8" t="str">
        <f>TRIM(SUBSTITUTE(CLEAN(Raw_Data!A259),CHAR(160)," "))</f>
        <v>Bwari Local Government Area</v>
      </c>
      <c r="B259" s="8" t="str">
        <f t="array" ref="B259">TRIM(SUBSTITUTE(CLEAN(Raw_Data!B259),CHAR(160)," "))</f>
        <v>Dutse Ward</v>
      </c>
      <c r="C259" s="8" t="str">
        <f t="array" ref="C259">TRIM(SUBSTITUTE(CLEAN(Raw_Data!C259),CHAR(160)," "))</f>
        <v>Mapa Primary Health Clinic</v>
      </c>
      <c r="D259" s="7">
        <f>COUNTA(Raw_Data!D259:CI259)</f>
        <v>46</v>
      </c>
      <c r="E259" s="7">
        <f t="shared" ref="E259:E322" si="16">F259-D259</f>
        <v>38</v>
      </c>
      <c r="F259" s="9">
        <f>INDEX(tblParameters[Value],MATCH("ExpectedValues",tblParameters[Parameter],0))</f>
        <v>84</v>
      </c>
      <c r="G259" s="7">
        <f t="shared" ref="G259:G322" si="17">D259/F259</f>
        <v>0.54761904761904767</v>
      </c>
      <c r="H259" s="7" t="str">
        <f>LOOKUP(G259,tblIndicatorScore[Min],tblIndicatorScore[Rating])</f>
        <v>Poor</v>
      </c>
      <c r="I259" s="7">
        <f>LOOKUP(G259,tblIndicatorScore[Min],tblIndicatorScore[Score])</f>
        <v>0</v>
      </c>
      <c r="J259" s="7" t="str">
        <f t="shared" ref="J259:J322" si="18">IF(OR(A259="",B259="",C259=""),"",IF(COUNTIFS($A:$A,A259,$B:$B,B259,$C:$C,C259)&gt;1,"Yes","No"))</f>
        <v>No</v>
      </c>
      <c r="K259" s="7" t="str">
        <f t="shared" ref="K259:K322" si="19">IF(OR(TRIM(A259)="",TRIM(B259)="",TRIM(C259)="",D259&lt;=0,F259&lt;=0),"Yes","No")</f>
        <v>No</v>
      </c>
      <c r="L259" s="7" t="str">
        <f>IFERROR(
IF(K259="Yes","Incomplete",
IF(OR(
J259="Yes",
G259&lt;INDEX(tblParameters[Value],MATCH("MinimumAcceptCompleteness",tblParameters[Parameter],0))
),
"Review",
"Accept")),
"Parameter Error")</f>
        <v>Review</v>
      </c>
    </row>
    <row r="260" spans="1:12" ht="63.75">
      <c r="A260" s="8" t="str">
        <f>TRIM(SUBSTITUTE(CLEAN(Raw_Data!A260),CHAR(160)," "))</f>
        <v>Abuja Municipal Area Council</v>
      </c>
      <c r="B260" s="8" t="str">
        <f t="array" ref="B260">TRIM(SUBSTITUTE(CLEAN(Raw_Data!B260),CHAR(160)," "))</f>
        <v>Gwagwa Ward</v>
      </c>
      <c r="C260" s="8" t="str">
        <f t="array" ref="C260">TRIM(SUBSTITUTE(CLEAN(Raw_Data!C260),CHAR(160)," "))</f>
        <v>Marvellous Clinic &amp; Maternity { Gwagwa }</v>
      </c>
      <c r="D260" s="7">
        <f>COUNTA(Raw_Data!D260:CI260)</f>
        <v>25</v>
      </c>
      <c r="E260" s="7">
        <f t="shared" si="16"/>
        <v>59</v>
      </c>
      <c r="F260" s="9">
        <f>INDEX(tblParameters[Value],MATCH("ExpectedValues",tblParameters[Parameter],0))</f>
        <v>84</v>
      </c>
      <c r="G260" s="7">
        <f t="shared" si="17"/>
        <v>0.29761904761904762</v>
      </c>
      <c r="H260" s="7" t="str">
        <f>LOOKUP(G260,tblIndicatorScore[Min],tblIndicatorScore[Rating])</f>
        <v>Poor</v>
      </c>
      <c r="I260" s="7">
        <f>LOOKUP(G260,tblIndicatorScore[Min],tblIndicatorScore[Score])</f>
        <v>0</v>
      </c>
      <c r="J260" s="7" t="str">
        <f t="shared" si="18"/>
        <v>No</v>
      </c>
      <c r="K260" s="7" t="str">
        <f t="shared" si="19"/>
        <v>No</v>
      </c>
      <c r="L260" s="7" t="str">
        <f>IFERROR(
IF(K260="Yes","Incomplete",
IF(OR(
J260="Yes",
G260&lt;INDEX(tblParameters[Value],MATCH("MinimumAcceptCompleteness",tblParameters[Parameter],0))
),
"Review",
"Accept")),
"Parameter Error")</f>
        <v>Review</v>
      </c>
    </row>
    <row r="261" spans="1:12" ht="51">
      <c r="A261" s="8" t="str">
        <f>TRIM(SUBSTITUTE(CLEAN(Raw_Data!A261),CHAR(160)," "))</f>
        <v>Abuja Municipal Area Council</v>
      </c>
      <c r="B261" s="8" t="str">
        <f t="array" ref="B261">TRIM(SUBSTITUTE(CLEAN(Raw_Data!B261),CHAR(160)," "))</f>
        <v>Kabusa Ward</v>
      </c>
      <c r="C261" s="8" t="str">
        <f t="array" ref="C261">TRIM(SUBSTITUTE(CLEAN(Raw_Data!C261),CHAR(160)," "))</f>
        <v>Massan Clinic Ltd</v>
      </c>
      <c r="D261" s="7">
        <f>COUNTA(Raw_Data!D261:CI261)</f>
        <v>8</v>
      </c>
      <c r="E261" s="7">
        <f t="shared" si="16"/>
        <v>76</v>
      </c>
      <c r="F261" s="9">
        <f>INDEX(tblParameters[Value],MATCH("ExpectedValues",tblParameters[Parameter],0))</f>
        <v>84</v>
      </c>
      <c r="G261" s="7">
        <f t="shared" si="17"/>
        <v>9.5238095238095233E-2</v>
      </c>
      <c r="H261" s="7" t="str">
        <f>LOOKUP(G261,tblIndicatorScore[Min],tblIndicatorScore[Rating])</f>
        <v>Poor</v>
      </c>
      <c r="I261" s="7">
        <f>LOOKUP(G261,tblIndicatorScore[Min],tblIndicatorScore[Score])</f>
        <v>0</v>
      </c>
      <c r="J261" s="7" t="str">
        <f t="shared" si="18"/>
        <v>No</v>
      </c>
      <c r="K261" s="7" t="str">
        <f t="shared" si="19"/>
        <v>No</v>
      </c>
      <c r="L261" s="7" t="str">
        <f>IFERROR(
IF(K261="Yes","Incomplete",
IF(OR(
J261="Yes",
G261&lt;INDEX(tblParameters[Value],MATCH("MinimumAcceptCompleteness",tblParameters[Parameter],0))
),
"Review",
"Accept")),
"Parameter Error")</f>
        <v>Review</v>
      </c>
    </row>
    <row r="262" spans="1:12" ht="51">
      <c r="A262" s="8" t="str">
        <f>TRIM(SUBSTITUTE(CLEAN(Raw_Data!A262),CHAR(160)," "))</f>
        <v>Abaji Local Government Area</v>
      </c>
      <c r="B262" s="8" t="str">
        <f t="array" ref="B262">TRIM(SUBSTITUTE(CLEAN(Raw_Data!B262),CHAR(160)," "))</f>
        <v>Alumamagi Ward</v>
      </c>
      <c r="C262" s="8" t="str">
        <f t="array" ref="C262">TRIM(SUBSTITUTE(CLEAN(Raw_Data!C262),CHAR(160)," "))</f>
        <v>Mawogi Primary Health Clinic</v>
      </c>
      <c r="D262" s="7">
        <f>COUNTA(Raw_Data!D262:CI262)</f>
        <v>68</v>
      </c>
      <c r="E262" s="7">
        <f t="shared" si="16"/>
        <v>16</v>
      </c>
      <c r="F262" s="9">
        <f>INDEX(tblParameters[Value],MATCH("ExpectedValues",tblParameters[Parameter],0))</f>
        <v>84</v>
      </c>
      <c r="G262" s="7">
        <f t="shared" si="17"/>
        <v>0.80952380952380953</v>
      </c>
      <c r="H262" s="7" t="str">
        <f>LOOKUP(G262,tblIndicatorScore[Min],tblIndicatorScore[Rating])</f>
        <v>Fair</v>
      </c>
      <c r="I262" s="7">
        <f>LOOKUP(G262,tblIndicatorScore[Min],tblIndicatorScore[Score])</f>
        <v>1</v>
      </c>
      <c r="J262" s="7" t="str">
        <f t="shared" si="18"/>
        <v>No</v>
      </c>
      <c r="K262" s="7" t="str">
        <f t="shared" si="19"/>
        <v>No</v>
      </c>
      <c r="L262" s="7" t="str">
        <f>IFERROR(
IF(K262="Yes","Incomplete",
IF(OR(
J262="Yes",
G262&lt;INDEX(tblParameters[Value],MATCH("MinimumAcceptCompleteness",tblParameters[Parameter],0))
),
"Review",
"Accept")),
"Parameter Error")</f>
        <v>Review</v>
      </c>
    </row>
    <row r="263" spans="1:12" ht="114.75">
      <c r="A263" s="8" t="str">
        <f>TRIM(SUBSTITUTE(CLEAN(Raw_Data!A263),CHAR(160)," "))</f>
        <v>Abuja Municipal Area Council</v>
      </c>
      <c r="B263" s="8" t="str">
        <f t="array" ref="B263">TRIM(SUBSTITUTE(CLEAN(Raw_Data!B263),CHAR(160)," "))</f>
        <v>Gui Ward</v>
      </c>
      <c r="C263" s="8" t="str">
        <f t="array" ref="C263">TRIM(SUBSTITUTE(CLEAN(Raw_Data!C263),CHAR(160)," "))</f>
        <v>Medical Missionaries of Mary Clinic and Maternity (Aco-airport Road)</v>
      </c>
      <c r="D263" s="7">
        <f>COUNTA(Raw_Data!D263:CI263)</f>
        <v>76</v>
      </c>
      <c r="E263" s="7">
        <f t="shared" si="16"/>
        <v>8</v>
      </c>
      <c r="F263" s="9">
        <f>INDEX(tblParameters[Value],MATCH("ExpectedValues",tblParameters[Parameter],0))</f>
        <v>84</v>
      </c>
      <c r="G263" s="7">
        <f t="shared" si="17"/>
        <v>0.90476190476190477</v>
      </c>
      <c r="H263" s="7" t="str">
        <f>LOOKUP(G263,tblIndicatorScore[Min],tblIndicatorScore[Rating])</f>
        <v>Good</v>
      </c>
      <c r="I263" s="7">
        <f>LOOKUP(G263,tblIndicatorScore[Min],tblIndicatorScore[Score])</f>
        <v>2</v>
      </c>
      <c r="J263" s="7" t="str">
        <f t="shared" si="18"/>
        <v>No</v>
      </c>
      <c r="K263" s="7" t="str">
        <f t="shared" si="19"/>
        <v>No</v>
      </c>
      <c r="L263" s="7" t="str">
        <f>IFERROR(
IF(K263="Yes","Incomplete",
IF(OR(
J263="Yes",
G263&lt;INDEX(tblParameters[Value],MATCH("MinimumAcceptCompleteness",tblParameters[Parameter],0))
),
"Review",
"Accept")),
"Parameter Error")</f>
        <v>Accept</v>
      </c>
    </row>
    <row r="264" spans="1:12" ht="51">
      <c r="A264" s="8" t="str">
        <f>TRIM(SUBSTITUTE(CLEAN(Raw_Data!A264),CHAR(160)," "))</f>
        <v>Gwagwalada Local Government Area</v>
      </c>
      <c r="B264" s="8" t="str">
        <f t="array" ref="B264">TRIM(SUBSTITUTE(CLEAN(Raw_Data!B264),CHAR(160)," "))</f>
        <v>Tungan Maje Ward</v>
      </c>
      <c r="C264" s="8" t="str">
        <f t="array" ref="C264">TRIM(SUBSTITUTE(CLEAN(Raw_Data!C264),CHAR(160)," "))</f>
        <v>Minat Clinic and Maternity</v>
      </c>
      <c r="D264" s="7">
        <f>COUNTA(Raw_Data!D264:CI264)</f>
        <v>9</v>
      </c>
      <c r="E264" s="7">
        <f t="shared" si="16"/>
        <v>75</v>
      </c>
      <c r="F264" s="9">
        <f>INDEX(tblParameters[Value],MATCH("ExpectedValues",tblParameters[Parameter],0))</f>
        <v>84</v>
      </c>
      <c r="G264" s="7">
        <f t="shared" si="17"/>
        <v>0.10714285714285714</v>
      </c>
      <c r="H264" s="7" t="str">
        <f>LOOKUP(G264,tblIndicatorScore[Min],tblIndicatorScore[Rating])</f>
        <v>Poor</v>
      </c>
      <c r="I264" s="7">
        <f>LOOKUP(G264,tblIndicatorScore[Min],tblIndicatorScore[Score])</f>
        <v>0</v>
      </c>
      <c r="J264" s="7" t="str">
        <f t="shared" si="18"/>
        <v>No</v>
      </c>
      <c r="K264" s="7" t="str">
        <f t="shared" si="19"/>
        <v>No</v>
      </c>
      <c r="L264" s="7" t="str">
        <f>IFERROR(
IF(K264="Yes","Incomplete",
IF(OR(
J264="Yes",
G264&lt;INDEX(tblParameters[Value],MATCH("MinimumAcceptCompleteness",tblParameters[Parameter],0))
),
"Review",
"Accept")),
"Parameter Error")</f>
        <v>Review</v>
      </c>
    </row>
    <row r="265" spans="1:12" ht="51">
      <c r="A265" s="8" t="str">
        <f>TRIM(SUBSTITUTE(CLEAN(Raw_Data!A265),CHAR(160)," "))</f>
        <v>Bwari Local Government Area</v>
      </c>
      <c r="B265" s="8" t="str">
        <f t="array" ref="B265">TRIM(SUBSTITUTE(CLEAN(Raw_Data!B265),CHAR(160)," "))</f>
        <v>Kubwa Ward</v>
      </c>
      <c r="C265" s="8" t="str">
        <f t="array" ref="C265">TRIM(SUBSTITUTE(CLEAN(Raw_Data!C265),CHAR(160)," "))</f>
        <v>Miracle Seed Clinic and Maternity</v>
      </c>
      <c r="D265" s="7">
        <f>COUNTA(Raw_Data!D265:CI265)</f>
        <v>1</v>
      </c>
      <c r="E265" s="7">
        <f t="shared" si="16"/>
        <v>83</v>
      </c>
      <c r="F265" s="9">
        <f>INDEX(tblParameters[Value],MATCH("ExpectedValues",tblParameters[Parameter],0))</f>
        <v>84</v>
      </c>
      <c r="G265" s="7">
        <f t="shared" si="17"/>
        <v>1.1904761904761904E-2</v>
      </c>
      <c r="H265" s="7" t="str">
        <f>LOOKUP(G265,tblIndicatorScore[Min],tblIndicatorScore[Rating])</f>
        <v>Poor</v>
      </c>
      <c r="I265" s="7">
        <f>LOOKUP(G265,tblIndicatorScore[Min],tblIndicatorScore[Score])</f>
        <v>0</v>
      </c>
      <c r="J265" s="7" t="str">
        <f t="shared" si="18"/>
        <v>No</v>
      </c>
      <c r="K265" s="7" t="str">
        <f t="shared" si="19"/>
        <v>No</v>
      </c>
      <c r="L265" s="7" t="str">
        <f>IFERROR(
IF(K265="Yes","Incomplete",
IF(OR(
J265="Yes",
G265&lt;INDEX(tblParameters[Value],MATCH("MinimumAcceptCompleteness",tblParameters[Parameter],0))
),
"Review",
"Accept")),
"Parameter Error")</f>
        <v>Review</v>
      </c>
    </row>
    <row r="266" spans="1:12" ht="63.75">
      <c r="A266" s="8" t="str">
        <f>TRIM(SUBSTITUTE(CLEAN(Raw_Data!A266),CHAR(160)," "))</f>
        <v>Abuja Municipal Area Council</v>
      </c>
      <c r="B266" s="8" t="str">
        <f t="array" ref="B266">TRIM(SUBSTITUTE(CLEAN(Raw_Data!B266),CHAR(160)," "))</f>
        <v>City Centre Ward</v>
      </c>
      <c r="C266" s="8" t="str">
        <f t="array" ref="C266">TRIM(SUBSTITUTE(CLEAN(Raw_Data!C266),CHAR(160)," "))</f>
        <v>Mogadishu (DHQTrs) Medical Centre</v>
      </c>
      <c r="D266" s="7">
        <f>COUNTA(Raw_Data!D266:CI266)</f>
        <v>26</v>
      </c>
      <c r="E266" s="7">
        <f t="shared" si="16"/>
        <v>58</v>
      </c>
      <c r="F266" s="9">
        <f>INDEX(tblParameters[Value],MATCH("ExpectedValues",tblParameters[Parameter],0))</f>
        <v>84</v>
      </c>
      <c r="G266" s="7">
        <f t="shared" si="17"/>
        <v>0.30952380952380953</v>
      </c>
      <c r="H266" s="7" t="str">
        <f>LOOKUP(G266,tblIndicatorScore[Min],tblIndicatorScore[Rating])</f>
        <v>Poor</v>
      </c>
      <c r="I266" s="7">
        <f>LOOKUP(G266,tblIndicatorScore[Min],tblIndicatorScore[Score])</f>
        <v>0</v>
      </c>
      <c r="J266" s="7" t="str">
        <f t="shared" si="18"/>
        <v>No</v>
      </c>
      <c r="K266" s="7" t="str">
        <f t="shared" si="19"/>
        <v>No</v>
      </c>
      <c r="L266" s="7" t="str">
        <f>IFERROR(
IF(K266="Yes","Incomplete",
IF(OR(
J266="Yes",
G266&lt;INDEX(tblParameters[Value],MATCH("MinimumAcceptCompleteness",tblParameters[Parameter],0))
),
"Review",
"Accept")),
"Parameter Error")</f>
        <v>Review</v>
      </c>
    </row>
    <row r="267" spans="1:12" ht="51">
      <c r="A267" s="8" t="str">
        <f>TRIM(SUBSTITUTE(CLEAN(Raw_Data!A267),CHAR(160)," "))</f>
        <v>Bwari Local Government Area</v>
      </c>
      <c r="B267" s="8" t="str">
        <f t="array" ref="B267">TRIM(SUBSTITUTE(CLEAN(Raw_Data!B267),CHAR(160)," "))</f>
        <v>Dutse Ward</v>
      </c>
      <c r="C267" s="8" t="str">
        <f t="array" ref="C267">TRIM(SUBSTITUTE(CLEAN(Raw_Data!C267),CHAR(160)," "))</f>
        <v>Mpape Primary Health Centre</v>
      </c>
      <c r="D267" s="7">
        <f>COUNTA(Raw_Data!D267:CI267)</f>
        <v>71</v>
      </c>
      <c r="E267" s="7">
        <f t="shared" si="16"/>
        <v>13</v>
      </c>
      <c r="F267" s="9">
        <f>INDEX(tblParameters[Value],MATCH("ExpectedValues",tblParameters[Parameter],0))</f>
        <v>84</v>
      </c>
      <c r="G267" s="7">
        <f t="shared" si="17"/>
        <v>0.84523809523809523</v>
      </c>
      <c r="H267" s="7" t="str">
        <f>LOOKUP(G267,tblIndicatorScore[Min],tblIndicatorScore[Rating])</f>
        <v>Fair</v>
      </c>
      <c r="I267" s="7">
        <f>LOOKUP(G267,tblIndicatorScore[Min],tblIndicatorScore[Score])</f>
        <v>1</v>
      </c>
      <c r="J267" s="7" t="str">
        <f t="shared" si="18"/>
        <v>No</v>
      </c>
      <c r="K267" s="7" t="str">
        <f t="shared" si="19"/>
        <v>No</v>
      </c>
      <c r="L267" s="7" t="str">
        <f>IFERROR(
IF(K267="Yes","Incomplete",
IF(OR(
J267="Yes",
G267&lt;INDEX(tblParameters[Value],MATCH("MinimumAcceptCompleteness",tblParameters[Parameter],0))
),
"Review",
"Accept")),
"Parameter Error")</f>
        <v>Review</v>
      </c>
    </row>
    <row r="268" spans="1:12" ht="51">
      <c r="A268" s="8" t="str">
        <f>TRIM(SUBSTITUTE(CLEAN(Raw_Data!A268),CHAR(160)," "))</f>
        <v>Gwagwalada Local Government Area</v>
      </c>
      <c r="B268" s="8" t="str">
        <f t="array" ref="B268">TRIM(SUBSTITUTE(CLEAN(Raw_Data!B268),CHAR(160)," "))</f>
        <v>Central Ward</v>
      </c>
      <c r="C268" s="8" t="str">
        <f t="array" ref="C268">TRIM(SUBSTITUTE(CLEAN(Raw_Data!C268),CHAR(160)," "))</f>
        <v>Mumeen Hospital Ltd</v>
      </c>
      <c r="D268" s="7">
        <f>COUNTA(Raw_Data!D268:CI268)</f>
        <v>28</v>
      </c>
      <c r="E268" s="7">
        <f t="shared" si="16"/>
        <v>56</v>
      </c>
      <c r="F268" s="9">
        <f>INDEX(tblParameters[Value],MATCH("ExpectedValues",tblParameters[Parameter],0))</f>
        <v>84</v>
      </c>
      <c r="G268" s="7">
        <f t="shared" si="17"/>
        <v>0.33333333333333331</v>
      </c>
      <c r="H268" s="7" t="str">
        <f>LOOKUP(G268,tblIndicatorScore[Min],tblIndicatorScore[Rating])</f>
        <v>Poor</v>
      </c>
      <c r="I268" s="7">
        <f>LOOKUP(G268,tblIndicatorScore[Min],tblIndicatorScore[Score])</f>
        <v>0</v>
      </c>
      <c r="J268" s="7" t="str">
        <f t="shared" si="18"/>
        <v>No</v>
      </c>
      <c r="K268" s="7" t="str">
        <f t="shared" si="19"/>
        <v>No</v>
      </c>
      <c r="L268" s="7" t="str">
        <f>IFERROR(
IF(K268="Yes","Incomplete",
IF(OR(
J268="Yes",
G268&lt;INDEX(tblParameters[Value],MATCH("MinimumAcceptCompleteness",tblParameters[Parameter],0))
),
"Review",
"Accept")),
"Parameter Error")</f>
        <v>Review</v>
      </c>
    </row>
    <row r="269" spans="1:12" ht="51">
      <c r="A269" s="8" t="str">
        <f>TRIM(SUBSTITUTE(CLEAN(Raw_Data!A269),CHAR(160)," "))</f>
        <v>Abuja Municipal Area Council</v>
      </c>
      <c r="B269" s="8" t="str">
        <f t="array" ref="B269">TRIM(SUBSTITUTE(CLEAN(Raw_Data!B269),CHAR(160)," "))</f>
        <v>Orozo Ward</v>
      </c>
      <c r="C269" s="8" t="str">
        <f t="array" ref="C269">TRIM(SUBSTITUTE(CLEAN(Raw_Data!C269),CHAR(160)," "))</f>
        <v>Munape Primary Health Centre</v>
      </c>
      <c r="D269" s="7">
        <f>COUNTA(Raw_Data!D269:CI269)</f>
        <v>27</v>
      </c>
      <c r="E269" s="7">
        <f t="shared" si="16"/>
        <v>57</v>
      </c>
      <c r="F269" s="9">
        <f>INDEX(tblParameters[Value],MATCH("ExpectedValues",tblParameters[Parameter],0))</f>
        <v>84</v>
      </c>
      <c r="G269" s="7">
        <f t="shared" si="17"/>
        <v>0.32142857142857145</v>
      </c>
      <c r="H269" s="7" t="str">
        <f>LOOKUP(G269,tblIndicatorScore[Min],tblIndicatorScore[Rating])</f>
        <v>Poor</v>
      </c>
      <c r="I269" s="7">
        <f>LOOKUP(G269,tblIndicatorScore[Min],tblIndicatorScore[Score])</f>
        <v>0</v>
      </c>
      <c r="J269" s="7" t="str">
        <f t="shared" si="18"/>
        <v>No</v>
      </c>
      <c r="K269" s="7" t="str">
        <f t="shared" si="19"/>
        <v>No</v>
      </c>
      <c r="L269" s="7" t="str">
        <f>IFERROR(
IF(K269="Yes","Incomplete",
IF(OR(
J269="Yes",
G269&lt;INDEX(tblParameters[Value],MATCH("MinimumAcceptCompleteness",tblParameters[Parameter],0))
),
"Review",
"Accept")),
"Parameter Error")</f>
        <v>Review</v>
      </c>
    </row>
    <row r="270" spans="1:12" ht="51">
      <c r="A270" s="8" t="str">
        <f>TRIM(SUBSTITUTE(CLEAN(Raw_Data!A270),CHAR(160)," "))</f>
        <v>Abaji Local Government Area</v>
      </c>
      <c r="B270" s="8" t="str">
        <f t="array" ref="B270">TRIM(SUBSTITUTE(CLEAN(Raw_Data!B270),CHAR(160)," "))</f>
        <v>South East Ward</v>
      </c>
      <c r="C270" s="8" t="str">
        <f t="array" ref="C270">TRIM(SUBSTITUTE(CLEAN(Raw_Data!C270),CHAR(160)," "))</f>
        <v>Naharati Primary Heaith Center</v>
      </c>
      <c r="D270" s="7">
        <f>COUNTA(Raw_Data!D270:CI270)</f>
        <v>68</v>
      </c>
      <c r="E270" s="7">
        <f t="shared" si="16"/>
        <v>16</v>
      </c>
      <c r="F270" s="9">
        <f>INDEX(tblParameters[Value],MATCH("ExpectedValues",tblParameters[Parameter],0))</f>
        <v>84</v>
      </c>
      <c r="G270" s="7">
        <f t="shared" si="17"/>
        <v>0.80952380952380953</v>
      </c>
      <c r="H270" s="7" t="str">
        <f>LOOKUP(G270,tblIndicatorScore[Min],tblIndicatorScore[Rating])</f>
        <v>Fair</v>
      </c>
      <c r="I270" s="7">
        <f>LOOKUP(G270,tblIndicatorScore[Min],tblIndicatorScore[Score])</f>
        <v>1</v>
      </c>
      <c r="J270" s="7" t="str">
        <f t="shared" si="18"/>
        <v>No</v>
      </c>
      <c r="K270" s="7" t="str">
        <f t="shared" si="19"/>
        <v>No</v>
      </c>
      <c r="L270" s="7" t="str">
        <f>IFERROR(
IF(K270="Yes","Incomplete",
IF(OR(
J270="Yes",
G270&lt;INDEX(tblParameters[Value],MATCH("MinimumAcceptCompleteness",tblParameters[Parameter],0))
),
"Review",
"Accept")),
"Parameter Error")</f>
        <v>Review</v>
      </c>
    </row>
    <row r="271" spans="1:12" ht="51">
      <c r="A271" s="8" t="str">
        <f>TRIM(SUBSTITUTE(CLEAN(Raw_Data!A271),CHAR(160)," "))</f>
        <v>Abuja Municipal Area Council</v>
      </c>
      <c r="B271" s="8" t="str">
        <f t="array" ref="B271">TRIM(SUBSTITUTE(CLEAN(Raw_Data!B271),CHAR(160)," "))</f>
        <v>Gwarimpa Ward</v>
      </c>
      <c r="C271" s="8" t="str">
        <f t="array" ref="C271">TRIM(SUBSTITUTE(CLEAN(Raw_Data!C271),CHAR(160)," "))</f>
        <v>Nakowa Maternity Home</v>
      </c>
      <c r="D271" s="7">
        <f>COUNTA(Raw_Data!D271:CI271)</f>
        <v>6</v>
      </c>
      <c r="E271" s="7">
        <f t="shared" si="16"/>
        <v>78</v>
      </c>
      <c r="F271" s="9">
        <f>INDEX(tblParameters[Value],MATCH("ExpectedValues",tblParameters[Parameter],0))</f>
        <v>84</v>
      </c>
      <c r="G271" s="7">
        <f t="shared" si="17"/>
        <v>7.1428571428571425E-2</v>
      </c>
      <c r="H271" s="7" t="str">
        <f>LOOKUP(G271,tblIndicatorScore[Min],tblIndicatorScore[Rating])</f>
        <v>Poor</v>
      </c>
      <c r="I271" s="7">
        <f>LOOKUP(G271,tblIndicatorScore[Min],tblIndicatorScore[Score])</f>
        <v>0</v>
      </c>
      <c r="J271" s="7" t="str">
        <f t="shared" si="18"/>
        <v>No</v>
      </c>
      <c r="K271" s="7" t="str">
        <f t="shared" si="19"/>
        <v>No</v>
      </c>
      <c r="L271" s="7" t="str">
        <f>IFERROR(
IF(K271="Yes","Incomplete",
IF(OR(
J271="Yes",
G271&lt;INDEX(tblParameters[Value],MATCH("MinimumAcceptCompleteness",tblParameters[Parameter],0))
),
"Review",
"Accept")),
"Parameter Error")</f>
        <v>Review</v>
      </c>
    </row>
    <row r="272" spans="1:12" ht="51">
      <c r="A272" s="8" t="str">
        <f>TRIM(SUBSTITUTE(CLEAN(Raw_Data!A272),CHAR(160)," "))</f>
        <v>Abaji Local Government Area</v>
      </c>
      <c r="B272" s="8" t="str">
        <f t="array" ref="B272">TRIM(SUBSTITUTE(CLEAN(Raw_Data!B272),CHAR(160)," "))</f>
        <v>Pandagi Agyana Ward</v>
      </c>
      <c r="C272" s="8" t="str">
        <f t="array" ref="C272">TRIM(SUBSTITUTE(CLEAN(Raw_Data!C272),CHAR(160)," "))</f>
        <v>Nanda Primary Health Clinic</v>
      </c>
      <c r="D272" s="7">
        <f>COUNTA(Raw_Data!D272:CI272)</f>
        <v>65</v>
      </c>
      <c r="E272" s="7">
        <f t="shared" si="16"/>
        <v>19</v>
      </c>
      <c r="F272" s="9">
        <f>INDEX(tblParameters[Value],MATCH("ExpectedValues",tblParameters[Parameter],0))</f>
        <v>84</v>
      </c>
      <c r="G272" s="7">
        <f t="shared" si="17"/>
        <v>0.77380952380952384</v>
      </c>
      <c r="H272" s="7" t="str">
        <f>LOOKUP(G272,tblIndicatorScore[Min],tblIndicatorScore[Rating])</f>
        <v>Poor</v>
      </c>
      <c r="I272" s="7">
        <f>LOOKUP(G272,tblIndicatorScore[Min],tblIndicatorScore[Score])</f>
        <v>0</v>
      </c>
      <c r="J272" s="7" t="str">
        <f t="shared" si="18"/>
        <v>No</v>
      </c>
      <c r="K272" s="7" t="str">
        <f t="shared" si="19"/>
        <v>No</v>
      </c>
      <c r="L272" s="7" t="str">
        <f>IFERROR(
IF(K272="Yes","Incomplete",
IF(OR(
J272="Yes",
G272&lt;INDEX(tblParameters[Value],MATCH("MinimumAcceptCompleteness",tblParameters[Parameter],0))
),
"Review",
"Accept")),
"Parameter Error")</f>
        <v>Review</v>
      </c>
    </row>
    <row r="273" spans="1:12" ht="51">
      <c r="A273" s="8" t="str">
        <f>TRIM(SUBSTITUTE(CLEAN(Raw_Data!A273),CHAR(160)," "))</f>
        <v>Abuja Municipal Area Council</v>
      </c>
      <c r="B273" s="8" t="str">
        <f t="array" ref="B273">TRIM(SUBSTITUTE(CLEAN(Raw_Data!B273),CHAR(160)," "))</f>
        <v>City Centre Ward</v>
      </c>
      <c r="C273" s="8" t="str">
        <f t="array" ref="C273">TRIM(SUBSTITUTE(CLEAN(Raw_Data!C273),CHAR(160)," "))</f>
        <v>National Assembly Staff Clinic</v>
      </c>
      <c r="D273" s="7">
        <f>COUNTA(Raw_Data!D273:CI273)</f>
        <v>6</v>
      </c>
      <c r="E273" s="7">
        <f t="shared" si="16"/>
        <v>78</v>
      </c>
      <c r="F273" s="9">
        <f>INDEX(tblParameters[Value],MATCH("ExpectedValues",tblParameters[Parameter],0))</f>
        <v>84</v>
      </c>
      <c r="G273" s="7">
        <f t="shared" si="17"/>
        <v>7.1428571428571425E-2</v>
      </c>
      <c r="H273" s="7" t="str">
        <f>LOOKUP(G273,tblIndicatorScore[Min],tblIndicatorScore[Rating])</f>
        <v>Poor</v>
      </c>
      <c r="I273" s="7">
        <f>LOOKUP(G273,tblIndicatorScore[Min],tblIndicatorScore[Score])</f>
        <v>0</v>
      </c>
      <c r="J273" s="7" t="str">
        <f t="shared" si="18"/>
        <v>No</v>
      </c>
      <c r="K273" s="7" t="str">
        <f t="shared" si="19"/>
        <v>No</v>
      </c>
      <c r="L273" s="7" t="str">
        <f>IFERROR(
IF(K273="Yes","Incomplete",
IF(OR(
J273="Yes",
G273&lt;INDEX(tblParameters[Value],MATCH("MinimumAcceptCompleteness",tblParameters[Parameter],0))
),
"Review",
"Accept")),
"Parameter Error")</f>
        <v>Review</v>
      </c>
    </row>
    <row r="274" spans="1:12" ht="63.75">
      <c r="A274" s="8" t="str">
        <f>TRIM(SUBSTITUTE(CLEAN(Raw_Data!A274),CHAR(160)," "))</f>
        <v>Bwari Local Government Area</v>
      </c>
      <c r="B274" s="8" t="str">
        <f t="array" ref="B274">TRIM(SUBSTITUTE(CLEAN(Raw_Data!B274),CHAR(160)," "))</f>
        <v>Ushafa Ward</v>
      </c>
      <c r="C274" s="8" t="str">
        <f t="array" ref="C274">TRIM(SUBSTITUTE(CLEAN(Raw_Data!C274),CHAR(160)," "))</f>
        <v>National Defence College Clinic (Ushafa)</v>
      </c>
      <c r="D274" s="7">
        <f>COUNTA(Raw_Data!D274:CI274)</f>
        <v>56</v>
      </c>
      <c r="E274" s="7">
        <f t="shared" si="16"/>
        <v>28</v>
      </c>
      <c r="F274" s="9">
        <f>INDEX(tblParameters[Value],MATCH("ExpectedValues",tblParameters[Parameter],0))</f>
        <v>84</v>
      </c>
      <c r="G274" s="7">
        <f t="shared" si="17"/>
        <v>0.66666666666666663</v>
      </c>
      <c r="H274" s="7" t="str">
        <f>LOOKUP(G274,tblIndicatorScore[Min],tblIndicatorScore[Rating])</f>
        <v>Poor</v>
      </c>
      <c r="I274" s="7">
        <f>LOOKUP(G274,tblIndicatorScore[Min],tblIndicatorScore[Score])</f>
        <v>0</v>
      </c>
      <c r="J274" s="7" t="str">
        <f t="shared" si="18"/>
        <v>No</v>
      </c>
      <c r="K274" s="7" t="str">
        <f t="shared" si="19"/>
        <v>No</v>
      </c>
      <c r="L274" s="7" t="str">
        <f>IFERROR(
IF(K274="Yes","Incomplete",
IF(OR(
J274="Yes",
G274&lt;INDEX(tblParameters[Value],MATCH("MinimumAcceptCompleteness",tblParameters[Parameter],0))
),
"Review",
"Accept")),
"Parameter Error")</f>
        <v>Review</v>
      </c>
    </row>
    <row r="275" spans="1:12" ht="51">
      <c r="A275" s="8" t="str">
        <f>TRIM(SUBSTITUTE(CLEAN(Raw_Data!A275),CHAR(160)," "))</f>
        <v>Abuja Municipal Area Council</v>
      </c>
      <c r="B275" s="8" t="str">
        <f t="array" ref="B275">TRIM(SUBSTITUTE(CLEAN(Raw_Data!B275),CHAR(160)," "))</f>
        <v>City Centre Ward</v>
      </c>
      <c r="C275" s="8" t="str">
        <f t="array" ref="C275">TRIM(SUBSTITUTE(CLEAN(Raw_Data!C275),CHAR(160)," "))</f>
        <v>National Hospital (Abuja)</v>
      </c>
      <c r="D275" s="7">
        <f>COUNTA(Raw_Data!D275:CI275)</f>
        <v>17</v>
      </c>
      <c r="E275" s="7">
        <f t="shared" si="16"/>
        <v>67</v>
      </c>
      <c r="F275" s="9">
        <f>INDEX(tblParameters[Value],MATCH("ExpectedValues",tblParameters[Parameter],0))</f>
        <v>84</v>
      </c>
      <c r="G275" s="7">
        <f t="shared" si="17"/>
        <v>0.20238095238095238</v>
      </c>
      <c r="H275" s="7" t="str">
        <f>LOOKUP(G275,tblIndicatorScore[Min],tblIndicatorScore[Rating])</f>
        <v>Poor</v>
      </c>
      <c r="I275" s="7">
        <f>LOOKUP(G275,tblIndicatorScore[Min],tblIndicatorScore[Score])</f>
        <v>0</v>
      </c>
      <c r="J275" s="7" t="str">
        <f t="shared" si="18"/>
        <v>No</v>
      </c>
      <c r="K275" s="7" t="str">
        <f t="shared" si="19"/>
        <v>No</v>
      </c>
      <c r="L275" s="7" t="str">
        <f>IFERROR(
IF(K275="Yes","Incomplete",
IF(OR(
J275="Yes",
G275&lt;INDEX(tblParameters[Value],MATCH("MinimumAcceptCompleteness",tblParameters[Parameter],0))
),
"Review",
"Accept")),
"Parameter Error")</f>
        <v>Review</v>
      </c>
    </row>
    <row r="276" spans="1:12" ht="51">
      <c r="A276" s="8" t="str">
        <f>TRIM(SUBSTITUTE(CLEAN(Raw_Data!A276),CHAR(160)," "))</f>
        <v>Kuje Local Government Area</v>
      </c>
      <c r="B276" s="8" t="str">
        <f t="array" ref="B276">TRIM(SUBSTITUTE(CLEAN(Raw_Data!B276),CHAR(160)," "))</f>
        <v>Gaube Ward</v>
      </c>
      <c r="C276" s="8" t="str">
        <f t="array" ref="C276">TRIM(SUBSTITUTE(CLEAN(Raw_Data!C276),CHAR(160)," "))</f>
        <v>Naval Barracks Hospital</v>
      </c>
      <c r="D276" s="7">
        <f>COUNTA(Raw_Data!D276:CI276)</f>
        <v>35</v>
      </c>
      <c r="E276" s="7">
        <f t="shared" si="16"/>
        <v>49</v>
      </c>
      <c r="F276" s="9">
        <f>INDEX(tblParameters[Value],MATCH("ExpectedValues",tblParameters[Parameter],0))</f>
        <v>84</v>
      </c>
      <c r="G276" s="7">
        <f t="shared" si="17"/>
        <v>0.41666666666666669</v>
      </c>
      <c r="H276" s="7" t="str">
        <f>LOOKUP(G276,tblIndicatorScore[Min],tblIndicatorScore[Rating])</f>
        <v>Poor</v>
      </c>
      <c r="I276" s="7">
        <f>LOOKUP(G276,tblIndicatorScore[Min],tblIndicatorScore[Score])</f>
        <v>0</v>
      </c>
      <c r="J276" s="7" t="str">
        <f t="shared" si="18"/>
        <v>No</v>
      </c>
      <c r="K276" s="7" t="str">
        <f t="shared" si="19"/>
        <v>No</v>
      </c>
      <c r="L276" s="7" t="str">
        <f>IFERROR(
IF(K276="Yes","Incomplete",
IF(OR(
J276="Yes",
G276&lt;INDEX(tblParameters[Value],MATCH("MinimumAcceptCompleteness",tblParameters[Parameter],0))
),
"Review",
"Accept")),
"Parameter Error")</f>
        <v>Review</v>
      </c>
    </row>
    <row r="277" spans="1:12" ht="51">
      <c r="A277" s="8" t="str">
        <f>TRIM(SUBSTITUTE(CLEAN(Raw_Data!A277),CHAR(160)," "))</f>
        <v>Bwari Local Government Area</v>
      </c>
      <c r="B277" s="8" t="str">
        <f t="array" ref="B277">TRIM(SUBSTITUTE(CLEAN(Raw_Data!B277),CHAR(160)," "))</f>
        <v>Ushafa Ward</v>
      </c>
      <c r="C277" s="8" t="str">
        <f t="array" ref="C277">TRIM(SUBSTITUTE(CLEAN(Raw_Data!C277),CHAR(160)," "))</f>
        <v>Nigeria Airforce Clinic</v>
      </c>
      <c r="D277" s="7">
        <f>COUNTA(Raw_Data!D277:CI277)</f>
        <v>53</v>
      </c>
      <c r="E277" s="7">
        <f t="shared" si="16"/>
        <v>31</v>
      </c>
      <c r="F277" s="9">
        <f>INDEX(tblParameters[Value],MATCH("ExpectedValues",tblParameters[Parameter],0))</f>
        <v>84</v>
      </c>
      <c r="G277" s="7">
        <f t="shared" si="17"/>
        <v>0.63095238095238093</v>
      </c>
      <c r="H277" s="7" t="str">
        <f>LOOKUP(G277,tblIndicatorScore[Min],tblIndicatorScore[Rating])</f>
        <v>Poor</v>
      </c>
      <c r="I277" s="7">
        <f>LOOKUP(G277,tblIndicatorScore[Min],tblIndicatorScore[Score])</f>
        <v>0</v>
      </c>
      <c r="J277" s="7" t="str">
        <f t="shared" si="18"/>
        <v>No</v>
      </c>
      <c r="K277" s="7" t="str">
        <f t="shared" si="19"/>
        <v>No</v>
      </c>
      <c r="L277" s="7" t="str">
        <f>IFERROR(
IF(K277="Yes","Incomplete",
IF(OR(
J277="Yes",
G277&lt;INDEX(tblParameters[Value],MATCH("MinimumAcceptCompleteness",tblParameters[Parameter],0))
),
"Review",
"Accept")),
"Parameter Error")</f>
        <v>Review</v>
      </c>
    </row>
    <row r="278" spans="1:12" ht="51">
      <c r="A278" s="8" t="str">
        <f>TRIM(SUBSTITUTE(CLEAN(Raw_Data!A278),CHAR(160)," "))</f>
        <v>Abuja Municipal Area Council</v>
      </c>
      <c r="B278" s="8" t="str">
        <f t="array" ref="B278">TRIM(SUBSTITUTE(CLEAN(Raw_Data!B278),CHAR(160)," "))</f>
        <v>Karu Ward</v>
      </c>
      <c r="C278" s="8" t="str">
        <f t="array" ref="C278">TRIM(SUBSTITUTE(CLEAN(Raw_Data!C278),CHAR(160)," "))</f>
        <v>Nigeria Custom Medical Centre</v>
      </c>
      <c r="D278" s="7">
        <f>COUNTA(Raw_Data!D278:CI278)</f>
        <v>43</v>
      </c>
      <c r="E278" s="7">
        <f t="shared" si="16"/>
        <v>41</v>
      </c>
      <c r="F278" s="9">
        <f>INDEX(tblParameters[Value],MATCH("ExpectedValues",tblParameters[Parameter],0))</f>
        <v>84</v>
      </c>
      <c r="G278" s="7">
        <f t="shared" si="17"/>
        <v>0.51190476190476186</v>
      </c>
      <c r="H278" s="7" t="str">
        <f>LOOKUP(G278,tblIndicatorScore[Min],tblIndicatorScore[Rating])</f>
        <v>Poor</v>
      </c>
      <c r="I278" s="7">
        <f>LOOKUP(G278,tblIndicatorScore[Min],tblIndicatorScore[Score])</f>
        <v>0</v>
      </c>
      <c r="J278" s="7" t="str">
        <f t="shared" si="18"/>
        <v>No</v>
      </c>
      <c r="K278" s="7" t="str">
        <f t="shared" si="19"/>
        <v>No</v>
      </c>
      <c r="L278" s="7" t="str">
        <f>IFERROR(
IF(K278="Yes","Incomplete",
IF(OR(
J278="Yes",
G278&lt;INDEX(tblParameters[Value],MATCH("MinimumAcceptCompleteness",tblParameters[Parameter],0))
),
"Review",
"Accept")),
"Parameter Error")</f>
        <v>Review</v>
      </c>
    </row>
    <row r="279" spans="1:12" ht="51">
      <c r="A279" s="8" t="str">
        <f>TRIM(SUBSTITUTE(CLEAN(Raw_Data!A279),CHAR(160)," "))</f>
        <v>Abuja Municipal Area Council</v>
      </c>
      <c r="B279" s="8" t="str">
        <f t="array" ref="B279">TRIM(SUBSTITUTE(CLEAN(Raw_Data!B279),CHAR(160)," "))</f>
        <v>Gwarimpa Ward</v>
      </c>
      <c r="C279" s="8" t="str">
        <f t="array" ref="C279">TRIM(SUBSTITUTE(CLEAN(Raw_Data!C279),CHAR(160)," "))</f>
        <v>Nisa Premier Hospital</v>
      </c>
      <c r="D279" s="7">
        <f>COUNTA(Raw_Data!D279:CI279)</f>
        <v>75</v>
      </c>
      <c r="E279" s="7">
        <f t="shared" si="16"/>
        <v>9</v>
      </c>
      <c r="F279" s="9">
        <f>INDEX(tblParameters[Value],MATCH("ExpectedValues",tblParameters[Parameter],0))</f>
        <v>84</v>
      </c>
      <c r="G279" s="7">
        <f t="shared" si="17"/>
        <v>0.8928571428571429</v>
      </c>
      <c r="H279" s="7" t="str">
        <f>LOOKUP(G279,tblIndicatorScore[Min],tblIndicatorScore[Rating])</f>
        <v>Fair</v>
      </c>
      <c r="I279" s="7">
        <f>LOOKUP(G279,tblIndicatorScore[Min],tblIndicatorScore[Score])</f>
        <v>1</v>
      </c>
      <c r="J279" s="7" t="str">
        <f t="shared" si="18"/>
        <v>No</v>
      </c>
      <c r="K279" s="7" t="str">
        <f t="shared" si="19"/>
        <v>No</v>
      </c>
      <c r="L279" s="7" t="str">
        <f>IFERROR(
IF(K279="Yes","Incomplete",
IF(OR(
J279="Yes",
G279&lt;INDEX(tblParameters[Value],MATCH("MinimumAcceptCompleteness",tblParameters[Parameter],0))
),
"Review",
"Accept")),
"Parameter Error")</f>
        <v>Review</v>
      </c>
    </row>
    <row r="280" spans="1:12" ht="51">
      <c r="A280" s="8" t="str">
        <f>TRIM(SUBSTITUTE(CLEAN(Raw_Data!A280),CHAR(160)," "))</f>
        <v>Abuja Municipal Area Council</v>
      </c>
      <c r="B280" s="8" t="str">
        <f t="array" ref="B280">TRIM(SUBSTITUTE(CLEAN(Raw_Data!B280),CHAR(160)," "))</f>
        <v>Jiwa Ward</v>
      </c>
      <c r="C280" s="8" t="str">
        <f t="array" ref="C280">TRIM(SUBSTITUTE(CLEAN(Raw_Data!C280),CHAR(160)," "))</f>
        <v>Nizamiya Hospital</v>
      </c>
      <c r="D280" s="7">
        <f>COUNTA(Raw_Data!D280:CI280)</f>
        <v>6</v>
      </c>
      <c r="E280" s="7">
        <f t="shared" si="16"/>
        <v>78</v>
      </c>
      <c r="F280" s="9">
        <f>INDEX(tblParameters[Value],MATCH("ExpectedValues",tblParameters[Parameter],0))</f>
        <v>84</v>
      </c>
      <c r="G280" s="7">
        <f t="shared" si="17"/>
        <v>7.1428571428571425E-2</v>
      </c>
      <c r="H280" s="7" t="str">
        <f>LOOKUP(G280,tblIndicatorScore[Min],tblIndicatorScore[Rating])</f>
        <v>Poor</v>
      </c>
      <c r="I280" s="7">
        <f>LOOKUP(G280,tblIndicatorScore[Min],tblIndicatorScore[Score])</f>
        <v>0</v>
      </c>
      <c r="J280" s="7" t="str">
        <f t="shared" si="18"/>
        <v>No</v>
      </c>
      <c r="K280" s="7" t="str">
        <f t="shared" si="19"/>
        <v>No</v>
      </c>
      <c r="L280" s="7" t="str">
        <f>IFERROR(
IF(K280="Yes","Incomplete",
IF(OR(
J280="Yes",
G280&lt;INDEX(tblParameters[Value],MATCH("MinimumAcceptCompleteness",tblParameters[Parameter],0))
),
"Review",
"Accept")),
"Parameter Error")</f>
        <v>Review</v>
      </c>
    </row>
    <row r="281" spans="1:12" ht="51">
      <c r="A281" s="8" t="str">
        <f>TRIM(SUBSTITUTE(CLEAN(Raw_Data!A281),CHAR(160)," "))</f>
        <v>Abuja Municipal Area Council</v>
      </c>
      <c r="B281" s="8" t="str">
        <f t="array" ref="B281">TRIM(SUBSTITUTE(CLEAN(Raw_Data!B281),CHAR(160)," "))</f>
        <v>Wuse Ward</v>
      </c>
      <c r="C281" s="8" t="str">
        <f t="array" ref="C281">TRIM(SUBSTITUTE(CLEAN(Raw_Data!C281),CHAR(160)," "))</f>
        <v>NNPC Medical Services</v>
      </c>
      <c r="D281" s="7">
        <f>COUNTA(Raw_Data!D281:CI281)</f>
        <v>38</v>
      </c>
      <c r="E281" s="7">
        <f t="shared" si="16"/>
        <v>46</v>
      </c>
      <c r="F281" s="9">
        <f>INDEX(tblParameters[Value],MATCH("ExpectedValues",tblParameters[Parameter],0))</f>
        <v>84</v>
      </c>
      <c r="G281" s="7">
        <f t="shared" si="17"/>
        <v>0.45238095238095238</v>
      </c>
      <c r="H281" s="7" t="str">
        <f>LOOKUP(G281,tblIndicatorScore[Min],tblIndicatorScore[Rating])</f>
        <v>Poor</v>
      </c>
      <c r="I281" s="7">
        <f>LOOKUP(G281,tblIndicatorScore[Min],tblIndicatorScore[Score])</f>
        <v>0</v>
      </c>
      <c r="J281" s="7" t="str">
        <f t="shared" si="18"/>
        <v>No</v>
      </c>
      <c r="K281" s="7" t="str">
        <f t="shared" si="19"/>
        <v>No</v>
      </c>
      <c r="L281" s="7" t="str">
        <f>IFERROR(
IF(K281="Yes","Incomplete",
IF(OR(
J281="Yes",
G281&lt;INDEX(tblParameters[Value],MATCH("MinimumAcceptCompleteness",tblParameters[Parameter],0))
),
"Review",
"Accept")),
"Parameter Error")</f>
        <v>Review</v>
      </c>
    </row>
    <row r="282" spans="1:12" ht="51">
      <c r="A282" s="8" t="str">
        <f>TRIM(SUBSTITUTE(CLEAN(Raw_Data!A282),CHAR(160)," "))</f>
        <v>Abuja Municipal Area Council</v>
      </c>
      <c r="B282" s="8" t="str">
        <f t="array" ref="B282">TRIM(SUBSTITUTE(CLEAN(Raw_Data!B282),CHAR(160)," "))</f>
        <v>Nyanya Ward</v>
      </c>
      <c r="C282" s="8" t="str">
        <f t="array" ref="C282">TRIM(SUBSTITUTE(CLEAN(Raw_Data!C282),CHAR(160)," "))</f>
        <v>North Land Medical Centre</v>
      </c>
      <c r="D282" s="7">
        <f>COUNTA(Raw_Data!D282:CI282)</f>
        <v>2</v>
      </c>
      <c r="E282" s="7">
        <f t="shared" si="16"/>
        <v>82</v>
      </c>
      <c r="F282" s="9">
        <f>INDEX(tblParameters[Value],MATCH("ExpectedValues",tblParameters[Parameter],0))</f>
        <v>84</v>
      </c>
      <c r="G282" s="7">
        <f t="shared" si="17"/>
        <v>2.3809523809523808E-2</v>
      </c>
      <c r="H282" s="7" t="str">
        <f>LOOKUP(G282,tblIndicatorScore[Min],tblIndicatorScore[Rating])</f>
        <v>Poor</v>
      </c>
      <c r="I282" s="7">
        <f>LOOKUP(G282,tblIndicatorScore[Min],tblIndicatorScore[Score])</f>
        <v>0</v>
      </c>
      <c r="J282" s="7" t="str">
        <f t="shared" si="18"/>
        <v>No</v>
      </c>
      <c r="K282" s="7" t="str">
        <f t="shared" si="19"/>
        <v>No</v>
      </c>
      <c r="L282" s="7" t="str">
        <f>IFERROR(
IF(K282="Yes","Incomplete",
IF(OR(
J282="Yes",
G282&lt;INDEX(tblParameters[Value],MATCH("MinimumAcceptCompleteness",tblParameters[Parameter],0))
),
"Review",
"Accept")),
"Parameter Error")</f>
        <v>Review</v>
      </c>
    </row>
    <row r="283" spans="1:12" ht="51">
      <c r="A283" s="8" t="str">
        <f>TRIM(SUBSTITUTE(CLEAN(Raw_Data!A283),CHAR(160)," "))</f>
        <v>Abaji Local Government Area</v>
      </c>
      <c r="B283" s="8" t="str">
        <f t="array" ref="B283">TRIM(SUBSTITUTE(CLEAN(Raw_Data!B283),CHAR(160)," "))</f>
        <v>Nuku Sabon Gari Ward</v>
      </c>
      <c r="C283" s="8" t="str">
        <f t="array" ref="C283">TRIM(SUBSTITUTE(CLEAN(Raw_Data!C283),CHAR(160)," "))</f>
        <v>Nuku Primary Health Clinic</v>
      </c>
      <c r="D283" s="7">
        <f>COUNTA(Raw_Data!D283:CI283)</f>
        <v>63</v>
      </c>
      <c r="E283" s="7">
        <f t="shared" si="16"/>
        <v>21</v>
      </c>
      <c r="F283" s="9">
        <f>INDEX(tblParameters[Value],MATCH("ExpectedValues",tblParameters[Parameter],0))</f>
        <v>84</v>
      </c>
      <c r="G283" s="7">
        <f t="shared" si="17"/>
        <v>0.75</v>
      </c>
      <c r="H283" s="7" t="str">
        <f>LOOKUP(G283,tblIndicatorScore[Min],tblIndicatorScore[Rating])</f>
        <v>Poor</v>
      </c>
      <c r="I283" s="7">
        <f>LOOKUP(G283,tblIndicatorScore[Min],tblIndicatorScore[Score])</f>
        <v>0</v>
      </c>
      <c r="J283" s="7" t="str">
        <f t="shared" si="18"/>
        <v>No</v>
      </c>
      <c r="K283" s="7" t="str">
        <f t="shared" si="19"/>
        <v>No</v>
      </c>
      <c r="L283" s="7" t="str">
        <f>IFERROR(
IF(K283="Yes","Incomplete",
IF(OR(
J283="Yes",
G283&lt;INDEX(tblParameters[Value],MATCH("MinimumAcceptCompleteness",tblParameters[Parameter],0))
),
"Review",
"Accept")),
"Parameter Error")</f>
        <v>Review</v>
      </c>
    </row>
    <row r="284" spans="1:12" ht="51">
      <c r="A284" s="8" t="str">
        <f>TRIM(SUBSTITUTE(CLEAN(Raw_Data!A284),CHAR(160)," "))</f>
        <v>Bwari Local Government Area</v>
      </c>
      <c r="B284" s="8" t="str">
        <f t="array" ref="B284">TRIM(SUBSTITUTE(CLEAN(Raw_Data!B284),CHAR(160)," "))</f>
        <v>Dutse Ward</v>
      </c>
      <c r="C284" s="8" t="str">
        <f t="array" ref="C284">TRIM(SUBSTITUTE(CLEAN(Raw_Data!C284),CHAR(160)," "))</f>
        <v>Nukuchi Primary Health Clinic</v>
      </c>
      <c r="D284" s="7">
        <f>COUNTA(Raw_Data!D284:CI284)</f>
        <v>59</v>
      </c>
      <c r="E284" s="7">
        <f t="shared" si="16"/>
        <v>25</v>
      </c>
      <c r="F284" s="9">
        <f>INDEX(tblParameters[Value],MATCH("ExpectedValues",tblParameters[Parameter],0))</f>
        <v>84</v>
      </c>
      <c r="G284" s="7">
        <f t="shared" si="17"/>
        <v>0.70238095238095233</v>
      </c>
      <c r="H284" s="7" t="str">
        <f>LOOKUP(G284,tblIndicatorScore[Min],tblIndicatorScore[Rating])</f>
        <v>Poor</v>
      </c>
      <c r="I284" s="7">
        <f>LOOKUP(G284,tblIndicatorScore[Min],tblIndicatorScore[Score])</f>
        <v>0</v>
      </c>
      <c r="J284" s="7" t="str">
        <f t="shared" si="18"/>
        <v>No</v>
      </c>
      <c r="K284" s="7" t="str">
        <f t="shared" si="19"/>
        <v>No</v>
      </c>
      <c r="L284" s="7" t="str">
        <f>IFERROR(
IF(K284="Yes","Incomplete",
IF(OR(
J284="Yes",
G284&lt;INDEX(tblParameters[Value],MATCH("MinimumAcceptCompleteness",tblParameters[Parameter],0))
),
"Review",
"Accept")),
"Parameter Error")</f>
        <v>Review</v>
      </c>
    </row>
    <row r="285" spans="1:12" ht="51">
      <c r="A285" s="8" t="str">
        <f>TRIM(SUBSTITUTE(CLEAN(Raw_Data!A285),CHAR(160)," "))</f>
        <v>Abuja Municipal Area Council</v>
      </c>
      <c r="B285" s="8" t="str">
        <f t="array" ref="B285">TRIM(SUBSTITUTE(CLEAN(Raw_Data!B285),CHAR(160)," "))</f>
        <v>Nyanya Ward</v>
      </c>
      <c r="C285" s="8" t="str">
        <f t="array" ref="C285">TRIM(SUBSTITUTE(CLEAN(Raw_Data!C285),CHAR(160)," "))</f>
        <v>Nyanya General Hospital</v>
      </c>
      <c r="D285" s="7">
        <f>COUNTA(Raw_Data!D285:CI285)</f>
        <v>56</v>
      </c>
      <c r="E285" s="7">
        <f t="shared" si="16"/>
        <v>28</v>
      </c>
      <c r="F285" s="9">
        <f>INDEX(tblParameters[Value],MATCH("ExpectedValues",tblParameters[Parameter],0))</f>
        <v>84</v>
      </c>
      <c r="G285" s="7">
        <f t="shared" si="17"/>
        <v>0.66666666666666663</v>
      </c>
      <c r="H285" s="7" t="str">
        <f>LOOKUP(G285,tblIndicatorScore[Min],tblIndicatorScore[Rating])</f>
        <v>Poor</v>
      </c>
      <c r="I285" s="7">
        <f>LOOKUP(G285,tblIndicatorScore[Min],tblIndicatorScore[Score])</f>
        <v>0</v>
      </c>
      <c r="J285" s="7" t="str">
        <f t="shared" si="18"/>
        <v>No</v>
      </c>
      <c r="K285" s="7" t="str">
        <f t="shared" si="19"/>
        <v>No</v>
      </c>
      <c r="L285" s="7" t="str">
        <f>IFERROR(
IF(K285="Yes","Incomplete",
IF(OR(
J285="Yes",
G285&lt;INDEX(tblParameters[Value],MATCH("MinimumAcceptCompleteness",tblParameters[Parameter],0))
),
"Review",
"Accept")),
"Parameter Error")</f>
        <v>Review</v>
      </c>
    </row>
    <row r="286" spans="1:12" ht="51">
      <c r="A286" s="8" t="str">
        <f>TRIM(SUBSTITUTE(CLEAN(Raw_Data!A286),CHAR(160)," "))</f>
        <v>Kuje Local Government Area</v>
      </c>
      <c r="B286" s="8" t="str">
        <f t="array" ref="B286">TRIM(SUBSTITUTE(CLEAN(Raw_Data!B286),CHAR(160)," "))</f>
        <v>Kujekwa Ward</v>
      </c>
      <c r="C286" s="8" t="str">
        <f t="array" ref="C286">TRIM(SUBSTITUTE(CLEAN(Raw_Data!C286),CHAR(160)," "))</f>
        <v>Odu Primary Health Centre</v>
      </c>
      <c r="D286" s="7">
        <f>COUNTA(Raw_Data!D286:CI286)</f>
        <v>69</v>
      </c>
      <c r="E286" s="7">
        <f t="shared" si="16"/>
        <v>15</v>
      </c>
      <c r="F286" s="9">
        <f>INDEX(tblParameters[Value],MATCH("ExpectedValues",tblParameters[Parameter],0))</f>
        <v>84</v>
      </c>
      <c r="G286" s="7">
        <f t="shared" si="17"/>
        <v>0.8214285714285714</v>
      </c>
      <c r="H286" s="7" t="str">
        <f>LOOKUP(G286,tblIndicatorScore[Min],tblIndicatorScore[Rating])</f>
        <v>Fair</v>
      </c>
      <c r="I286" s="7">
        <f>LOOKUP(G286,tblIndicatorScore[Min],tblIndicatorScore[Score])</f>
        <v>1</v>
      </c>
      <c r="J286" s="7" t="str">
        <f t="shared" si="18"/>
        <v>No</v>
      </c>
      <c r="K286" s="7" t="str">
        <f t="shared" si="19"/>
        <v>No</v>
      </c>
      <c r="L286" s="7" t="str">
        <f>IFERROR(
IF(K286="Yes","Incomplete",
IF(OR(
J286="Yes",
G286&lt;INDEX(tblParameters[Value],MATCH("MinimumAcceptCompleteness",tblParameters[Parameter],0))
),
"Review",
"Accept")),
"Parameter Error")</f>
        <v>Review</v>
      </c>
    </row>
    <row r="287" spans="1:12" ht="51">
      <c r="A287" s="8" t="str">
        <f>TRIM(SUBSTITUTE(CLEAN(Raw_Data!A287),CHAR(160)," "))</f>
        <v>Gwagwalada Local Government Area</v>
      </c>
      <c r="B287" s="8" t="str">
        <f t="array" ref="B287">TRIM(SUBSTITUTE(CLEAN(Raw_Data!B287),CHAR(160)," "))</f>
        <v>Gwako Ward</v>
      </c>
      <c r="C287" s="8" t="str">
        <f t="array" ref="C287">TRIM(SUBSTITUTE(CLEAN(Raw_Data!C287),CHAR(160)," "))</f>
        <v>Ojochegbe Health Clinic</v>
      </c>
      <c r="D287" s="7">
        <f>COUNTA(Raw_Data!D287:CI287)</f>
        <v>25</v>
      </c>
      <c r="E287" s="7">
        <f t="shared" si="16"/>
        <v>59</v>
      </c>
      <c r="F287" s="9">
        <f>INDEX(tblParameters[Value],MATCH("ExpectedValues",tblParameters[Parameter],0))</f>
        <v>84</v>
      </c>
      <c r="G287" s="7">
        <f t="shared" si="17"/>
        <v>0.29761904761904762</v>
      </c>
      <c r="H287" s="7" t="str">
        <f>LOOKUP(G287,tblIndicatorScore[Min],tblIndicatorScore[Rating])</f>
        <v>Poor</v>
      </c>
      <c r="I287" s="7">
        <f>LOOKUP(G287,tblIndicatorScore[Min],tblIndicatorScore[Score])</f>
        <v>0</v>
      </c>
      <c r="J287" s="7" t="str">
        <f t="shared" si="18"/>
        <v>No</v>
      </c>
      <c r="K287" s="7" t="str">
        <f t="shared" si="19"/>
        <v>No</v>
      </c>
      <c r="L287" s="7" t="str">
        <f>IFERROR(
IF(K287="Yes","Incomplete",
IF(OR(
J287="Yes",
G287&lt;INDEX(tblParameters[Value],MATCH("MinimumAcceptCompleteness",tblParameters[Parameter],0))
),
"Review",
"Accept")),
"Parameter Error")</f>
        <v>Review</v>
      </c>
    </row>
    <row r="288" spans="1:12" ht="63.75">
      <c r="A288" s="8" t="str">
        <f>TRIM(SUBSTITUTE(CLEAN(Raw_Data!A288),CHAR(160)," "))</f>
        <v>Bwari Local Government Area</v>
      </c>
      <c r="B288" s="8" t="str">
        <f t="array" ref="B288">TRIM(SUBSTITUTE(CLEAN(Raw_Data!B288),CHAR(160)," "))</f>
        <v>Kubwa Ward</v>
      </c>
      <c r="C288" s="8" t="str">
        <f t="array" ref="C288">TRIM(SUBSTITUTE(CLEAN(Raw_Data!C288),CHAR(160)," "))</f>
        <v>Old Dei Dei Primary Health Clinic</v>
      </c>
      <c r="D288" s="7">
        <f>COUNTA(Raw_Data!D288:CI288)</f>
        <v>65</v>
      </c>
      <c r="E288" s="7">
        <f t="shared" si="16"/>
        <v>19</v>
      </c>
      <c r="F288" s="9">
        <f>INDEX(tblParameters[Value],MATCH("ExpectedValues",tblParameters[Parameter],0))</f>
        <v>84</v>
      </c>
      <c r="G288" s="7">
        <f t="shared" si="17"/>
        <v>0.77380952380952384</v>
      </c>
      <c r="H288" s="7" t="str">
        <f>LOOKUP(G288,tblIndicatorScore[Min],tblIndicatorScore[Rating])</f>
        <v>Poor</v>
      </c>
      <c r="I288" s="7">
        <f>LOOKUP(G288,tblIndicatorScore[Min],tblIndicatorScore[Score])</f>
        <v>0</v>
      </c>
      <c r="J288" s="7" t="str">
        <f t="shared" si="18"/>
        <v>No</v>
      </c>
      <c r="K288" s="7" t="str">
        <f t="shared" si="19"/>
        <v>No</v>
      </c>
      <c r="L288" s="7" t="str">
        <f>IFERROR(
IF(K288="Yes","Incomplete",
IF(OR(
J288="Yes",
G288&lt;INDEX(tblParameters[Value],MATCH("MinimumAcceptCompleteness",tblParameters[Parameter],0))
),
"Review",
"Accept")),
"Parameter Error")</f>
        <v>Review</v>
      </c>
    </row>
    <row r="289" spans="1:12" ht="51">
      <c r="A289" s="8" t="str">
        <f>TRIM(SUBSTITUTE(CLEAN(Raw_Data!A289),CHAR(160)," "))</f>
        <v>Abuja Municipal Area Council</v>
      </c>
      <c r="B289" s="8" t="str">
        <f t="array" ref="B289">TRIM(SUBSTITUTE(CLEAN(Raw_Data!B289),CHAR(160)," "))</f>
        <v>Orozo Ward</v>
      </c>
      <c r="C289" s="8" t="str">
        <f t="array" ref="C289">TRIM(SUBSTITUTE(CLEAN(Raw_Data!C289),CHAR(160)," "))</f>
        <v>Orozo Primary Health Clinic</v>
      </c>
      <c r="D289" s="7">
        <f>COUNTA(Raw_Data!D289:CI289)</f>
        <v>65</v>
      </c>
      <c r="E289" s="7">
        <f t="shared" si="16"/>
        <v>19</v>
      </c>
      <c r="F289" s="9">
        <f>INDEX(tblParameters[Value],MATCH("ExpectedValues",tblParameters[Parameter],0))</f>
        <v>84</v>
      </c>
      <c r="G289" s="7">
        <f t="shared" si="17"/>
        <v>0.77380952380952384</v>
      </c>
      <c r="H289" s="7" t="str">
        <f>LOOKUP(G289,tblIndicatorScore[Min],tblIndicatorScore[Rating])</f>
        <v>Poor</v>
      </c>
      <c r="I289" s="7">
        <f>LOOKUP(G289,tblIndicatorScore[Min],tblIndicatorScore[Score])</f>
        <v>0</v>
      </c>
      <c r="J289" s="7" t="str">
        <f t="shared" si="18"/>
        <v>No</v>
      </c>
      <c r="K289" s="7" t="str">
        <f t="shared" si="19"/>
        <v>No</v>
      </c>
      <c r="L289" s="7" t="str">
        <f>IFERROR(
IF(K289="Yes","Incomplete",
IF(OR(
J289="Yes",
G289&lt;INDEX(tblParameters[Value],MATCH("MinimumAcceptCompleteness",tblParameters[Parameter],0))
),
"Review",
"Accept")),
"Parameter Error")</f>
        <v>Review</v>
      </c>
    </row>
    <row r="290" spans="1:12" ht="63.75">
      <c r="A290" s="8" t="str">
        <f>TRIM(SUBSTITUTE(CLEAN(Raw_Data!A290),CHAR(160)," "))</f>
        <v>Bwari Local Government Area</v>
      </c>
      <c r="B290" s="8" t="str">
        <f t="array" ref="B290">TRIM(SUBSTITUTE(CLEAN(Raw_Data!B290),CHAR(160)," "))</f>
        <v>Bwari Central Ward</v>
      </c>
      <c r="C290" s="8" t="str">
        <f t="array" ref="C290">TRIM(SUBSTITUTE(CLEAN(Raw_Data!C290),CHAR(160)," "))</f>
        <v>Our Lady Of Fatima Catholic Hospital ( Bwari )</v>
      </c>
      <c r="D290" s="7">
        <f>COUNTA(Raw_Data!D290:CI290)</f>
        <v>10</v>
      </c>
      <c r="E290" s="7">
        <f t="shared" si="16"/>
        <v>74</v>
      </c>
      <c r="F290" s="9">
        <f>INDEX(tblParameters[Value],MATCH("ExpectedValues",tblParameters[Parameter],0))</f>
        <v>84</v>
      </c>
      <c r="G290" s="7">
        <f t="shared" si="17"/>
        <v>0.11904761904761904</v>
      </c>
      <c r="H290" s="7" t="str">
        <f>LOOKUP(G290,tblIndicatorScore[Min],tblIndicatorScore[Rating])</f>
        <v>Poor</v>
      </c>
      <c r="I290" s="7">
        <f>LOOKUP(G290,tblIndicatorScore[Min],tblIndicatorScore[Score])</f>
        <v>0</v>
      </c>
      <c r="J290" s="7" t="str">
        <f t="shared" si="18"/>
        <v>No</v>
      </c>
      <c r="K290" s="7" t="str">
        <f t="shared" si="19"/>
        <v>No</v>
      </c>
      <c r="L290" s="7" t="str">
        <f>IFERROR(
IF(K290="Yes","Incomplete",
IF(OR(
J290="Yes",
G290&lt;INDEX(tblParameters[Value],MATCH("MinimumAcceptCompleteness",tblParameters[Parameter],0))
),
"Review",
"Accept")),
"Parameter Error")</f>
        <v>Review</v>
      </c>
    </row>
    <row r="291" spans="1:12" ht="63.75">
      <c r="A291" s="8" t="str">
        <f>TRIM(SUBSTITUTE(CLEAN(Raw_Data!A291),CHAR(160)," "))</f>
        <v>Abuja Municipal Area Council</v>
      </c>
      <c r="B291" s="8" t="str">
        <f t="array" ref="B291">TRIM(SUBSTITUTE(CLEAN(Raw_Data!B291),CHAR(160)," "))</f>
        <v>Gwagwa Ward</v>
      </c>
      <c r="C291" s="8" t="str">
        <f t="array" ref="C291">TRIM(SUBSTITUTE(CLEAN(Raw_Data!C291),CHAR(160)," "))</f>
        <v>Our Lady's Clinic And Maternity</v>
      </c>
      <c r="D291" s="7">
        <f>COUNTA(Raw_Data!D291:CI291)</f>
        <v>3</v>
      </c>
      <c r="E291" s="7">
        <f t="shared" si="16"/>
        <v>81</v>
      </c>
      <c r="F291" s="9">
        <f>INDEX(tblParameters[Value],MATCH("ExpectedValues",tblParameters[Parameter],0))</f>
        <v>84</v>
      </c>
      <c r="G291" s="7">
        <f t="shared" si="17"/>
        <v>3.5714285714285712E-2</v>
      </c>
      <c r="H291" s="7" t="str">
        <f>LOOKUP(G291,tblIndicatorScore[Min],tblIndicatorScore[Rating])</f>
        <v>Poor</v>
      </c>
      <c r="I291" s="7">
        <f>LOOKUP(G291,tblIndicatorScore[Min],tblIndicatorScore[Score])</f>
        <v>0</v>
      </c>
      <c r="J291" s="7" t="str">
        <f t="shared" si="18"/>
        <v>No</v>
      </c>
      <c r="K291" s="7" t="str">
        <f t="shared" si="19"/>
        <v>No</v>
      </c>
      <c r="L291" s="7" t="str">
        <f>IFERROR(
IF(K291="Yes","Incomplete",
IF(OR(
J291="Yes",
G291&lt;INDEX(tblParameters[Value],MATCH("MinimumAcceptCompleteness",tblParameters[Parameter],0))
),
"Review",
"Accept")),
"Parameter Error")</f>
        <v>Review</v>
      </c>
    </row>
    <row r="292" spans="1:12" ht="63.75">
      <c r="A292" s="8" t="str">
        <f>TRIM(SUBSTITUTE(CLEAN(Raw_Data!A292),CHAR(160)," "))</f>
        <v>Bwari Local Government Area</v>
      </c>
      <c r="B292" s="8" t="str">
        <f t="array" ref="B292">TRIM(SUBSTITUTE(CLEAN(Raw_Data!B292),CHAR(160)," "))</f>
        <v>Usuma Ward</v>
      </c>
      <c r="C292" s="8" t="str">
        <f t="array" ref="C292">TRIM(SUBSTITUTE(CLEAN(Raw_Data!C292),CHAR(160)," "))</f>
        <v>Owner Occupier Primary Health Centre</v>
      </c>
      <c r="D292" s="7">
        <f>COUNTA(Raw_Data!D292:CI292)</f>
        <v>75</v>
      </c>
      <c r="E292" s="7">
        <f t="shared" si="16"/>
        <v>9</v>
      </c>
      <c r="F292" s="9">
        <f>INDEX(tblParameters[Value],MATCH("ExpectedValues",tblParameters[Parameter],0))</f>
        <v>84</v>
      </c>
      <c r="G292" s="7">
        <f t="shared" si="17"/>
        <v>0.8928571428571429</v>
      </c>
      <c r="H292" s="7" t="str">
        <f>LOOKUP(G292,tblIndicatorScore[Min],tblIndicatorScore[Rating])</f>
        <v>Fair</v>
      </c>
      <c r="I292" s="7">
        <f>LOOKUP(G292,tblIndicatorScore[Min],tblIndicatorScore[Score])</f>
        <v>1</v>
      </c>
      <c r="J292" s="7" t="str">
        <f t="shared" si="18"/>
        <v>No</v>
      </c>
      <c r="K292" s="7" t="str">
        <f t="shared" si="19"/>
        <v>No</v>
      </c>
      <c r="L292" s="7" t="str">
        <f>IFERROR(
IF(K292="Yes","Incomplete",
IF(OR(
J292="Yes",
G292&lt;INDEX(tblParameters[Value],MATCH("MinimumAcceptCompleteness",tblParameters[Parameter],0))
),
"Review",
"Accept")),
"Parameter Error")</f>
        <v>Review</v>
      </c>
    </row>
    <row r="293" spans="1:12" ht="51">
      <c r="A293" s="8" t="str">
        <f>TRIM(SUBSTITUTE(CLEAN(Raw_Data!A293),CHAR(160)," "))</f>
        <v>Gwagwalada Local Government Area</v>
      </c>
      <c r="B293" s="8" t="str">
        <f t="array" ref="B293">TRIM(SUBSTITUTE(CLEAN(Raw_Data!B293),CHAR(160)," "))</f>
        <v>Dobi Ward</v>
      </c>
      <c r="C293" s="8" t="str">
        <f t="array" ref="C293">TRIM(SUBSTITUTE(CLEAN(Raw_Data!C293),CHAR(160)," "))</f>
        <v>Pabeyi Primary Health Clinic</v>
      </c>
      <c r="D293" s="7">
        <f>COUNTA(Raw_Data!D293:CI293)</f>
        <v>58</v>
      </c>
      <c r="E293" s="7">
        <f t="shared" si="16"/>
        <v>26</v>
      </c>
      <c r="F293" s="9">
        <f>INDEX(tblParameters[Value],MATCH("ExpectedValues",tblParameters[Parameter],0))</f>
        <v>84</v>
      </c>
      <c r="G293" s="7">
        <f t="shared" si="17"/>
        <v>0.69047619047619047</v>
      </c>
      <c r="H293" s="7" t="str">
        <f>LOOKUP(G293,tblIndicatorScore[Min],tblIndicatorScore[Rating])</f>
        <v>Poor</v>
      </c>
      <c r="I293" s="7">
        <f>LOOKUP(G293,tblIndicatorScore[Min],tblIndicatorScore[Score])</f>
        <v>0</v>
      </c>
      <c r="J293" s="7" t="str">
        <f t="shared" si="18"/>
        <v>No</v>
      </c>
      <c r="K293" s="7" t="str">
        <f t="shared" si="19"/>
        <v>No</v>
      </c>
      <c r="L293" s="7" t="str">
        <f>IFERROR(
IF(K293="Yes","Incomplete",
IF(OR(
J293="Yes",
G293&lt;INDEX(tblParameters[Value],MATCH("MinimumAcceptCompleteness",tblParameters[Parameter],0))
),
"Review",
"Accept")),
"Parameter Error")</f>
        <v>Review</v>
      </c>
    </row>
    <row r="294" spans="1:12" ht="63.75">
      <c r="A294" s="8" t="str">
        <f>TRIM(SUBSTITUTE(CLEAN(Raw_Data!A294),CHAR(160)," "))</f>
        <v>Bwari Local Government Area</v>
      </c>
      <c r="B294" s="8" t="str">
        <f t="array" ref="B294">TRIM(SUBSTITUTE(CLEAN(Raw_Data!B294),CHAR(160)," "))</f>
        <v>Kawu Ward</v>
      </c>
      <c r="C294" s="8" t="str">
        <f t="array" ref="C294">TRIM(SUBSTITUTE(CLEAN(Raw_Data!C294),CHAR(160)," "))</f>
        <v>Pada Gwari Primary Health Clinic</v>
      </c>
      <c r="D294" s="7">
        <f>COUNTA(Raw_Data!D294:CI294)</f>
        <v>69</v>
      </c>
      <c r="E294" s="7">
        <f t="shared" si="16"/>
        <v>15</v>
      </c>
      <c r="F294" s="9">
        <f>INDEX(tblParameters[Value],MATCH("ExpectedValues",tblParameters[Parameter],0))</f>
        <v>84</v>
      </c>
      <c r="G294" s="7">
        <f t="shared" si="17"/>
        <v>0.8214285714285714</v>
      </c>
      <c r="H294" s="7" t="str">
        <f>LOOKUP(G294,tblIndicatorScore[Min],tblIndicatorScore[Rating])</f>
        <v>Fair</v>
      </c>
      <c r="I294" s="7">
        <f>LOOKUP(G294,tblIndicatorScore[Min],tblIndicatorScore[Score])</f>
        <v>1</v>
      </c>
      <c r="J294" s="7" t="str">
        <f t="shared" si="18"/>
        <v>No</v>
      </c>
      <c r="K294" s="7" t="str">
        <f t="shared" si="19"/>
        <v>No</v>
      </c>
      <c r="L294" s="7" t="str">
        <f>IFERROR(
IF(K294="Yes","Incomplete",
IF(OR(
J294="Yes",
G294&lt;INDEX(tblParameters[Value],MATCH("MinimumAcceptCompleteness",tblParameters[Parameter],0))
),
"Review",
"Accept")),
"Parameter Error")</f>
        <v>Review</v>
      </c>
    </row>
    <row r="295" spans="1:12" ht="51">
      <c r="A295" s="8" t="str">
        <f>TRIM(SUBSTITUTE(CLEAN(Raw_Data!A295),CHAR(160)," "))</f>
        <v>Kuje Local Government Area</v>
      </c>
      <c r="B295" s="8" t="str">
        <f t="array" ref="B295">TRIM(SUBSTITUTE(CLEAN(Raw_Data!B295),CHAR(160)," "))</f>
        <v>Gaube Ward</v>
      </c>
      <c r="C295" s="8" t="str">
        <f t="array" ref="C295">TRIM(SUBSTITUTE(CLEAN(Raw_Data!C295),CHAR(160)," "))</f>
        <v>Pagi Primary Health Centre</v>
      </c>
      <c r="D295" s="7">
        <f>COUNTA(Raw_Data!D295:CI295)</f>
        <v>67</v>
      </c>
      <c r="E295" s="7">
        <f t="shared" si="16"/>
        <v>17</v>
      </c>
      <c r="F295" s="9">
        <f>INDEX(tblParameters[Value],MATCH("ExpectedValues",tblParameters[Parameter],0))</f>
        <v>84</v>
      </c>
      <c r="G295" s="7">
        <f t="shared" si="17"/>
        <v>0.79761904761904767</v>
      </c>
      <c r="H295" s="7" t="str">
        <f>LOOKUP(G295,tblIndicatorScore[Min],tblIndicatorScore[Rating])</f>
        <v>Poor</v>
      </c>
      <c r="I295" s="7">
        <f>LOOKUP(G295,tblIndicatorScore[Min],tblIndicatorScore[Score])</f>
        <v>0</v>
      </c>
      <c r="J295" s="7" t="str">
        <f t="shared" si="18"/>
        <v>No</v>
      </c>
      <c r="K295" s="7" t="str">
        <f t="shared" si="19"/>
        <v>No</v>
      </c>
      <c r="L295" s="7" t="str">
        <f>IFERROR(
IF(K295="Yes","Incomplete",
IF(OR(
J295="Yes",
G295&lt;INDEX(tblParameters[Value],MATCH("MinimumAcceptCompleteness",tblParameters[Parameter],0))
),
"Review",
"Accept")),
"Parameter Error")</f>
        <v>Review</v>
      </c>
    </row>
    <row r="296" spans="1:12" ht="51">
      <c r="A296" s="8" t="str">
        <f>TRIM(SUBSTITUTE(CLEAN(Raw_Data!A296),CHAR(160)," "))</f>
        <v>Kwali Local Government Area</v>
      </c>
      <c r="B296" s="8" t="str">
        <f t="array" ref="B296">TRIM(SUBSTITUTE(CLEAN(Raw_Data!B296),CHAR(160)," "))</f>
        <v>Pai Ward</v>
      </c>
      <c r="C296" s="8" t="str">
        <f t="array" ref="C296">TRIM(SUBSTITUTE(CLEAN(Raw_Data!C296),CHAR(160)," "))</f>
        <v>Pai Primary Health Centre</v>
      </c>
      <c r="D296" s="7">
        <f>COUNTA(Raw_Data!D296:CI296)</f>
        <v>59</v>
      </c>
      <c r="E296" s="7">
        <f t="shared" si="16"/>
        <v>25</v>
      </c>
      <c r="F296" s="9">
        <f>INDEX(tblParameters[Value],MATCH("ExpectedValues",tblParameters[Parameter],0))</f>
        <v>84</v>
      </c>
      <c r="G296" s="7">
        <f t="shared" si="17"/>
        <v>0.70238095238095233</v>
      </c>
      <c r="H296" s="7" t="str">
        <f>LOOKUP(G296,tblIndicatorScore[Min],tblIndicatorScore[Rating])</f>
        <v>Poor</v>
      </c>
      <c r="I296" s="7">
        <f>LOOKUP(G296,tblIndicatorScore[Min],tblIndicatorScore[Score])</f>
        <v>0</v>
      </c>
      <c r="J296" s="7" t="str">
        <f t="shared" si="18"/>
        <v>No</v>
      </c>
      <c r="K296" s="7" t="str">
        <f t="shared" si="19"/>
        <v>No</v>
      </c>
      <c r="L296" s="7" t="str">
        <f>IFERROR(
IF(K296="Yes","Incomplete",
IF(OR(
J296="Yes",
G296&lt;INDEX(tblParameters[Value],MATCH("MinimumAcceptCompleteness",tblParameters[Parameter],0))
),
"Review",
"Accept")),
"Parameter Error")</f>
        <v>Review</v>
      </c>
    </row>
    <row r="297" spans="1:12" ht="51">
      <c r="A297" s="8" t="str">
        <f>TRIM(SUBSTITUTE(CLEAN(Raw_Data!A297),CHAR(160)," "))</f>
        <v>Gwagwalada Local Government Area</v>
      </c>
      <c r="B297" s="8" t="str">
        <f t="array" ref="B297">TRIM(SUBSTITUTE(CLEAN(Raw_Data!B297),CHAR(160)," "))</f>
        <v>Paikon Ward</v>
      </c>
      <c r="C297" s="8" t="str">
        <f t="array" ref="C297">TRIM(SUBSTITUTE(CLEAN(Raw_Data!C297),CHAR(160)," "))</f>
        <v>Paikon Kore Health Clinic</v>
      </c>
      <c r="D297" s="7">
        <f>COUNTA(Raw_Data!D297:CI297)</f>
        <v>68</v>
      </c>
      <c r="E297" s="7">
        <f t="shared" si="16"/>
        <v>16</v>
      </c>
      <c r="F297" s="9">
        <f>INDEX(tblParameters[Value],MATCH("ExpectedValues",tblParameters[Parameter],0))</f>
        <v>84</v>
      </c>
      <c r="G297" s="7">
        <f t="shared" si="17"/>
        <v>0.80952380952380953</v>
      </c>
      <c r="H297" s="7" t="str">
        <f>LOOKUP(G297,tblIndicatorScore[Min],tblIndicatorScore[Rating])</f>
        <v>Fair</v>
      </c>
      <c r="I297" s="7">
        <f>LOOKUP(G297,tblIndicatorScore[Min],tblIndicatorScore[Score])</f>
        <v>1</v>
      </c>
      <c r="J297" s="7" t="str">
        <f t="shared" si="18"/>
        <v>No</v>
      </c>
      <c r="K297" s="7" t="str">
        <f t="shared" si="19"/>
        <v>No</v>
      </c>
      <c r="L297" s="7" t="str">
        <f>IFERROR(
IF(K297="Yes","Incomplete",
IF(OR(
J297="Yes",
G297&lt;INDEX(tblParameters[Value],MATCH("MinimumAcceptCompleteness",tblParameters[Parameter],0))
),
"Review",
"Accept")),
"Parameter Error")</f>
        <v>Review</v>
      </c>
    </row>
    <row r="298" spans="1:12" ht="51">
      <c r="A298" s="8" t="str">
        <f>TRIM(SUBSTITUTE(CLEAN(Raw_Data!A298),CHAR(160)," "))</f>
        <v>Abuja Municipal Area Council</v>
      </c>
      <c r="B298" s="8" t="str">
        <f t="array" ref="B298">TRIM(SUBSTITUTE(CLEAN(Raw_Data!B298),CHAR(160)," "))</f>
        <v>Nyanya Ward</v>
      </c>
      <c r="C298" s="8" t="str">
        <f t="array" ref="C298">TRIM(SUBSTITUTE(CLEAN(Raw_Data!C298),CHAR(160)," "))</f>
        <v>Pan Raf Hospital</v>
      </c>
      <c r="D298" s="7">
        <f>COUNTA(Raw_Data!D298:CI298)</f>
        <v>71</v>
      </c>
      <c r="E298" s="7">
        <f t="shared" si="16"/>
        <v>13</v>
      </c>
      <c r="F298" s="9">
        <f>INDEX(tblParameters[Value],MATCH("ExpectedValues",tblParameters[Parameter],0))</f>
        <v>84</v>
      </c>
      <c r="G298" s="7">
        <f t="shared" si="17"/>
        <v>0.84523809523809523</v>
      </c>
      <c r="H298" s="7" t="str">
        <f>LOOKUP(G298,tblIndicatorScore[Min],tblIndicatorScore[Rating])</f>
        <v>Fair</v>
      </c>
      <c r="I298" s="7">
        <f>LOOKUP(G298,tblIndicatorScore[Min],tblIndicatorScore[Score])</f>
        <v>1</v>
      </c>
      <c r="J298" s="7" t="str">
        <f t="shared" si="18"/>
        <v>No</v>
      </c>
      <c r="K298" s="7" t="str">
        <f t="shared" si="19"/>
        <v>No</v>
      </c>
      <c r="L298" s="7" t="str">
        <f>IFERROR(
IF(K298="Yes","Incomplete",
IF(OR(
J298="Yes",
G298&lt;INDEX(tblParameters[Value],MATCH("MinimumAcceptCompleteness",tblParameters[Parameter],0))
),
"Review",
"Accept")),
"Parameter Error")</f>
        <v>Review</v>
      </c>
    </row>
    <row r="299" spans="1:12" ht="51">
      <c r="A299" s="8" t="str">
        <f>TRIM(SUBSTITUTE(CLEAN(Raw_Data!A299),CHAR(160)," "))</f>
        <v>Abaji Local Government Area</v>
      </c>
      <c r="B299" s="8" t="str">
        <f t="array" ref="B299">TRIM(SUBSTITUTE(CLEAN(Raw_Data!B299),CHAR(160)," "))</f>
        <v>Pandagi Agyana Ward</v>
      </c>
      <c r="C299" s="8" t="str">
        <f t="array" ref="C299">TRIM(SUBSTITUTE(CLEAN(Raw_Data!C299),CHAR(160)," "))</f>
        <v>Pandagi Primary Healh Clinic</v>
      </c>
      <c r="D299" s="7">
        <f>COUNTA(Raw_Data!D299:CI299)</f>
        <v>64</v>
      </c>
      <c r="E299" s="7">
        <f t="shared" si="16"/>
        <v>20</v>
      </c>
      <c r="F299" s="9">
        <f>INDEX(tblParameters[Value],MATCH("ExpectedValues",tblParameters[Parameter],0))</f>
        <v>84</v>
      </c>
      <c r="G299" s="7">
        <f t="shared" si="17"/>
        <v>0.76190476190476186</v>
      </c>
      <c r="H299" s="7" t="str">
        <f>LOOKUP(G299,tblIndicatorScore[Min],tblIndicatorScore[Rating])</f>
        <v>Poor</v>
      </c>
      <c r="I299" s="7">
        <f>LOOKUP(G299,tblIndicatorScore[Min],tblIndicatorScore[Score])</f>
        <v>0</v>
      </c>
      <c r="J299" s="7" t="str">
        <f t="shared" si="18"/>
        <v>No</v>
      </c>
      <c r="K299" s="7" t="str">
        <f t="shared" si="19"/>
        <v>No</v>
      </c>
      <c r="L299" s="7" t="str">
        <f>IFERROR(
IF(K299="Yes","Incomplete",
IF(OR(
J299="Yes",
G299&lt;INDEX(tblParameters[Value],MATCH("MinimumAcceptCompleteness",tblParameters[Parameter],0))
),
"Review",
"Accept")),
"Parameter Error")</f>
        <v>Review</v>
      </c>
    </row>
    <row r="300" spans="1:12" ht="63.75">
      <c r="A300" s="8" t="str">
        <f>TRIM(SUBSTITUTE(CLEAN(Raw_Data!A300),CHAR(160)," "))</f>
        <v>Kwali Local Government Area</v>
      </c>
      <c r="B300" s="8" t="str">
        <f t="array" ref="B300">TRIM(SUBSTITUTE(CLEAN(Raw_Data!B300),CHAR(160)," "))</f>
        <v>Dafa Ward</v>
      </c>
      <c r="C300" s="8" t="str">
        <f t="array" ref="C300">TRIM(SUBSTITUTE(CLEAN(Raw_Data!C300),CHAR(160)," "))</f>
        <v>Pangu Masalaci Primary Health Clinic</v>
      </c>
      <c r="D300" s="7">
        <f>COUNTA(Raw_Data!D300:CI300)</f>
        <v>56</v>
      </c>
      <c r="E300" s="7">
        <f t="shared" si="16"/>
        <v>28</v>
      </c>
      <c r="F300" s="9">
        <f>INDEX(tblParameters[Value],MATCH("ExpectedValues",tblParameters[Parameter],0))</f>
        <v>84</v>
      </c>
      <c r="G300" s="7">
        <f t="shared" si="17"/>
        <v>0.66666666666666663</v>
      </c>
      <c r="H300" s="7" t="str">
        <f>LOOKUP(G300,tblIndicatorScore[Min],tblIndicatorScore[Rating])</f>
        <v>Poor</v>
      </c>
      <c r="I300" s="7">
        <f>LOOKUP(G300,tblIndicatorScore[Min],tblIndicatorScore[Score])</f>
        <v>0</v>
      </c>
      <c r="J300" s="7" t="str">
        <f t="shared" si="18"/>
        <v>No</v>
      </c>
      <c r="K300" s="7" t="str">
        <f t="shared" si="19"/>
        <v>No</v>
      </c>
      <c r="L300" s="7" t="str">
        <f>IFERROR(
IF(K300="Yes","Incomplete",
IF(OR(
J300="Yes",
G300&lt;INDEX(tblParameters[Value],MATCH("MinimumAcceptCompleteness",tblParameters[Parameter],0))
),
"Review",
"Accept")),
"Parameter Error")</f>
        <v>Review</v>
      </c>
    </row>
    <row r="301" spans="1:12" ht="51">
      <c r="A301" s="8" t="str">
        <f>TRIM(SUBSTITUTE(CLEAN(Raw_Data!A301),CHAR(160)," "))</f>
        <v>Bwari Local Government Area</v>
      </c>
      <c r="B301" s="8" t="str">
        <f t="array" ref="B301">TRIM(SUBSTITUTE(CLEAN(Raw_Data!B301),CHAR(160)," "))</f>
        <v>Igu Ward</v>
      </c>
      <c r="C301" s="8" t="str">
        <f t="array" ref="C301">TRIM(SUBSTITUTE(CLEAN(Raw_Data!C301),CHAR(160)," "))</f>
        <v>Panunuke Primary Health Clinic</v>
      </c>
      <c r="D301" s="7">
        <f>COUNTA(Raw_Data!D301:CI301)</f>
        <v>51</v>
      </c>
      <c r="E301" s="7">
        <f t="shared" si="16"/>
        <v>33</v>
      </c>
      <c r="F301" s="9">
        <f>INDEX(tblParameters[Value],MATCH("ExpectedValues",tblParameters[Parameter],0))</f>
        <v>84</v>
      </c>
      <c r="G301" s="7">
        <f t="shared" si="17"/>
        <v>0.6071428571428571</v>
      </c>
      <c r="H301" s="7" t="str">
        <f>LOOKUP(G301,tblIndicatorScore[Min],tblIndicatorScore[Rating])</f>
        <v>Poor</v>
      </c>
      <c r="I301" s="7">
        <f>LOOKUP(G301,tblIndicatorScore[Min],tblIndicatorScore[Score])</f>
        <v>0</v>
      </c>
      <c r="J301" s="7" t="str">
        <f t="shared" si="18"/>
        <v>No</v>
      </c>
      <c r="K301" s="7" t="str">
        <f t="shared" si="19"/>
        <v>No</v>
      </c>
      <c r="L301" s="7" t="str">
        <f>IFERROR(
IF(K301="Yes","Incomplete",
IF(OR(
J301="Yes",
G301&lt;INDEX(tblParameters[Value],MATCH("MinimumAcceptCompleteness",tblParameters[Parameter],0))
),
"Review",
"Accept")),
"Parameter Error")</f>
        <v>Review</v>
      </c>
    </row>
    <row r="302" spans="1:12" ht="51">
      <c r="A302" s="8" t="str">
        <f>TRIM(SUBSTITUTE(CLEAN(Raw_Data!A302),CHAR(160)," "))</f>
        <v>Gwagwalada Local Government Area</v>
      </c>
      <c r="B302" s="8" t="str">
        <f t="array" ref="B302">TRIM(SUBSTITUTE(CLEAN(Raw_Data!B302),CHAR(160)," "))</f>
        <v>Paikon Ward</v>
      </c>
      <c r="C302" s="8" t="str">
        <f t="array" ref="C302">TRIM(SUBSTITUTE(CLEAN(Raw_Data!C302),CHAR(160)," "))</f>
        <v>Passo Primary Health Clinic</v>
      </c>
      <c r="D302" s="7">
        <f>COUNTA(Raw_Data!D302:CI302)</f>
        <v>54</v>
      </c>
      <c r="E302" s="7">
        <f t="shared" si="16"/>
        <v>30</v>
      </c>
      <c r="F302" s="9">
        <f>INDEX(tblParameters[Value],MATCH("ExpectedValues",tblParameters[Parameter],0))</f>
        <v>84</v>
      </c>
      <c r="G302" s="7">
        <f t="shared" si="17"/>
        <v>0.6428571428571429</v>
      </c>
      <c r="H302" s="7" t="str">
        <f>LOOKUP(G302,tblIndicatorScore[Min],tblIndicatorScore[Rating])</f>
        <v>Poor</v>
      </c>
      <c r="I302" s="7">
        <f>LOOKUP(G302,tblIndicatorScore[Min],tblIndicatorScore[Score])</f>
        <v>0</v>
      </c>
      <c r="J302" s="7" t="str">
        <f t="shared" si="18"/>
        <v>No</v>
      </c>
      <c r="K302" s="7" t="str">
        <f t="shared" si="19"/>
        <v>No</v>
      </c>
      <c r="L302" s="7" t="str">
        <f>IFERROR(
IF(K302="Yes","Incomplete",
IF(OR(
J302="Yes",
G302&lt;INDEX(tblParameters[Value],MATCH("MinimumAcceptCompleteness",tblParameters[Parameter],0))
),
"Review",
"Accept")),
"Parameter Error")</f>
        <v>Review</v>
      </c>
    </row>
    <row r="303" spans="1:12" ht="51">
      <c r="A303" s="8" t="str">
        <f>TRIM(SUBSTITUTE(CLEAN(Raw_Data!A303),CHAR(160)," "))</f>
        <v>Abuja Municipal Area Council</v>
      </c>
      <c r="B303" s="8" t="str">
        <f t="array" ref="B303">TRIM(SUBSTITUTE(CLEAN(Raw_Data!B303),CHAR(160)," "))</f>
        <v>Gwarimpa Ward</v>
      </c>
      <c r="C303" s="8" t="str">
        <f t="array" ref="C303">TRIM(SUBSTITUTE(CLEAN(Raw_Data!C303),CHAR(160)," "))</f>
        <v>Peace Care Clinic</v>
      </c>
      <c r="D303" s="7">
        <f>COUNTA(Raw_Data!D303:CI303)</f>
        <v>40</v>
      </c>
      <c r="E303" s="7">
        <f t="shared" si="16"/>
        <v>44</v>
      </c>
      <c r="F303" s="9">
        <f>INDEX(tblParameters[Value],MATCH("ExpectedValues",tblParameters[Parameter],0))</f>
        <v>84</v>
      </c>
      <c r="G303" s="7">
        <f t="shared" si="17"/>
        <v>0.47619047619047616</v>
      </c>
      <c r="H303" s="7" t="str">
        <f>LOOKUP(G303,tblIndicatorScore[Min],tblIndicatorScore[Rating])</f>
        <v>Poor</v>
      </c>
      <c r="I303" s="7">
        <f>LOOKUP(G303,tblIndicatorScore[Min],tblIndicatorScore[Score])</f>
        <v>0</v>
      </c>
      <c r="J303" s="7" t="str">
        <f t="shared" si="18"/>
        <v>No</v>
      </c>
      <c r="K303" s="7" t="str">
        <f t="shared" si="19"/>
        <v>No</v>
      </c>
      <c r="L303" s="7" t="str">
        <f>IFERROR(
IF(K303="Yes","Incomplete",
IF(OR(
J303="Yes",
G303&lt;INDEX(tblParameters[Value],MATCH("MinimumAcceptCompleteness",tblParameters[Parameter],0))
),
"Review",
"Accept")),
"Parameter Error")</f>
        <v>Review</v>
      </c>
    </row>
    <row r="304" spans="1:12" ht="51">
      <c r="A304" s="8" t="str">
        <f>TRIM(SUBSTITUTE(CLEAN(Raw_Data!A304),CHAR(160)," "))</f>
        <v>Kwali Local Government Area</v>
      </c>
      <c r="B304" s="8" t="str">
        <f t="array" ref="B304">TRIM(SUBSTITUTE(CLEAN(Raw_Data!B304),CHAR(160)," "))</f>
        <v>Kilankwa Ward</v>
      </c>
      <c r="C304" s="8" t="str">
        <f t="array" ref="C304">TRIM(SUBSTITUTE(CLEAN(Raw_Data!C304),CHAR(160)," "))</f>
        <v>Petti Primary Health Centre</v>
      </c>
      <c r="D304" s="7">
        <f>COUNTA(Raw_Data!D304:CI304)</f>
        <v>45</v>
      </c>
      <c r="E304" s="7">
        <f t="shared" si="16"/>
        <v>39</v>
      </c>
      <c r="F304" s="9">
        <f>INDEX(tblParameters[Value],MATCH("ExpectedValues",tblParameters[Parameter],0))</f>
        <v>84</v>
      </c>
      <c r="G304" s="7">
        <f t="shared" si="17"/>
        <v>0.5357142857142857</v>
      </c>
      <c r="H304" s="7" t="str">
        <f>LOOKUP(G304,tblIndicatorScore[Min],tblIndicatorScore[Rating])</f>
        <v>Poor</v>
      </c>
      <c r="I304" s="7">
        <f>LOOKUP(G304,tblIndicatorScore[Min],tblIndicatorScore[Score])</f>
        <v>0</v>
      </c>
      <c r="J304" s="7" t="str">
        <f t="shared" si="18"/>
        <v>No</v>
      </c>
      <c r="K304" s="7" t="str">
        <f t="shared" si="19"/>
        <v>No</v>
      </c>
      <c r="L304" s="7" t="str">
        <f>IFERROR(
IF(K304="Yes","Incomplete",
IF(OR(
J304="Yes",
G304&lt;INDEX(tblParameters[Value],MATCH("MinimumAcceptCompleteness",tblParameters[Parameter],0))
),
"Review",
"Accept")),
"Parameter Error")</f>
        <v>Review</v>
      </c>
    </row>
    <row r="305" spans="1:12" ht="63.75">
      <c r="A305" s="8" t="str">
        <f>TRIM(SUBSTITUTE(CLEAN(Raw_Data!A305),CHAR(160)," "))</f>
        <v>Gwagwalada Local Government Area</v>
      </c>
      <c r="B305" s="8" t="str">
        <f t="array" ref="B305">TRIM(SUBSTITUTE(CLEAN(Raw_Data!B305),CHAR(160)," "))</f>
        <v>Quarters Ward</v>
      </c>
      <c r="C305" s="8" t="str">
        <f t="array" ref="C305">TRIM(SUBSTITUTE(CLEAN(Raw_Data!C305),CHAR(160)," "))</f>
        <v>Phase 3 Quarters Primary health clinic</v>
      </c>
      <c r="D305" s="7">
        <f>COUNTA(Raw_Data!D305:CI305)</f>
        <v>56</v>
      </c>
      <c r="E305" s="7">
        <f t="shared" si="16"/>
        <v>28</v>
      </c>
      <c r="F305" s="9">
        <f>INDEX(tblParameters[Value],MATCH("ExpectedValues",tblParameters[Parameter],0))</f>
        <v>84</v>
      </c>
      <c r="G305" s="7">
        <f t="shared" si="17"/>
        <v>0.66666666666666663</v>
      </c>
      <c r="H305" s="7" t="str">
        <f>LOOKUP(G305,tblIndicatorScore[Min],tblIndicatorScore[Rating])</f>
        <v>Poor</v>
      </c>
      <c r="I305" s="7">
        <f>LOOKUP(G305,tblIndicatorScore[Min],tblIndicatorScore[Score])</f>
        <v>0</v>
      </c>
      <c r="J305" s="7" t="str">
        <f t="shared" si="18"/>
        <v>No</v>
      </c>
      <c r="K305" s="7" t="str">
        <f t="shared" si="19"/>
        <v>No</v>
      </c>
      <c r="L305" s="7" t="str">
        <f>IFERROR(
IF(K305="Yes","Incomplete",
IF(OR(
J305="Yes",
G305&lt;INDEX(tblParameters[Value],MATCH("MinimumAcceptCompleteness",tblParameters[Parameter],0))
),
"Review",
"Accept")),
"Parameter Error")</f>
        <v>Review</v>
      </c>
    </row>
    <row r="306" spans="1:12" ht="51">
      <c r="A306" s="8" t="str">
        <f>TRIM(SUBSTITUTE(CLEAN(Raw_Data!A306),CHAR(160)," "))</f>
        <v>Abuja Municipal Area Council</v>
      </c>
      <c r="B306" s="8" t="str">
        <f t="array" ref="B306">TRIM(SUBSTITUTE(CLEAN(Raw_Data!B306),CHAR(160)," "))</f>
        <v>Garki Ward</v>
      </c>
      <c r="C306" s="8" t="str">
        <f t="array" ref="C306">TRIM(SUBSTITUTE(CLEAN(Raw_Data!C306),CHAR(160)," "))</f>
        <v>Pigba Medical Centre</v>
      </c>
      <c r="D306" s="7">
        <f>COUNTA(Raw_Data!D306:CI306)</f>
        <v>6</v>
      </c>
      <c r="E306" s="7">
        <f t="shared" si="16"/>
        <v>78</v>
      </c>
      <c r="F306" s="9">
        <f>INDEX(tblParameters[Value],MATCH("ExpectedValues",tblParameters[Parameter],0))</f>
        <v>84</v>
      </c>
      <c r="G306" s="7">
        <f t="shared" si="17"/>
        <v>7.1428571428571425E-2</v>
      </c>
      <c r="H306" s="7" t="str">
        <f>LOOKUP(G306,tblIndicatorScore[Min],tblIndicatorScore[Rating])</f>
        <v>Poor</v>
      </c>
      <c r="I306" s="7">
        <f>LOOKUP(G306,tblIndicatorScore[Min],tblIndicatorScore[Score])</f>
        <v>0</v>
      </c>
      <c r="J306" s="7" t="str">
        <f t="shared" si="18"/>
        <v>No</v>
      </c>
      <c r="K306" s="7" t="str">
        <f t="shared" si="19"/>
        <v>No</v>
      </c>
      <c r="L306" s="7" t="str">
        <f>IFERROR(
IF(K306="Yes","Incomplete",
IF(OR(
J306="Yes",
G306&lt;INDEX(tblParameters[Value],MATCH("MinimumAcceptCompleteness",tblParameters[Parameter],0))
),
"Review",
"Accept")),
"Parameter Error")</f>
        <v>Review</v>
      </c>
    </row>
    <row r="307" spans="1:12" ht="51">
      <c r="A307" s="8" t="str">
        <f>TRIM(SUBSTITUTE(CLEAN(Raw_Data!A307),CHAR(160)," "))</f>
        <v>Bwari Local Government Area</v>
      </c>
      <c r="B307" s="8" t="str">
        <f t="array" ref="B307">TRIM(SUBSTITUTE(CLEAN(Raw_Data!B307),CHAR(160)," "))</f>
        <v>Shere Ward</v>
      </c>
      <c r="C307" s="8" t="str">
        <f t="array" ref="C307">TRIM(SUBSTITUTE(CLEAN(Raw_Data!C307),CHAR(160)," "))</f>
        <v>Piko Primary Health Clinic</v>
      </c>
      <c r="D307" s="7">
        <f>COUNTA(Raw_Data!D307:CI307)</f>
        <v>57</v>
      </c>
      <c r="E307" s="7">
        <f t="shared" si="16"/>
        <v>27</v>
      </c>
      <c r="F307" s="9">
        <f>INDEX(tblParameters[Value],MATCH("ExpectedValues",tblParameters[Parameter],0))</f>
        <v>84</v>
      </c>
      <c r="G307" s="7">
        <f t="shared" si="17"/>
        <v>0.6785714285714286</v>
      </c>
      <c r="H307" s="7" t="str">
        <f>LOOKUP(G307,tblIndicatorScore[Min],tblIndicatorScore[Rating])</f>
        <v>Poor</v>
      </c>
      <c r="I307" s="7">
        <f>LOOKUP(G307,tblIndicatorScore[Min],tblIndicatorScore[Score])</f>
        <v>0</v>
      </c>
      <c r="J307" s="7" t="str">
        <f t="shared" si="18"/>
        <v>No</v>
      </c>
      <c r="K307" s="7" t="str">
        <f t="shared" si="19"/>
        <v>No</v>
      </c>
      <c r="L307" s="7" t="str">
        <f>IFERROR(
IF(K307="Yes","Incomplete",
IF(OR(
J307="Yes",
G307&lt;INDEX(tblParameters[Value],MATCH("MinimumAcceptCompleteness",tblParameters[Parameter],0))
),
"Review",
"Accept")),
"Parameter Error")</f>
        <v>Review</v>
      </c>
    </row>
    <row r="308" spans="1:12" ht="51">
      <c r="A308" s="8" t="str">
        <f>TRIM(SUBSTITUTE(CLEAN(Raw_Data!A308),CHAR(160)," "))</f>
        <v>Abaji Local Government Area</v>
      </c>
      <c r="B308" s="8" t="str">
        <f t="array" ref="B308">TRIM(SUBSTITUTE(CLEAN(Raw_Data!B308),CHAR(160)," "))</f>
        <v>North East Ward</v>
      </c>
      <c r="C308" s="8" t="str">
        <f t="array" ref="C308">TRIM(SUBSTITUTE(CLEAN(Raw_Data!C308),CHAR(160)," "))</f>
        <v>Pipeline Primary Health Centre</v>
      </c>
      <c r="D308" s="7">
        <f>COUNTA(Raw_Data!D308:CI308)</f>
        <v>49</v>
      </c>
      <c r="E308" s="7">
        <f t="shared" si="16"/>
        <v>35</v>
      </c>
      <c r="F308" s="9">
        <f>INDEX(tblParameters[Value],MATCH("ExpectedValues",tblParameters[Parameter],0))</f>
        <v>84</v>
      </c>
      <c r="G308" s="7">
        <f t="shared" si="17"/>
        <v>0.58333333333333337</v>
      </c>
      <c r="H308" s="7" t="str">
        <f>LOOKUP(G308,tblIndicatorScore[Min],tblIndicatorScore[Rating])</f>
        <v>Poor</v>
      </c>
      <c r="I308" s="7">
        <f>LOOKUP(G308,tblIndicatorScore[Min],tblIndicatorScore[Score])</f>
        <v>0</v>
      </c>
      <c r="J308" s="7" t="str">
        <f t="shared" si="18"/>
        <v>No</v>
      </c>
      <c r="K308" s="7" t="str">
        <f t="shared" si="19"/>
        <v>No</v>
      </c>
      <c r="L308" s="7" t="str">
        <f>IFERROR(
IF(K308="Yes","Incomplete",
IF(OR(
J308="Yes",
G308&lt;INDEX(tblParameters[Value],MATCH("MinimumAcceptCompleteness",tblParameters[Parameter],0))
),
"Review",
"Accept")),
"Parameter Error")</f>
        <v>Review</v>
      </c>
    </row>
    <row r="309" spans="1:12" ht="51">
      <c r="A309" s="8" t="str">
        <f>TRIM(SUBSTITUTE(CLEAN(Raw_Data!A309),CHAR(160)," "))</f>
        <v>Kwali Local Government Area</v>
      </c>
      <c r="B309" s="8" t="str">
        <f t="array" ref="B309">TRIM(SUBSTITUTE(CLEAN(Raw_Data!B309),CHAR(160)," "))</f>
        <v>Gumbo Ward</v>
      </c>
      <c r="C309" s="8" t="str">
        <f t="array" ref="C309">TRIM(SUBSTITUTE(CLEAN(Raw_Data!C309),CHAR(160)," "))</f>
        <v>Piri Health Clinic</v>
      </c>
      <c r="D309" s="7">
        <f>COUNTA(Raw_Data!D309:CI309)</f>
        <v>61</v>
      </c>
      <c r="E309" s="7">
        <f t="shared" si="16"/>
        <v>23</v>
      </c>
      <c r="F309" s="9">
        <f>INDEX(tblParameters[Value],MATCH("ExpectedValues",tblParameters[Parameter],0))</f>
        <v>84</v>
      </c>
      <c r="G309" s="7">
        <f t="shared" si="17"/>
        <v>0.72619047619047616</v>
      </c>
      <c r="H309" s="7" t="str">
        <f>LOOKUP(G309,tblIndicatorScore[Min],tblIndicatorScore[Rating])</f>
        <v>Poor</v>
      </c>
      <c r="I309" s="7">
        <f>LOOKUP(G309,tblIndicatorScore[Min],tblIndicatorScore[Score])</f>
        <v>0</v>
      </c>
      <c r="J309" s="7" t="str">
        <f t="shared" si="18"/>
        <v>No</v>
      </c>
      <c r="K309" s="7" t="str">
        <f t="shared" si="19"/>
        <v>No</v>
      </c>
      <c r="L309" s="7" t="str">
        <f>IFERROR(
IF(K309="Yes","Incomplete",
IF(OR(
J309="Yes",
G309&lt;INDEX(tblParameters[Value],MATCH("MinimumAcceptCompleteness",tblParameters[Parameter],0))
),
"Review",
"Accept")),
"Parameter Error")</f>
        <v>Review</v>
      </c>
    </row>
    <row r="310" spans="1:12" ht="51">
      <c r="A310" s="8" t="str">
        <f>TRIM(SUBSTITUTE(CLEAN(Raw_Data!A310),CHAR(160)," "))</f>
        <v>Abuja Municipal Area Council</v>
      </c>
      <c r="B310" s="8" t="str">
        <f t="array" ref="B310">TRIM(SUBSTITUTE(CLEAN(Raw_Data!B310),CHAR(160)," "))</f>
        <v>Gwarimpa Ward</v>
      </c>
      <c r="C310" s="8" t="str">
        <f t="array" ref="C310">TRIM(SUBSTITUTE(CLEAN(Raw_Data!C310),CHAR(160)," "))</f>
        <v>Piwoyi Primary Health Clinic</v>
      </c>
      <c r="D310" s="7">
        <f>COUNTA(Raw_Data!D310:CI310)</f>
        <v>63</v>
      </c>
      <c r="E310" s="7">
        <f t="shared" si="16"/>
        <v>21</v>
      </c>
      <c r="F310" s="9">
        <f>INDEX(tblParameters[Value],MATCH("ExpectedValues",tblParameters[Parameter],0))</f>
        <v>84</v>
      </c>
      <c r="G310" s="7">
        <f t="shared" si="17"/>
        <v>0.75</v>
      </c>
      <c r="H310" s="7" t="str">
        <f>LOOKUP(G310,tblIndicatorScore[Min],tblIndicatorScore[Rating])</f>
        <v>Poor</v>
      </c>
      <c r="I310" s="7">
        <f>LOOKUP(G310,tblIndicatorScore[Min],tblIndicatorScore[Score])</f>
        <v>0</v>
      </c>
      <c r="J310" s="7" t="str">
        <f t="shared" si="18"/>
        <v>No</v>
      </c>
      <c r="K310" s="7" t="str">
        <f t="shared" si="19"/>
        <v>No</v>
      </c>
      <c r="L310" s="7" t="str">
        <f>IFERROR(
IF(K310="Yes","Incomplete",
IF(OR(
J310="Yes",
G310&lt;INDEX(tblParameters[Value],MATCH("MinimumAcceptCompleteness",tblParameters[Parameter],0))
),
"Review",
"Accept")),
"Parameter Error")</f>
        <v>Review</v>
      </c>
    </row>
    <row r="311" spans="1:12" ht="63.75">
      <c r="A311" s="8" t="str">
        <f>TRIM(SUBSTITUTE(CLEAN(Raw_Data!A311),CHAR(160)," "))</f>
        <v>Abuja Municipal Area Council</v>
      </c>
      <c r="B311" s="8" t="str">
        <f t="array" ref="B311">TRIM(SUBSTITUTE(CLEAN(Raw_Data!B311),CHAR(160)," "))</f>
        <v>Kabusa Ward</v>
      </c>
      <c r="C311" s="8" t="str">
        <f t="array" ref="C311">TRIM(SUBSTITUTE(CLEAN(Raw_Data!C311),CHAR(160)," "))</f>
        <v>Pyakasa Primary Health Care Center</v>
      </c>
      <c r="D311" s="7">
        <f>COUNTA(Raw_Data!D311:CI311)</f>
        <v>61</v>
      </c>
      <c r="E311" s="7">
        <f t="shared" si="16"/>
        <v>23</v>
      </c>
      <c r="F311" s="9">
        <f>INDEX(tblParameters[Value],MATCH("ExpectedValues",tblParameters[Parameter],0))</f>
        <v>84</v>
      </c>
      <c r="G311" s="7">
        <f t="shared" si="17"/>
        <v>0.72619047619047616</v>
      </c>
      <c r="H311" s="7" t="str">
        <f>LOOKUP(G311,tblIndicatorScore[Min],tblIndicatorScore[Rating])</f>
        <v>Poor</v>
      </c>
      <c r="I311" s="7">
        <f>LOOKUP(G311,tblIndicatorScore[Min],tblIndicatorScore[Score])</f>
        <v>0</v>
      </c>
      <c r="J311" s="7" t="str">
        <f t="shared" si="18"/>
        <v>No</v>
      </c>
      <c r="K311" s="7" t="str">
        <f t="shared" si="19"/>
        <v>No</v>
      </c>
      <c r="L311" s="7" t="str">
        <f>IFERROR(
IF(K311="Yes","Incomplete",
IF(OR(
J311="Yes",
G311&lt;INDEX(tblParameters[Value],MATCH("MinimumAcceptCompleteness",tblParameters[Parameter],0))
),
"Review",
"Accept")),
"Parameter Error")</f>
        <v>Review</v>
      </c>
    </row>
    <row r="312" spans="1:12" ht="51">
      <c r="A312" s="8" t="str">
        <f>TRIM(SUBSTITUTE(CLEAN(Raw_Data!A312),CHAR(160)," "))</f>
        <v>Abuja Municipal Area Council</v>
      </c>
      <c r="B312" s="8" t="str">
        <f t="array" ref="B312">TRIM(SUBSTITUTE(CLEAN(Raw_Data!B312),CHAR(160)," "))</f>
        <v>Wuse Ward</v>
      </c>
      <c r="C312" s="8" t="str">
        <f t="array" ref="C312">TRIM(SUBSTITUTE(CLEAN(Raw_Data!C312),CHAR(160)," "))</f>
        <v>Queens Clinic and Maternity</v>
      </c>
      <c r="D312" s="7">
        <f>COUNTA(Raw_Data!D312:CI312)</f>
        <v>61</v>
      </c>
      <c r="E312" s="7">
        <f t="shared" si="16"/>
        <v>23</v>
      </c>
      <c r="F312" s="9">
        <f>INDEX(tblParameters[Value],MATCH("ExpectedValues",tblParameters[Parameter],0))</f>
        <v>84</v>
      </c>
      <c r="G312" s="7">
        <f t="shared" si="17"/>
        <v>0.72619047619047616</v>
      </c>
      <c r="H312" s="7" t="str">
        <f>LOOKUP(G312,tblIndicatorScore[Min],tblIndicatorScore[Rating])</f>
        <v>Poor</v>
      </c>
      <c r="I312" s="7">
        <f>LOOKUP(G312,tblIndicatorScore[Min],tblIndicatorScore[Score])</f>
        <v>0</v>
      </c>
      <c r="J312" s="7" t="str">
        <f t="shared" si="18"/>
        <v>No</v>
      </c>
      <c r="K312" s="7" t="str">
        <f t="shared" si="19"/>
        <v>No</v>
      </c>
      <c r="L312" s="7" t="str">
        <f>IFERROR(
IF(K312="Yes","Incomplete",
IF(OR(
J312="Yes",
G312&lt;INDEX(tblParameters[Value],MATCH("MinimumAcceptCompleteness",tblParameters[Parameter],0))
),
"Review",
"Accept")),
"Parameter Error")</f>
        <v>Review</v>
      </c>
    </row>
    <row r="313" spans="1:12" ht="51">
      <c r="A313" s="8" t="str">
        <f>TRIM(SUBSTITUTE(CLEAN(Raw_Data!A313),CHAR(160)," "))</f>
        <v>Gwagwalada Local Government Area</v>
      </c>
      <c r="B313" s="8" t="str">
        <f t="array" ref="B313">TRIM(SUBSTITUTE(CLEAN(Raw_Data!B313),CHAR(160)," "))</f>
        <v>Ibwa Ward</v>
      </c>
      <c r="C313" s="8" t="str">
        <f t="array" ref="C313">TRIM(SUBSTITUTE(CLEAN(Raw_Data!C313),CHAR(160)," "))</f>
        <v>Rafin Zurfi Primary Health Clinic</v>
      </c>
      <c r="D313" s="7">
        <f>COUNTA(Raw_Data!D313:CI313)</f>
        <v>63</v>
      </c>
      <c r="E313" s="7">
        <f t="shared" si="16"/>
        <v>21</v>
      </c>
      <c r="F313" s="9">
        <f>INDEX(tblParameters[Value],MATCH("ExpectedValues",tblParameters[Parameter],0))</f>
        <v>84</v>
      </c>
      <c r="G313" s="7">
        <f t="shared" si="17"/>
        <v>0.75</v>
      </c>
      <c r="H313" s="7" t="str">
        <f>LOOKUP(G313,tblIndicatorScore[Min],tblIndicatorScore[Rating])</f>
        <v>Poor</v>
      </c>
      <c r="I313" s="7">
        <f>LOOKUP(G313,tblIndicatorScore[Min],tblIndicatorScore[Score])</f>
        <v>0</v>
      </c>
      <c r="J313" s="7" t="str">
        <f t="shared" si="18"/>
        <v>No</v>
      </c>
      <c r="K313" s="7" t="str">
        <f t="shared" si="19"/>
        <v>No</v>
      </c>
      <c r="L313" s="7" t="str">
        <f>IFERROR(
IF(K313="Yes","Incomplete",
IF(OR(
J313="Yes",
G313&lt;INDEX(tblParameters[Value],MATCH("MinimumAcceptCompleteness",tblParameters[Parameter],0))
),
"Review",
"Accept")),
"Parameter Error")</f>
        <v>Review</v>
      </c>
    </row>
    <row r="314" spans="1:12" ht="51">
      <c r="A314" s="8" t="str">
        <f>TRIM(SUBSTITUTE(CLEAN(Raw_Data!A314),CHAR(160)," "))</f>
        <v>Abaji Local Government Area</v>
      </c>
      <c r="B314" s="8" t="str">
        <f t="array" ref="B314">TRIM(SUBSTITUTE(CLEAN(Raw_Data!B314),CHAR(160)," "))</f>
        <v>Gurdi Ward</v>
      </c>
      <c r="C314" s="8" t="str">
        <f t="array" ref="C314">TRIM(SUBSTITUTE(CLEAN(Raw_Data!C314),CHAR(160)," "))</f>
        <v>Rafindaji Primary Health Clinic</v>
      </c>
      <c r="D314" s="7">
        <f>COUNTA(Raw_Data!D314:CI314)</f>
        <v>75</v>
      </c>
      <c r="E314" s="7">
        <f t="shared" si="16"/>
        <v>9</v>
      </c>
      <c r="F314" s="9">
        <f>INDEX(tblParameters[Value],MATCH("ExpectedValues",tblParameters[Parameter],0))</f>
        <v>84</v>
      </c>
      <c r="G314" s="7">
        <f t="shared" si="17"/>
        <v>0.8928571428571429</v>
      </c>
      <c r="H314" s="7" t="str">
        <f>LOOKUP(G314,tblIndicatorScore[Min],tblIndicatorScore[Rating])</f>
        <v>Fair</v>
      </c>
      <c r="I314" s="7">
        <f>LOOKUP(G314,tblIndicatorScore[Min],tblIndicatorScore[Score])</f>
        <v>1</v>
      </c>
      <c r="J314" s="7" t="str">
        <f t="shared" si="18"/>
        <v>No</v>
      </c>
      <c r="K314" s="7" t="str">
        <f t="shared" si="19"/>
        <v>No</v>
      </c>
      <c r="L314" s="7" t="str">
        <f>IFERROR(
IF(K314="Yes","Incomplete",
IF(OR(
J314="Yes",
G314&lt;INDEX(tblParameters[Value],MATCH("MinimumAcceptCompleteness",tblParameters[Parameter],0))
),
"Review",
"Accept")),
"Parameter Error")</f>
        <v>Review</v>
      </c>
    </row>
    <row r="315" spans="1:12" ht="51">
      <c r="A315" s="8" t="str">
        <f>TRIM(SUBSTITUTE(CLEAN(Raw_Data!A315),CHAR(160)," "))</f>
        <v>Kwali Local Government Area</v>
      </c>
      <c r="B315" s="8" t="str">
        <f t="array" ref="B315">TRIM(SUBSTITUTE(CLEAN(Raw_Data!B315),CHAR(160)," "))</f>
        <v>Kwali Ward</v>
      </c>
      <c r="C315" s="8" t="str">
        <f t="array" ref="C315">TRIM(SUBSTITUTE(CLEAN(Raw_Data!C315),CHAR(160)," "))</f>
        <v>Rhema Foundation Hospital</v>
      </c>
      <c r="D315" s="7">
        <f>COUNTA(Raw_Data!D315:CI315)</f>
        <v>4</v>
      </c>
      <c r="E315" s="7">
        <f t="shared" si="16"/>
        <v>80</v>
      </c>
      <c r="F315" s="9">
        <f>INDEX(tblParameters[Value],MATCH("ExpectedValues",tblParameters[Parameter],0))</f>
        <v>84</v>
      </c>
      <c r="G315" s="7">
        <f t="shared" si="17"/>
        <v>4.7619047619047616E-2</v>
      </c>
      <c r="H315" s="7" t="str">
        <f>LOOKUP(G315,tblIndicatorScore[Min],tblIndicatorScore[Rating])</f>
        <v>Poor</v>
      </c>
      <c r="I315" s="7">
        <f>LOOKUP(G315,tblIndicatorScore[Min],tblIndicatorScore[Score])</f>
        <v>0</v>
      </c>
      <c r="J315" s="7" t="str">
        <f t="shared" si="18"/>
        <v>No</v>
      </c>
      <c r="K315" s="7" t="str">
        <f t="shared" si="19"/>
        <v>No</v>
      </c>
      <c r="L315" s="7" t="str">
        <f>IFERROR(
IF(K315="Yes","Incomplete",
IF(OR(
J315="Yes",
G315&lt;INDEX(tblParameters[Value],MATCH("MinimumAcceptCompleteness",tblParameters[Parameter],0))
),
"Review",
"Accept")),
"Parameter Error")</f>
        <v>Review</v>
      </c>
    </row>
    <row r="316" spans="1:12" ht="51">
      <c r="A316" s="8" t="str">
        <f>TRIM(SUBSTITUTE(CLEAN(Raw_Data!A316),CHAR(160)," "))</f>
        <v>Abaji Local Government Area</v>
      </c>
      <c r="B316" s="8" t="str">
        <f t="array" ref="B316">TRIM(SUBSTITUTE(CLEAN(Raw_Data!B316),CHAR(160)," "))</f>
        <v>Ebagi Rimba Ward</v>
      </c>
      <c r="C316" s="8" t="str">
        <f t="array" ref="C316">TRIM(SUBSTITUTE(CLEAN(Raw_Data!C316),CHAR(160)," "))</f>
        <v>Rimba Primary Health Clinic</v>
      </c>
      <c r="D316" s="7">
        <f>COUNTA(Raw_Data!D316:CI316)</f>
        <v>58</v>
      </c>
      <c r="E316" s="7">
        <f t="shared" si="16"/>
        <v>26</v>
      </c>
      <c r="F316" s="9">
        <f>INDEX(tblParameters[Value],MATCH("ExpectedValues",tblParameters[Parameter],0))</f>
        <v>84</v>
      </c>
      <c r="G316" s="7">
        <f t="shared" si="17"/>
        <v>0.69047619047619047</v>
      </c>
      <c r="H316" s="7" t="str">
        <f>LOOKUP(G316,tblIndicatorScore[Min],tblIndicatorScore[Rating])</f>
        <v>Poor</v>
      </c>
      <c r="I316" s="7">
        <f>LOOKUP(G316,tblIndicatorScore[Min],tblIndicatorScore[Score])</f>
        <v>0</v>
      </c>
      <c r="J316" s="7" t="str">
        <f t="shared" si="18"/>
        <v>No</v>
      </c>
      <c r="K316" s="7" t="str">
        <f t="shared" si="19"/>
        <v>No</v>
      </c>
      <c r="L316" s="7" t="str">
        <f>IFERROR(
IF(K316="Yes","Incomplete",
IF(OR(
J316="Yes",
G316&lt;INDEX(tblParameters[Value],MATCH("MinimumAcceptCompleteness",tblParameters[Parameter],0))
),
"Review",
"Accept")),
"Parameter Error")</f>
        <v>Review</v>
      </c>
    </row>
    <row r="317" spans="1:12" ht="51">
      <c r="A317" s="8" t="str">
        <f>TRIM(SUBSTITUTE(CLEAN(Raw_Data!A317),CHAR(160)," "))</f>
        <v>Abuja Municipal Area Council</v>
      </c>
      <c r="B317" s="8" t="str">
        <f t="array" ref="B317">TRIM(SUBSTITUTE(CLEAN(Raw_Data!B317),CHAR(160)," "))</f>
        <v>Garki Ward</v>
      </c>
      <c r="C317" s="8" t="str">
        <f t="array" ref="C317">TRIM(SUBSTITUTE(CLEAN(Raw_Data!C317),CHAR(160)," "))</f>
        <v>Rouz Hospital and Maternity</v>
      </c>
      <c r="D317" s="7">
        <f>COUNTA(Raw_Data!D317:CI317)</f>
        <v>48</v>
      </c>
      <c r="E317" s="7">
        <f t="shared" si="16"/>
        <v>36</v>
      </c>
      <c r="F317" s="9">
        <f>INDEX(tblParameters[Value],MATCH("ExpectedValues",tblParameters[Parameter],0))</f>
        <v>84</v>
      </c>
      <c r="G317" s="7">
        <f t="shared" si="17"/>
        <v>0.5714285714285714</v>
      </c>
      <c r="H317" s="7" t="str">
        <f>LOOKUP(G317,tblIndicatorScore[Min],tblIndicatorScore[Rating])</f>
        <v>Poor</v>
      </c>
      <c r="I317" s="7">
        <f>LOOKUP(G317,tblIndicatorScore[Min],tblIndicatorScore[Score])</f>
        <v>0</v>
      </c>
      <c r="J317" s="7" t="str">
        <f t="shared" si="18"/>
        <v>No</v>
      </c>
      <c r="K317" s="7" t="str">
        <f t="shared" si="19"/>
        <v>No</v>
      </c>
      <c r="L317" s="7" t="str">
        <f>IFERROR(
IF(K317="Yes","Incomplete",
IF(OR(
J317="Yes",
G317&lt;INDEX(tblParameters[Value],MATCH("MinimumAcceptCompleteness",tblParameters[Parameter],0))
),
"Review",
"Accept")),
"Parameter Error")</f>
        <v>Review</v>
      </c>
    </row>
    <row r="318" spans="1:12" ht="51">
      <c r="A318" s="8" t="str">
        <f>TRIM(SUBSTITUTE(CLEAN(Raw_Data!A318),CHAR(160)," "))</f>
        <v>Abuja Municipal Area Council</v>
      </c>
      <c r="B318" s="8" t="str">
        <f t="array" ref="B318">TRIM(SUBSTITUTE(CLEAN(Raw_Data!B318),CHAR(160)," "))</f>
        <v>Gwarimpa Ward</v>
      </c>
      <c r="C318" s="8" t="str">
        <f t="array" ref="C318">TRIM(SUBSTITUTE(CLEAN(Raw_Data!C318),CHAR(160)," "))</f>
        <v>Royal Care Clinic and Maternity</v>
      </c>
      <c r="D318" s="7">
        <f>COUNTA(Raw_Data!D318:CI318)</f>
        <v>1</v>
      </c>
      <c r="E318" s="7">
        <f t="shared" si="16"/>
        <v>83</v>
      </c>
      <c r="F318" s="9">
        <f>INDEX(tblParameters[Value],MATCH("ExpectedValues",tblParameters[Parameter],0))</f>
        <v>84</v>
      </c>
      <c r="G318" s="7">
        <f t="shared" si="17"/>
        <v>1.1904761904761904E-2</v>
      </c>
      <c r="H318" s="7" t="str">
        <f>LOOKUP(G318,tblIndicatorScore[Min],tblIndicatorScore[Rating])</f>
        <v>Poor</v>
      </c>
      <c r="I318" s="7">
        <f>LOOKUP(G318,tblIndicatorScore[Min],tblIndicatorScore[Score])</f>
        <v>0</v>
      </c>
      <c r="J318" s="7" t="str">
        <f t="shared" si="18"/>
        <v>No</v>
      </c>
      <c r="K318" s="7" t="str">
        <f t="shared" si="19"/>
        <v>No</v>
      </c>
      <c r="L318" s="7" t="str">
        <f>IFERROR(
IF(K318="Yes","Incomplete",
IF(OR(
J318="Yes",
G318&lt;INDEX(tblParameters[Value],MATCH("MinimumAcceptCompleteness",tblParameters[Parameter],0))
),
"Review",
"Accept")),
"Parameter Error")</f>
        <v>Review</v>
      </c>
    </row>
    <row r="319" spans="1:12" ht="51">
      <c r="A319" s="8" t="str">
        <f>TRIM(SUBSTITUTE(CLEAN(Raw_Data!A319),CHAR(160)," "))</f>
        <v>Kuje Local Government Area</v>
      </c>
      <c r="B319" s="8" t="str">
        <f t="array" ref="B319">TRIM(SUBSTITUTE(CLEAN(Raw_Data!B319),CHAR(160)," "))</f>
        <v>Rubochi Ward</v>
      </c>
      <c r="C319" s="8" t="str">
        <f t="array" ref="C319">TRIM(SUBSTITUTE(CLEAN(Raw_Data!C319),CHAR(160)," "))</f>
        <v>Rubochi General Hospital</v>
      </c>
      <c r="D319" s="7">
        <f>COUNTA(Raw_Data!D319:CI319)</f>
        <v>45</v>
      </c>
      <c r="E319" s="7">
        <f t="shared" si="16"/>
        <v>39</v>
      </c>
      <c r="F319" s="9">
        <f>INDEX(tblParameters[Value],MATCH("ExpectedValues",tblParameters[Parameter],0))</f>
        <v>84</v>
      </c>
      <c r="G319" s="7">
        <f t="shared" si="17"/>
        <v>0.5357142857142857</v>
      </c>
      <c r="H319" s="7" t="str">
        <f>LOOKUP(G319,tblIndicatorScore[Min],tblIndicatorScore[Rating])</f>
        <v>Poor</v>
      </c>
      <c r="I319" s="7">
        <f>LOOKUP(G319,tblIndicatorScore[Min],tblIndicatorScore[Score])</f>
        <v>0</v>
      </c>
      <c r="J319" s="7" t="str">
        <f t="shared" si="18"/>
        <v>No</v>
      </c>
      <c r="K319" s="7" t="str">
        <f t="shared" si="19"/>
        <v>No</v>
      </c>
      <c r="L319" s="7" t="str">
        <f>IFERROR(
IF(K319="Yes","Incomplete",
IF(OR(
J319="Yes",
G319&lt;INDEX(tblParameters[Value],MATCH("MinimumAcceptCompleteness",tblParameters[Parameter],0))
),
"Review",
"Accept")),
"Parameter Error")</f>
        <v>Review</v>
      </c>
    </row>
    <row r="320" spans="1:12" ht="51">
      <c r="A320" s="8" t="str">
        <f>TRIM(SUBSTITUTE(CLEAN(Raw_Data!A320),CHAR(160)," "))</f>
        <v>Kuje Local Government Area</v>
      </c>
      <c r="B320" s="8" t="str">
        <f t="array" ref="B320">TRIM(SUBSTITUTE(CLEAN(Raw_Data!B320),CHAR(160)," "))</f>
        <v>Rubochi Ward</v>
      </c>
      <c r="C320" s="8" t="str">
        <f t="array" ref="C320">TRIM(SUBSTITUTE(CLEAN(Raw_Data!C320),CHAR(160)," "))</f>
        <v>Rubochi Primary Health Centre</v>
      </c>
      <c r="D320" s="7">
        <f>COUNTA(Raw_Data!D320:CI320)</f>
        <v>69</v>
      </c>
      <c r="E320" s="7">
        <f t="shared" si="16"/>
        <v>15</v>
      </c>
      <c r="F320" s="9">
        <f>INDEX(tblParameters[Value],MATCH("ExpectedValues",tblParameters[Parameter],0))</f>
        <v>84</v>
      </c>
      <c r="G320" s="7">
        <f t="shared" si="17"/>
        <v>0.8214285714285714</v>
      </c>
      <c r="H320" s="7" t="str">
        <f>LOOKUP(G320,tblIndicatorScore[Min],tblIndicatorScore[Rating])</f>
        <v>Fair</v>
      </c>
      <c r="I320" s="7">
        <f>LOOKUP(G320,tblIndicatorScore[Min],tblIndicatorScore[Score])</f>
        <v>1</v>
      </c>
      <c r="J320" s="7" t="str">
        <f t="shared" si="18"/>
        <v>No</v>
      </c>
      <c r="K320" s="7" t="str">
        <f t="shared" si="19"/>
        <v>No</v>
      </c>
      <c r="L320" s="7" t="str">
        <f>IFERROR(
IF(K320="Yes","Incomplete",
IF(OR(
J320="Yes",
G320&lt;INDEX(tblParameters[Value],MATCH("MinimumAcceptCompleteness",tblParameters[Parameter],0))
),
"Review",
"Accept")),
"Parameter Error")</f>
        <v>Review</v>
      </c>
    </row>
    <row r="321" spans="1:12" ht="51">
      <c r="A321" s="8" t="str">
        <f>TRIM(SUBSTITUTE(CLEAN(Raw_Data!A321),CHAR(160)," "))</f>
        <v>Kuje Local Government Area</v>
      </c>
      <c r="B321" s="8" t="str">
        <f t="array" ref="B321">TRIM(SUBSTITUTE(CLEAN(Raw_Data!B321),CHAR(160)," "))</f>
        <v>Kwaku Ward</v>
      </c>
      <c r="C321" s="8" t="str">
        <f t="array" ref="C321">TRIM(SUBSTITUTE(CLEAN(Raw_Data!C321),CHAR(160)," "))</f>
        <v>Sabo Primary Health Centre</v>
      </c>
      <c r="D321" s="7">
        <f>COUNTA(Raw_Data!D321:CI321)</f>
        <v>58</v>
      </c>
      <c r="E321" s="7">
        <f t="shared" si="16"/>
        <v>26</v>
      </c>
      <c r="F321" s="9">
        <f>INDEX(tblParameters[Value],MATCH("ExpectedValues",tblParameters[Parameter],0))</f>
        <v>84</v>
      </c>
      <c r="G321" s="7">
        <f t="shared" si="17"/>
        <v>0.69047619047619047</v>
      </c>
      <c r="H321" s="7" t="str">
        <f>LOOKUP(G321,tblIndicatorScore[Min],tblIndicatorScore[Rating])</f>
        <v>Poor</v>
      </c>
      <c r="I321" s="7">
        <f>LOOKUP(G321,tblIndicatorScore[Min],tblIndicatorScore[Score])</f>
        <v>0</v>
      </c>
      <c r="J321" s="7" t="str">
        <f t="shared" si="18"/>
        <v>No</v>
      </c>
      <c r="K321" s="7" t="str">
        <f t="shared" si="19"/>
        <v>No</v>
      </c>
      <c r="L321" s="7" t="str">
        <f>IFERROR(
IF(K321="Yes","Incomplete",
IF(OR(
J321="Yes",
G321&lt;INDEX(tblParameters[Value],MATCH("MinimumAcceptCompleteness",tblParameters[Parameter],0))
),
"Review",
"Accept")),
"Parameter Error")</f>
        <v>Review</v>
      </c>
    </row>
    <row r="322" spans="1:12" ht="63.75">
      <c r="A322" s="8" t="str">
        <f>TRIM(SUBSTITUTE(CLEAN(Raw_Data!A322),CHAR(160)," "))</f>
        <v>Bwari Local Government Area</v>
      </c>
      <c r="B322" s="8" t="str">
        <f t="array" ref="B322">TRIM(SUBSTITUTE(CLEAN(Raw_Data!B322),CHAR(160)," "))</f>
        <v>Kuduru Ward</v>
      </c>
      <c r="C322" s="8" t="str">
        <f t="array" ref="C322">TRIM(SUBSTITUTE(CLEAN(Raw_Data!C322),CHAR(160)," "))</f>
        <v>Sabon Gari Primary Health Clinic</v>
      </c>
      <c r="D322" s="7">
        <f>COUNTA(Raw_Data!D322:CI322)</f>
        <v>66</v>
      </c>
      <c r="E322" s="7">
        <f t="shared" si="16"/>
        <v>18</v>
      </c>
      <c r="F322" s="9">
        <f>INDEX(tblParameters[Value],MATCH("ExpectedValues",tblParameters[Parameter],0))</f>
        <v>84</v>
      </c>
      <c r="G322" s="7">
        <f t="shared" si="17"/>
        <v>0.7857142857142857</v>
      </c>
      <c r="H322" s="7" t="str">
        <f>LOOKUP(G322,tblIndicatorScore[Min],tblIndicatorScore[Rating])</f>
        <v>Poor</v>
      </c>
      <c r="I322" s="7">
        <f>LOOKUP(G322,tblIndicatorScore[Min],tblIndicatorScore[Score])</f>
        <v>0</v>
      </c>
      <c r="J322" s="7" t="str">
        <f t="shared" si="18"/>
        <v>No</v>
      </c>
      <c r="K322" s="7" t="str">
        <f t="shared" si="19"/>
        <v>No</v>
      </c>
      <c r="L322" s="7" t="str">
        <f>IFERROR(
IF(K322="Yes","Incomplete",
IF(OR(
J322="Yes",
G322&lt;INDEX(tblParameters[Value],MATCH("MinimumAcceptCompleteness",tblParameters[Parameter],0))
),
"Review",
"Accept")),
"Parameter Error")</f>
        <v>Review</v>
      </c>
    </row>
    <row r="323" spans="1:12" ht="51">
      <c r="A323" s="8" t="str">
        <f>TRIM(SUBSTITUTE(CLEAN(Raw_Data!A323),CHAR(160)," "))</f>
        <v>Abuja Municipal Area Council</v>
      </c>
      <c r="B323" s="8" t="str">
        <f t="array" ref="B323">TRIM(SUBSTITUTE(CLEAN(Raw_Data!B323),CHAR(160)," "))</f>
        <v>Gwagwa Ward</v>
      </c>
      <c r="C323" s="8" t="str">
        <f t="array" ref="C323">TRIM(SUBSTITUTE(CLEAN(Raw_Data!C323),CHAR(160)," "))</f>
        <v>Saburi Primary Health Clinic</v>
      </c>
      <c r="D323" s="7">
        <f>COUNTA(Raw_Data!D323:CI323)</f>
        <v>75</v>
      </c>
      <c r="E323" s="7">
        <f t="shared" ref="E323:E386" si="20">F323-D323</f>
        <v>9</v>
      </c>
      <c r="F323" s="9">
        <f>INDEX(tblParameters[Value],MATCH("ExpectedValues",tblParameters[Parameter],0))</f>
        <v>84</v>
      </c>
      <c r="G323" s="7">
        <f t="shared" ref="G323:G386" si="21">D323/F323</f>
        <v>0.8928571428571429</v>
      </c>
      <c r="H323" s="7" t="str">
        <f>LOOKUP(G323,tblIndicatorScore[Min],tblIndicatorScore[Rating])</f>
        <v>Fair</v>
      </c>
      <c r="I323" s="7">
        <f>LOOKUP(G323,tblIndicatorScore[Min],tblIndicatorScore[Score])</f>
        <v>1</v>
      </c>
      <c r="J323" s="7" t="str">
        <f t="shared" ref="J323:J386" si="22">IF(OR(A323="",B323="",C323=""),"",IF(COUNTIFS($A:$A,A323,$B:$B,B323,$C:$C,C323)&gt;1,"Yes","No"))</f>
        <v>No</v>
      </c>
      <c r="K323" s="7" t="str">
        <f t="shared" ref="K323:K386" si="23">IF(OR(TRIM(A323)="",TRIM(B323)="",TRIM(C323)="",D323&lt;=0,F323&lt;=0),"Yes","No")</f>
        <v>No</v>
      </c>
      <c r="L323" s="7" t="str">
        <f>IFERROR(
IF(K323="Yes","Incomplete",
IF(OR(
J323="Yes",
G323&lt;INDEX(tblParameters[Value],MATCH("MinimumAcceptCompleteness",tblParameters[Parameter],0))
),
"Review",
"Accept")),
"Parameter Error")</f>
        <v>Review</v>
      </c>
    </row>
    <row r="324" spans="1:12" ht="51">
      <c r="A324" s="8" t="str">
        <f>TRIM(SUBSTITUTE(CLEAN(Raw_Data!A324),CHAR(160)," "))</f>
        <v>Abuja Municipal Area Council</v>
      </c>
      <c r="B324" s="8" t="str">
        <f t="array" ref="B324">TRIM(SUBSTITUTE(CLEAN(Raw_Data!B324),CHAR(160)," "))</f>
        <v>Nyanya Ward</v>
      </c>
      <c r="C324" s="8" t="str">
        <f t="array" ref="C324">TRIM(SUBSTITUTE(CLEAN(Raw_Data!C324),CHAR(160)," "))</f>
        <v>Saffron Hospital</v>
      </c>
      <c r="D324" s="7">
        <f>COUNTA(Raw_Data!D324:CI324)</f>
        <v>41</v>
      </c>
      <c r="E324" s="7">
        <f t="shared" si="20"/>
        <v>43</v>
      </c>
      <c r="F324" s="9">
        <f>INDEX(tblParameters[Value],MATCH("ExpectedValues",tblParameters[Parameter],0))</f>
        <v>84</v>
      </c>
      <c r="G324" s="7">
        <f t="shared" si="21"/>
        <v>0.48809523809523808</v>
      </c>
      <c r="H324" s="7" t="str">
        <f>LOOKUP(G324,tblIndicatorScore[Min],tblIndicatorScore[Rating])</f>
        <v>Poor</v>
      </c>
      <c r="I324" s="7">
        <f>LOOKUP(G324,tblIndicatorScore[Min],tblIndicatorScore[Score])</f>
        <v>0</v>
      </c>
      <c r="J324" s="7" t="str">
        <f t="shared" si="22"/>
        <v>No</v>
      </c>
      <c r="K324" s="7" t="str">
        <f t="shared" si="23"/>
        <v>No</v>
      </c>
      <c r="L324" s="7" t="str">
        <f>IFERROR(
IF(K324="Yes","Incomplete",
IF(OR(
J324="Yes",
G324&lt;INDEX(tblParameters[Value],MATCH("MinimumAcceptCompleteness",tblParameters[Parameter],0))
),
"Review",
"Accept")),
"Parameter Error")</f>
        <v>Review</v>
      </c>
    </row>
    <row r="325" spans="1:12" ht="63.75">
      <c r="A325" s="8" t="str">
        <f>TRIM(SUBSTITUTE(CLEAN(Raw_Data!A325),CHAR(160)," "))</f>
        <v>Abuja Municipal Area Council</v>
      </c>
      <c r="B325" s="8" t="str">
        <f t="array" ref="B325">TRIM(SUBSTITUTE(CLEAN(Raw_Data!B325),CHAR(160)," "))</f>
        <v>Wuse Ward</v>
      </c>
      <c r="C325" s="8" t="str">
        <f t="array" ref="C325">TRIM(SUBSTITUTE(CLEAN(Raw_Data!C325),CHAR(160)," "))</f>
        <v>Saint Catherine's Specialist Hospital</v>
      </c>
      <c r="D325" s="7">
        <f>COUNTA(Raw_Data!D325:CI325)</f>
        <v>52</v>
      </c>
      <c r="E325" s="7">
        <f t="shared" si="20"/>
        <v>32</v>
      </c>
      <c r="F325" s="9">
        <f>INDEX(tblParameters[Value],MATCH("ExpectedValues",tblParameters[Parameter],0))</f>
        <v>84</v>
      </c>
      <c r="G325" s="7">
        <f t="shared" si="21"/>
        <v>0.61904761904761907</v>
      </c>
      <c r="H325" s="7" t="str">
        <f>LOOKUP(G325,tblIndicatorScore[Min],tblIndicatorScore[Rating])</f>
        <v>Poor</v>
      </c>
      <c r="I325" s="7">
        <f>LOOKUP(G325,tblIndicatorScore[Min],tblIndicatorScore[Score])</f>
        <v>0</v>
      </c>
      <c r="J325" s="7" t="str">
        <f t="shared" si="22"/>
        <v>No</v>
      </c>
      <c r="K325" s="7" t="str">
        <f t="shared" si="23"/>
        <v>No</v>
      </c>
      <c r="L325" s="7" t="str">
        <f>IFERROR(
IF(K325="Yes","Incomplete",
IF(OR(
J325="Yes",
G325&lt;INDEX(tblParameters[Value],MATCH("MinimumAcceptCompleteness",tblParameters[Parameter],0))
),
"Review",
"Accept")),
"Parameter Error")</f>
        <v>Review</v>
      </c>
    </row>
    <row r="326" spans="1:12" ht="76.5">
      <c r="A326" s="8" t="str">
        <f>TRIM(SUBSTITUTE(CLEAN(Raw_Data!A326),CHAR(160)," "))</f>
        <v>Abuja Municipal Area Council</v>
      </c>
      <c r="B326" s="8" t="str">
        <f t="array" ref="B326">TRIM(SUBSTITUTE(CLEAN(Raw_Data!B326),CHAR(160)," "))</f>
        <v>Gwarimpa Ward</v>
      </c>
      <c r="C326" s="8" t="str">
        <f t="array" ref="C326">TRIM(SUBSTITUTE(CLEAN(Raw_Data!C326),CHAR(160)," "))</f>
        <v>Salama Infirmary Hospital &amp; Maternity Ltd</v>
      </c>
      <c r="D326" s="7">
        <f>COUNTA(Raw_Data!D326:CI326)</f>
        <v>21</v>
      </c>
      <c r="E326" s="7">
        <f t="shared" si="20"/>
        <v>63</v>
      </c>
      <c r="F326" s="9">
        <f>INDEX(tblParameters[Value],MATCH("ExpectedValues",tblParameters[Parameter],0))</f>
        <v>84</v>
      </c>
      <c r="G326" s="7">
        <f t="shared" si="21"/>
        <v>0.25</v>
      </c>
      <c r="H326" s="7" t="str">
        <f>LOOKUP(G326,tblIndicatorScore[Min],tblIndicatorScore[Rating])</f>
        <v>Poor</v>
      </c>
      <c r="I326" s="7">
        <f>LOOKUP(G326,tblIndicatorScore[Min],tblIndicatorScore[Score])</f>
        <v>0</v>
      </c>
      <c r="J326" s="7" t="str">
        <f t="shared" si="22"/>
        <v>No</v>
      </c>
      <c r="K326" s="7" t="str">
        <f t="shared" si="23"/>
        <v>No</v>
      </c>
      <c r="L326" s="7" t="str">
        <f>IFERROR(
IF(K326="Yes","Incomplete",
IF(OR(
J326="Yes",
G326&lt;INDEX(tblParameters[Value],MATCH("MinimumAcceptCompleteness",tblParameters[Parameter],0))
),
"Review",
"Accept")),
"Parameter Error")</f>
        <v>Review</v>
      </c>
    </row>
    <row r="327" spans="1:12" ht="51">
      <c r="A327" s="8" t="str">
        <f>TRIM(SUBSTITUTE(CLEAN(Raw_Data!A327),CHAR(160)," "))</f>
        <v>Abuja Municipal Area Council</v>
      </c>
      <c r="B327" s="8" t="str">
        <f t="array" ref="B327">TRIM(SUBSTITUTE(CLEAN(Raw_Data!B327),CHAR(160)," "))</f>
        <v>Wuse Ward</v>
      </c>
      <c r="C327" s="8" t="str">
        <f t="array" ref="C327">TRIM(SUBSTITUTE(CLEAN(Raw_Data!C327),CHAR(160)," "))</f>
        <v>Sami Wadata Clinic (Wuse)</v>
      </c>
      <c r="D327" s="7">
        <f>COUNTA(Raw_Data!D327:CI327)</f>
        <v>41</v>
      </c>
      <c r="E327" s="7">
        <f t="shared" si="20"/>
        <v>43</v>
      </c>
      <c r="F327" s="9">
        <f>INDEX(tblParameters[Value],MATCH("ExpectedValues",tblParameters[Parameter],0))</f>
        <v>84</v>
      </c>
      <c r="G327" s="7">
        <f t="shared" si="21"/>
        <v>0.48809523809523808</v>
      </c>
      <c r="H327" s="7" t="str">
        <f>LOOKUP(G327,tblIndicatorScore[Min],tblIndicatorScore[Rating])</f>
        <v>Poor</v>
      </c>
      <c r="I327" s="7">
        <f>LOOKUP(G327,tblIndicatorScore[Min],tblIndicatorScore[Score])</f>
        <v>0</v>
      </c>
      <c r="J327" s="7" t="str">
        <f t="shared" si="22"/>
        <v>No</v>
      </c>
      <c r="K327" s="7" t="str">
        <f t="shared" si="23"/>
        <v>No</v>
      </c>
      <c r="L327" s="7" t="str">
        <f>IFERROR(
IF(K327="Yes","Incomplete",
IF(OR(
J327="Yes",
G327&lt;INDEX(tblParameters[Value],MATCH("MinimumAcceptCompleteness",tblParameters[Parameter],0))
),
"Review",
"Accept")),
"Parameter Error")</f>
        <v>Review</v>
      </c>
    </row>
    <row r="328" spans="1:12" ht="51">
      <c r="A328" s="8" t="str">
        <f>TRIM(SUBSTITUTE(CLEAN(Raw_Data!A328),CHAR(160)," "))</f>
        <v>Abuja Municipal Area Council</v>
      </c>
      <c r="B328" s="8" t="str">
        <f t="array" ref="B328">TRIM(SUBSTITUTE(CLEAN(Raw_Data!B328),CHAR(160)," "))</f>
        <v>Wuse Ward</v>
      </c>
      <c r="C328" s="8" t="str">
        <f t="array" ref="C328">TRIM(SUBSTITUTE(CLEAN(Raw_Data!C328),CHAR(160)," "))</f>
        <v>Sauki Private Hospital</v>
      </c>
      <c r="D328" s="7">
        <f>COUNTA(Raw_Data!D328:CI328)</f>
        <v>26</v>
      </c>
      <c r="E328" s="7">
        <f t="shared" si="20"/>
        <v>58</v>
      </c>
      <c r="F328" s="9">
        <f>INDEX(tblParameters[Value],MATCH("ExpectedValues",tblParameters[Parameter],0))</f>
        <v>84</v>
      </c>
      <c r="G328" s="7">
        <f t="shared" si="21"/>
        <v>0.30952380952380953</v>
      </c>
      <c r="H328" s="7" t="str">
        <f>LOOKUP(G328,tblIndicatorScore[Min],tblIndicatorScore[Rating])</f>
        <v>Poor</v>
      </c>
      <c r="I328" s="7">
        <f>LOOKUP(G328,tblIndicatorScore[Min],tblIndicatorScore[Score])</f>
        <v>0</v>
      </c>
      <c r="J328" s="7" t="str">
        <f t="shared" si="22"/>
        <v>No</v>
      </c>
      <c r="K328" s="7" t="str">
        <f t="shared" si="23"/>
        <v>No</v>
      </c>
      <c r="L328" s="7" t="str">
        <f>IFERROR(
IF(K328="Yes","Incomplete",
IF(OR(
J328="Yes",
G328&lt;INDEX(tblParameters[Value],MATCH("MinimumAcceptCompleteness",tblParameters[Parameter],0))
),
"Review",
"Accept")),
"Parameter Error")</f>
        <v>Review</v>
      </c>
    </row>
    <row r="329" spans="1:12" ht="51">
      <c r="A329" s="8" t="str">
        <f>TRIM(SUBSTITUTE(CLEAN(Raw_Data!A329),CHAR(160)," "))</f>
        <v>Abuja Municipal Area Council</v>
      </c>
      <c r="B329" s="8" t="str">
        <f t="array" ref="B329">TRIM(SUBSTITUTE(CLEAN(Raw_Data!B329),CHAR(160)," "))</f>
        <v>Garki Ward</v>
      </c>
      <c r="C329" s="8" t="str">
        <f t="array" ref="C329">TRIM(SUBSTITUTE(CLEAN(Raw_Data!C329),CHAR(160)," "))</f>
        <v>Shadalafiya Clinic</v>
      </c>
      <c r="D329" s="7">
        <f>COUNTA(Raw_Data!D329:CI329)</f>
        <v>26</v>
      </c>
      <c r="E329" s="7">
        <f t="shared" si="20"/>
        <v>58</v>
      </c>
      <c r="F329" s="9">
        <f>INDEX(tblParameters[Value],MATCH("ExpectedValues",tblParameters[Parameter],0))</f>
        <v>84</v>
      </c>
      <c r="G329" s="7">
        <f t="shared" si="21"/>
        <v>0.30952380952380953</v>
      </c>
      <c r="H329" s="7" t="str">
        <f>LOOKUP(G329,tblIndicatorScore[Min],tblIndicatorScore[Rating])</f>
        <v>Poor</v>
      </c>
      <c r="I329" s="7">
        <f>LOOKUP(G329,tblIndicatorScore[Min],tblIndicatorScore[Score])</f>
        <v>0</v>
      </c>
      <c r="J329" s="7" t="str">
        <f t="shared" si="22"/>
        <v>No</v>
      </c>
      <c r="K329" s="7" t="str">
        <f t="shared" si="23"/>
        <v>No</v>
      </c>
      <c r="L329" s="7" t="str">
        <f>IFERROR(
IF(K329="Yes","Incomplete",
IF(OR(
J329="Yes",
G329&lt;INDEX(tblParameters[Value],MATCH("MinimumAcceptCompleteness",tblParameters[Parameter],0))
),
"Review",
"Accept")),
"Parameter Error")</f>
        <v>Review</v>
      </c>
    </row>
    <row r="330" spans="1:12" ht="63.75">
      <c r="A330" s="8" t="str">
        <f>TRIM(SUBSTITUTE(CLEAN(Raw_Data!A330),CHAR(160)," "))</f>
        <v>Kwali Local Government Area</v>
      </c>
      <c r="B330" s="8" t="str">
        <f t="array" ref="B330">TRIM(SUBSTITUTE(CLEAN(Raw_Data!B330),CHAR(160)," "))</f>
        <v>Kilankwa Ward</v>
      </c>
      <c r="C330" s="8" t="str">
        <f t="array" ref="C330">TRIM(SUBSTITUTE(CLEAN(Raw_Data!C330),CHAR(160)," "))</f>
        <v>Sheda Galadima Primary Health Clinic</v>
      </c>
      <c r="D330" s="7">
        <f>COUNTA(Raw_Data!D330:CI330)</f>
        <v>41</v>
      </c>
      <c r="E330" s="7">
        <f t="shared" si="20"/>
        <v>43</v>
      </c>
      <c r="F330" s="9">
        <f>INDEX(tblParameters[Value],MATCH("ExpectedValues",tblParameters[Parameter],0))</f>
        <v>84</v>
      </c>
      <c r="G330" s="7">
        <f t="shared" si="21"/>
        <v>0.48809523809523808</v>
      </c>
      <c r="H330" s="7" t="str">
        <f>LOOKUP(G330,tblIndicatorScore[Min],tblIndicatorScore[Rating])</f>
        <v>Poor</v>
      </c>
      <c r="I330" s="7">
        <f>LOOKUP(G330,tblIndicatorScore[Min],tblIndicatorScore[Score])</f>
        <v>0</v>
      </c>
      <c r="J330" s="7" t="str">
        <f t="shared" si="22"/>
        <v>No</v>
      </c>
      <c r="K330" s="7" t="str">
        <f t="shared" si="23"/>
        <v>No</v>
      </c>
      <c r="L330" s="7" t="str">
        <f>IFERROR(
IF(K330="Yes","Incomplete",
IF(OR(
J330="Yes",
G330&lt;INDEX(tblParameters[Value],MATCH("MinimumAcceptCompleteness",tblParameters[Parameter],0))
),
"Review",
"Accept")),
"Parameter Error")</f>
        <v>Review</v>
      </c>
    </row>
    <row r="331" spans="1:12" ht="51">
      <c r="A331" s="8" t="str">
        <f>TRIM(SUBSTITUTE(CLEAN(Raw_Data!A331),CHAR(160)," "))</f>
        <v>Kwali Local Government Area</v>
      </c>
      <c r="B331" s="8" t="str">
        <f t="array" ref="B331">TRIM(SUBSTITUTE(CLEAN(Raw_Data!B331),CHAR(160)," "))</f>
        <v>Kilankwa Ward</v>
      </c>
      <c r="C331" s="8" t="str">
        <f t="array" ref="C331">TRIM(SUBSTITUTE(CLEAN(Raw_Data!C331),CHAR(160)," "))</f>
        <v>Sheda Primary Health Centre</v>
      </c>
      <c r="D331" s="7">
        <f>COUNTA(Raw_Data!D331:CI331)</f>
        <v>62</v>
      </c>
      <c r="E331" s="7">
        <f t="shared" si="20"/>
        <v>22</v>
      </c>
      <c r="F331" s="9">
        <f>INDEX(tblParameters[Value],MATCH("ExpectedValues",tblParameters[Parameter],0))</f>
        <v>84</v>
      </c>
      <c r="G331" s="7">
        <f t="shared" si="21"/>
        <v>0.73809523809523814</v>
      </c>
      <c r="H331" s="7" t="str">
        <f>LOOKUP(G331,tblIndicatorScore[Min],tblIndicatorScore[Rating])</f>
        <v>Poor</v>
      </c>
      <c r="I331" s="7">
        <f>LOOKUP(G331,tblIndicatorScore[Min],tblIndicatorScore[Score])</f>
        <v>0</v>
      </c>
      <c r="J331" s="7" t="str">
        <f t="shared" si="22"/>
        <v>No</v>
      </c>
      <c r="K331" s="7" t="str">
        <f t="shared" si="23"/>
        <v>No</v>
      </c>
      <c r="L331" s="7" t="str">
        <f>IFERROR(
IF(K331="Yes","Incomplete",
IF(OR(
J331="Yes",
G331&lt;INDEX(tblParameters[Value],MATCH("MinimumAcceptCompleteness",tblParameters[Parameter],0))
),
"Review",
"Accept")),
"Parameter Error")</f>
        <v>Review</v>
      </c>
    </row>
    <row r="332" spans="1:12" ht="51">
      <c r="A332" s="8" t="str">
        <f>TRIM(SUBSTITUTE(CLEAN(Raw_Data!A332),CHAR(160)," "))</f>
        <v>Gwagwalada Local Government Area</v>
      </c>
      <c r="B332" s="8" t="str">
        <f t="array" ref="B332">TRIM(SUBSTITUTE(CLEAN(Raw_Data!B332),CHAR(160)," "))</f>
        <v>Tungan Maje Ward</v>
      </c>
      <c r="C332" s="8" t="str">
        <f t="array" ref="C332">TRIM(SUBSTITUTE(CLEAN(Raw_Data!C332),CHAR(160)," "))</f>
        <v>Shenagu Health Clinic</v>
      </c>
      <c r="D332" s="7">
        <f>COUNTA(Raw_Data!D332:CI332)</f>
        <v>18</v>
      </c>
      <c r="E332" s="7">
        <f t="shared" si="20"/>
        <v>66</v>
      </c>
      <c r="F332" s="9">
        <f>INDEX(tblParameters[Value],MATCH("ExpectedValues",tblParameters[Parameter],0))</f>
        <v>84</v>
      </c>
      <c r="G332" s="7">
        <f t="shared" si="21"/>
        <v>0.21428571428571427</v>
      </c>
      <c r="H332" s="7" t="str">
        <f>LOOKUP(G332,tblIndicatorScore[Min],tblIndicatorScore[Rating])</f>
        <v>Poor</v>
      </c>
      <c r="I332" s="7">
        <f>LOOKUP(G332,tblIndicatorScore[Min],tblIndicatorScore[Score])</f>
        <v>0</v>
      </c>
      <c r="J332" s="7" t="str">
        <f t="shared" si="22"/>
        <v>No</v>
      </c>
      <c r="K332" s="7" t="str">
        <f t="shared" si="23"/>
        <v>No</v>
      </c>
      <c r="L332" s="7" t="str">
        <f>IFERROR(
IF(K332="Yes","Incomplete",
IF(OR(
J332="Yes",
G332&lt;INDEX(tblParameters[Value],MATCH("MinimumAcceptCompleteness",tblParameters[Parameter],0))
),
"Review",
"Accept")),
"Parameter Error")</f>
        <v>Review</v>
      </c>
    </row>
    <row r="333" spans="1:12" ht="51">
      <c r="A333" s="8" t="str">
        <f>TRIM(SUBSTITUTE(CLEAN(Raw_Data!A333),CHAR(160)," "))</f>
        <v>Bwari Local Government Area</v>
      </c>
      <c r="B333" s="8" t="str">
        <f t="array" ref="B333">TRIM(SUBSTITUTE(CLEAN(Raw_Data!B333),CHAR(160)," "))</f>
        <v>Shere Ward</v>
      </c>
      <c r="C333" s="8" t="str">
        <f t="array" ref="C333">TRIM(SUBSTITUTE(CLEAN(Raw_Data!C333),CHAR(160)," "))</f>
        <v>Shere Primary Health Center</v>
      </c>
      <c r="D333" s="7">
        <f>COUNTA(Raw_Data!D333:CI333)</f>
        <v>67</v>
      </c>
      <c r="E333" s="7">
        <f t="shared" si="20"/>
        <v>17</v>
      </c>
      <c r="F333" s="9">
        <f>INDEX(tblParameters[Value],MATCH("ExpectedValues",tblParameters[Parameter],0))</f>
        <v>84</v>
      </c>
      <c r="G333" s="7">
        <f t="shared" si="21"/>
        <v>0.79761904761904767</v>
      </c>
      <c r="H333" s="7" t="str">
        <f>LOOKUP(G333,tblIndicatorScore[Min],tblIndicatorScore[Rating])</f>
        <v>Poor</v>
      </c>
      <c r="I333" s="7">
        <f>LOOKUP(G333,tblIndicatorScore[Min],tblIndicatorScore[Score])</f>
        <v>0</v>
      </c>
      <c r="J333" s="7" t="str">
        <f t="shared" si="22"/>
        <v>No</v>
      </c>
      <c r="K333" s="7" t="str">
        <f t="shared" si="23"/>
        <v>No</v>
      </c>
      <c r="L333" s="7" t="str">
        <f>IFERROR(
IF(K333="Yes","Incomplete",
IF(OR(
J333="Yes",
G333&lt;INDEX(tblParameters[Value],MATCH("MinimumAcceptCompleteness",tblParameters[Parameter],0))
),
"Review",
"Accept")),
"Parameter Error")</f>
        <v>Review</v>
      </c>
    </row>
    <row r="334" spans="1:12" ht="51">
      <c r="A334" s="8" t="str">
        <f>TRIM(SUBSTITUTE(CLEAN(Raw_Data!A334),CHAR(160)," "))</f>
        <v>Bwari Local Government Area</v>
      </c>
      <c r="B334" s="8" t="str">
        <f t="array" ref="B334">TRIM(SUBSTITUTE(CLEAN(Raw_Data!B334),CHAR(160)," "))</f>
        <v>Shere Ward</v>
      </c>
      <c r="C334" s="8" t="str">
        <f t="array" ref="C334">TRIM(SUBSTITUTE(CLEAN(Raw_Data!C334),CHAR(160)," "))</f>
        <v>Sherepe Primary Health Clinic</v>
      </c>
      <c r="D334" s="7">
        <f>COUNTA(Raw_Data!D334:CI334)</f>
        <v>46</v>
      </c>
      <c r="E334" s="7">
        <f t="shared" si="20"/>
        <v>38</v>
      </c>
      <c r="F334" s="9">
        <f>INDEX(tblParameters[Value],MATCH("ExpectedValues",tblParameters[Parameter],0))</f>
        <v>84</v>
      </c>
      <c r="G334" s="7">
        <f t="shared" si="21"/>
        <v>0.54761904761904767</v>
      </c>
      <c r="H334" s="7" t="str">
        <f>LOOKUP(G334,tblIndicatorScore[Min],tblIndicatorScore[Rating])</f>
        <v>Poor</v>
      </c>
      <c r="I334" s="7">
        <f>LOOKUP(G334,tblIndicatorScore[Min],tblIndicatorScore[Score])</f>
        <v>0</v>
      </c>
      <c r="J334" s="7" t="str">
        <f t="shared" si="22"/>
        <v>No</v>
      </c>
      <c r="K334" s="7" t="str">
        <f t="shared" si="23"/>
        <v>No</v>
      </c>
      <c r="L334" s="7" t="str">
        <f>IFERROR(
IF(K334="Yes","Incomplete",
IF(OR(
J334="Yes",
G334&lt;INDEX(tblParameters[Value],MATCH("MinimumAcceptCompleteness",tblParameters[Parameter],0))
),
"Review",
"Accept")),
"Parameter Error")</f>
        <v>Review</v>
      </c>
    </row>
    <row r="335" spans="1:12" ht="51">
      <c r="A335" s="8" t="str">
        <f>TRIM(SUBSTITUTE(CLEAN(Raw_Data!A335),CHAR(160)," "))</f>
        <v>Abuja Municipal Area Council</v>
      </c>
      <c r="B335" s="8" t="str">
        <f t="array" ref="B335">TRIM(SUBSTITUTE(CLEAN(Raw_Data!B335),CHAR(160)," "))</f>
        <v>Kabusa Ward</v>
      </c>
      <c r="C335" s="8" t="str">
        <f t="array" ref="C335">TRIM(SUBSTITUTE(CLEAN(Raw_Data!C335),CHAR(160)," "))</f>
        <v>Sheretti Primary Health Clinic</v>
      </c>
      <c r="D335" s="7">
        <f>COUNTA(Raw_Data!D335:CI335)</f>
        <v>66</v>
      </c>
      <c r="E335" s="7">
        <f t="shared" si="20"/>
        <v>18</v>
      </c>
      <c r="F335" s="9">
        <f>INDEX(tblParameters[Value],MATCH("ExpectedValues",tblParameters[Parameter],0))</f>
        <v>84</v>
      </c>
      <c r="G335" s="7">
        <f t="shared" si="21"/>
        <v>0.7857142857142857</v>
      </c>
      <c r="H335" s="7" t="str">
        <f>LOOKUP(G335,tblIndicatorScore[Min],tblIndicatorScore[Rating])</f>
        <v>Poor</v>
      </c>
      <c r="I335" s="7">
        <f>LOOKUP(G335,tblIndicatorScore[Min],tblIndicatorScore[Score])</f>
        <v>0</v>
      </c>
      <c r="J335" s="7" t="str">
        <f t="shared" si="22"/>
        <v>No</v>
      </c>
      <c r="K335" s="7" t="str">
        <f t="shared" si="23"/>
        <v>No</v>
      </c>
      <c r="L335" s="7" t="str">
        <f>IFERROR(
IF(K335="Yes","Incomplete",
IF(OR(
J335="Yes",
G335&lt;INDEX(tblParameters[Value],MATCH("MinimumAcceptCompleteness",tblParameters[Parameter],0))
),
"Review",
"Accept")),
"Parameter Error")</f>
        <v>Review</v>
      </c>
    </row>
    <row r="336" spans="1:12" ht="51">
      <c r="A336" s="8" t="str">
        <f>TRIM(SUBSTITUTE(CLEAN(Raw_Data!A336),CHAR(160)," "))</f>
        <v>Bwari Local Government Area</v>
      </c>
      <c r="B336" s="8" t="str">
        <f t="array" ref="B336">TRIM(SUBSTITUTE(CLEAN(Raw_Data!B336),CHAR(160)," "))</f>
        <v>Dutse Ward</v>
      </c>
      <c r="C336" s="8" t="str">
        <f t="array" ref="C336">TRIM(SUBSTITUTE(CLEAN(Raw_Data!C336),CHAR(160)," "))</f>
        <v>Shishipe Primary Health Clinic</v>
      </c>
      <c r="D336" s="7">
        <f>COUNTA(Raw_Data!D336:CI336)</f>
        <v>61</v>
      </c>
      <c r="E336" s="7">
        <f t="shared" si="20"/>
        <v>23</v>
      </c>
      <c r="F336" s="9">
        <f>INDEX(tblParameters[Value],MATCH("ExpectedValues",tblParameters[Parameter],0))</f>
        <v>84</v>
      </c>
      <c r="G336" s="7">
        <f t="shared" si="21"/>
        <v>0.72619047619047616</v>
      </c>
      <c r="H336" s="7" t="str">
        <f>LOOKUP(G336,tblIndicatorScore[Min],tblIndicatorScore[Rating])</f>
        <v>Poor</v>
      </c>
      <c r="I336" s="7">
        <f>LOOKUP(G336,tblIndicatorScore[Min],tblIndicatorScore[Score])</f>
        <v>0</v>
      </c>
      <c r="J336" s="7" t="str">
        <f t="shared" si="22"/>
        <v>No</v>
      </c>
      <c r="K336" s="7" t="str">
        <f t="shared" si="23"/>
        <v>No</v>
      </c>
      <c r="L336" s="7" t="str">
        <f>IFERROR(
IF(K336="Yes","Incomplete",
IF(OR(
J336="Yes",
G336&lt;INDEX(tblParameters[Value],MATCH("MinimumAcceptCompleteness",tblParameters[Parameter],0))
),
"Review",
"Accept")),
"Parameter Error")</f>
        <v>Review</v>
      </c>
    </row>
    <row r="337" spans="1:12" ht="51">
      <c r="A337" s="8" t="str">
        <f>TRIM(SUBSTITUTE(CLEAN(Raw_Data!A337),CHAR(160)," "))</f>
        <v>Abuja Municipal Area Council</v>
      </c>
      <c r="B337" s="8" t="str">
        <f t="array" ref="B337">TRIM(SUBSTITUTE(CLEAN(Raw_Data!B337),CHAR(160)," "))</f>
        <v>Gwarimpa Ward</v>
      </c>
      <c r="C337" s="8" t="str">
        <f t="array" ref="C337">TRIM(SUBSTITUTE(CLEAN(Raw_Data!C337),CHAR(160)," "))</f>
        <v>Silver Fountain Medical Center</v>
      </c>
      <c r="D337" s="7">
        <f>COUNTA(Raw_Data!D337:CI337)</f>
        <v>3</v>
      </c>
      <c r="E337" s="7">
        <f t="shared" si="20"/>
        <v>81</v>
      </c>
      <c r="F337" s="9">
        <f>INDEX(tblParameters[Value],MATCH("ExpectedValues",tblParameters[Parameter],0))</f>
        <v>84</v>
      </c>
      <c r="G337" s="7">
        <f t="shared" si="21"/>
        <v>3.5714285714285712E-2</v>
      </c>
      <c r="H337" s="7" t="str">
        <f>LOOKUP(G337,tblIndicatorScore[Min],tblIndicatorScore[Rating])</f>
        <v>Poor</v>
      </c>
      <c r="I337" s="7">
        <f>LOOKUP(G337,tblIndicatorScore[Min],tblIndicatorScore[Score])</f>
        <v>0</v>
      </c>
      <c r="J337" s="7" t="str">
        <f t="shared" si="22"/>
        <v>No</v>
      </c>
      <c r="K337" s="7" t="str">
        <f t="shared" si="23"/>
        <v>No</v>
      </c>
      <c r="L337" s="7" t="str">
        <f>IFERROR(
IF(K337="Yes","Incomplete",
IF(OR(
J337="Yes",
G337&lt;INDEX(tblParameters[Value],MATCH("MinimumAcceptCompleteness",tblParameters[Parameter],0))
),
"Review",
"Accept")),
"Parameter Error")</f>
        <v>Review</v>
      </c>
    </row>
    <row r="338" spans="1:12" ht="51">
      <c r="A338" s="8" t="str">
        <f>TRIM(SUBSTITUTE(CLEAN(Raw_Data!A338),CHAR(160)," "))</f>
        <v>Abuja Municipal Area Council</v>
      </c>
      <c r="B338" s="8" t="str">
        <f t="array" ref="B338">TRIM(SUBSTITUTE(CLEAN(Raw_Data!B338),CHAR(160)," "))</f>
        <v>Karu Ward</v>
      </c>
      <c r="C338" s="8" t="str">
        <f t="array" ref="C338">TRIM(SUBSTITUTE(CLEAN(Raw_Data!C338),CHAR(160)," "))</f>
        <v>Sisters of Nativity Hospital</v>
      </c>
      <c r="D338" s="7">
        <f>COUNTA(Raw_Data!D338:CI338)</f>
        <v>43</v>
      </c>
      <c r="E338" s="7">
        <f t="shared" si="20"/>
        <v>41</v>
      </c>
      <c r="F338" s="9">
        <f>INDEX(tblParameters[Value],MATCH("ExpectedValues",tblParameters[Parameter],0))</f>
        <v>84</v>
      </c>
      <c r="G338" s="7">
        <f t="shared" si="21"/>
        <v>0.51190476190476186</v>
      </c>
      <c r="H338" s="7" t="str">
        <f>LOOKUP(G338,tblIndicatorScore[Min],tblIndicatorScore[Rating])</f>
        <v>Poor</v>
      </c>
      <c r="I338" s="7">
        <f>LOOKUP(G338,tblIndicatorScore[Min],tblIndicatorScore[Score])</f>
        <v>0</v>
      </c>
      <c r="J338" s="7" t="str">
        <f t="shared" si="22"/>
        <v>No</v>
      </c>
      <c r="K338" s="7" t="str">
        <f t="shared" si="23"/>
        <v>No</v>
      </c>
      <c r="L338" s="7" t="str">
        <f>IFERROR(
IF(K338="Yes","Incomplete",
IF(OR(
J338="Yes",
G338&lt;INDEX(tblParameters[Value],MATCH("MinimumAcceptCompleteness",tblParameters[Parameter],0))
),
"Review",
"Accept")),
"Parameter Error")</f>
        <v>Review</v>
      </c>
    </row>
    <row r="339" spans="1:12" ht="63.75">
      <c r="A339" s="8" t="str">
        <f>TRIM(SUBSTITUTE(CLEAN(Raw_Data!A339),CHAR(160)," "))</f>
        <v>Abaji Local Government Area</v>
      </c>
      <c r="B339" s="8" t="str">
        <f t="array" ref="B339">TRIM(SUBSTITUTE(CLEAN(Raw_Data!B339),CHAR(160)," "))</f>
        <v>South East Ward</v>
      </c>
      <c r="C339" s="8" t="str">
        <f t="array" ref="C339">TRIM(SUBSTITUTE(CLEAN(Raw_Data!C339),CHAR(160)," "))</f>
        <v>South East Primary Healthcare Centre</v>
      </c>
      <c r="D339" s="7">
        <f>COUNTA(Raw_Data!D339:CI339)</f>
        <v>56</v>
      </c>
      <c r="E339" s="7">
        <f t="shared" si="20"/>
        <v>28</v>
      </c>
      <c r="F339" s="9">
        <f>INDEX(tblParameters[Value],MATCH("ExpectedValues",tblParameters[Parameter],0))</f>
        <v>84</v>
      </c>
      <c r="G339" s="7">
        <f t="shared" si="21"/>
        <v>0.66666666666666663</v>
      </c>
      <c r="H339" s="7" t="str">
        <f>LOOKUP(G339,tblIndicatorScore[Min],tblIndicatorScore[Rating])</f>
        <v>Poor</v>
      </c>
      <c r="I339" s="7">
        <f>LOOKUP(G339,tblIndicatorScore[Min],tblIndicatorScore[Score])</f>
        <v>0</v>
      </c>
      <c r="J339" s="7" t="str">
        <f t="shared" si="22"/>
        <v>No</v>
      </c>
      <c r="K339" s="7" t="str">
        <f t="shared" si="23"/>
        <v>No</v>
      </c>
      <c r="L339" s="7" t="str">
        <f>IFERROR(
IF(K339="Yes","Incomplete",
IF(OR(
J339="Yes",
G339&lt;INDEX(tblParameters[Value],MATCH("MinimumAcceptCompleteness",tblParameters[Parameter],0))
),
"Review",
"Accept")),
"Parameter Error")</f>
        <v>Review</v>
      </c>
    </row>
    <row r="340" spans="1:12" ht="51">
      <c r="A340" s="8" t="str">
        <f>TRIM(SUBSTITUTE(CLEAN(Raw_Data!A340),CHAR(160)," "))</f>
        <v>Gwagwalada Local Government Area</v>
      </c>
      <c r="B340" s="8" t="str">
        <f t="array" ref="B340">TRIM(SUBSTITUTE(CLEAN(Raw_Data!B340),CHAR(160)," "))</f>
        <v>Kutunku Ward</v>
      </c>
      <c r="C340" s="8" t="str">
        <f t="array" ref="C340">TRIM(SUBSTITUTE(CLEAN(Raw_Data!C340),CHAR(160)," "))</f>
        <v>St. Mary'S Catholic Hospital</v>
      </c>
      <c r="D340" s="7">
        <f>COUNTA(Raw_Data!D340:CI340)</f>
        <v>25</v>
      </c>
      <c r="E340" s="7">
        <f t="shared" si="20"/>
        <v>59</v>
      </c>
      <c r="F340" s="9">
        <f>INDEX(tblParameters[Value],MATCH("ExpectedValues",tblParameters[Parameter],0))</f>
        <v>84</v>
      </c>
      <c r="G340" s="7">
        <f t="shared" si="21"/>
        <v>0.29761904761904762</v>
      </c>
      <c r="H340" s="7" t="str">
        <f>LOOKUP(G340,tblIndicatorScore[Min],tblIndicatorScore[Rating])</f>
        <v>Poor</v>
      </c>
      <c r="I340" s="7">
        <f>LOOKUP(G340,tblIndicatorScore[Min],tblIndicatorScore[Score])</f>
        <v>0</v>
      </c>
      <c r="J340" s="7" t="str">
        <f t="shared" si="22"/>
        <v>No</v>
      </c>
      <c r="K340" s="7" t="str">
        <f t="shared" si="23"/>
        <v>No</v>
      </c>
      <c r="L340" s="7" t="str">
        <f>IFERROR(
IF(K340="Yes","Incomplete",
IF(OR(
J340="Yes",
G340&lt;INDEX(tblParameters[Value],MATCH("MinimumAcceptCompleteness",tblParameters[Parameter],0))
),
"Review",
"Accept")),
"Parameter Error")</f>
        <v>Review</v>
      </c>
    </row>
    <row r="341" spans="1:12" ht="51">
      <c r="A341" s="8" t="str">
        <f>TRIM(SUBSTITUTE(CLEAN(Raw_Data!A341),CHAR(160)," "))</f>
        <v>Abuja Municipal Area Council</v>
      </c>
      <c r="B341" s="8" t="str">
        <f t="array" ref="B341">TRIM(SUBSTITUTE(CLEAN(Raw_Data!B341),CHAR(160)," "))</f>
        <v>Wuse Ward</v>
      </c>
      <c r="C341" s="8" t="str">
        <f t="array" ref="C341">TRIM(SUBSTITUTE(CLEAN(Raw_Data!C341),CHAR(160)," "))</f>
        <v>State House Clinic (Asokoro)</v>
      </c>
      <c r="D341" s="7">
        <f>COUNTA(Raw_Data!D341:CI341)</f>
        <v>38</v>
      </c>
      <c r="E341" s="7">
        <f t="shared" si="20"/>
        <v>46</v>
      </c>
      <c r="F341" s="9">
        <f>INDEX(tblParameters[Value],MATCH("ExpectedValues",tblParameters[Parameter],0))</f>
        <v>84</v>
      </c>
      <c r="G341" s="7">
        <f t="shared" si="21"/>
        <v>0.45238095238095238</v>
      </c>
      <c r="H341" s="7" t="str">
        <f>LOOKUP(G341,tblIndicatorScore[Min],tblIndicatorScore[Rating])</f>
        <v>Poor</v>
      </c>
      <c r="I341" s="7">
        <f>LOOKUP(G341,tblIndicatorScore[Min],tblIndicatorScore[Score])</f>
        <v>0</v>
      </c>
      <c r="J341" s="7" t="str">
        <f t="shared" si="22"/>
        <v>No</v>
      </c>
      <c r="K341" s="7" t="str">
        <f t="shared" si="23"/>
        <v>No</v>
      </c>
      <c r="L341" s="7" t="str">
        <f>IFERROR(
IF(K341="Yes","Incomplete",
IF(OR(
J341="Yes",
G341&lt;INDEX(tblParameters[Value],MATCH("MinimumAcceptCompleteness",tblParameters[Parameter],0))
),
"Review",
"Accept")),
"Parameter Error")</f>
        <v>Review</v>
      </c>
    </row>
    <row r="342" spans="1:12" ht="51">
      <c r="A342" s="8" t="str">
        <f>TRIM(SUBSTITUTE(CLEAN(Raw_Data!A342),CHAR(160)," "))</f>
        <v>Kwali Local Government Area</v>
      </c>
      <c r="B342" s="8" t="str">
        <f t="array" ref="B342">TRIM(SUBSTITUTE(CLEAN(Raw_Data!B342),CHAR(160)," "))</f>
        <v>Yangoji Ward</v>
      </c>
      <c r="C342" s="8" t="str">
        <f t="array" ref="C342">TRIM(SUBSTITUTE(CLEAN(Raw_Data!C342),CHAR(160)," "))</f>
        <v>Sukuku Primay Health Clinic</v>
      </c>
      <c r="D342" s="7">
        <f>COUNTA(Raw_Data!D342:CI342)</f>
        <v>57</v>
      </c>
      <c r="E342" s="7">
        <f t="shared" si="20"/>
        <v>27</v>
      </c>
      <c r="F342" s="9">
        <f>INDEX(tblParameters[Value],MATCH("ExpectedValues",tblParameters[Parameter],0))</f>
        <v>84</v>
      </c>
      <c r="G342" s="7">
        <f t="shared" si="21"/>
        <v>0.6785714285714286</v>
      </c>
      <c r="H342" s="7" t="str">
        <f>LOOKUP(G342,tblIndicatorScore[Min],tblIndicatorScore[Rating])</f>
        <v>Poor</v>
      </c>
      <c r="I342" s="7">
        <f>LOOKUP(G342,tblIndicatorScore[Min],tblIndicatorScore[Score])</f>
        <v>0</v>
      </c>
      <c r="J342" s="7" t="str">
        <f t="shared" si="22"/>
        <v>No</v>
      </c>
      <c r="K342" s="7" t="str">
        <f t="shared" si="23"/>
        <v>No</v>
      </c>
      <c r="L342" s="7" t="str">
        <f>IFERROR(
IF(K342="Yes","Incomplete",
IF(OR(
J342="Yes",
G342&lt;INDEX(tblParameters[Value],MATCH("MinimumAcceptCompleteness",tblParameters[Parameter],0))
),
"Review",
"Accept")),
"Parameter Error")</f>
        <v>Review</v>
      </c>
    </row>
    <row r="343" spans="1:12" ht="51">
      <c r="A343" s="8" t="str">
        <f>TRIM(SUBSTITUTE(CLEAN(Raw_Data!A343),CHAR(160)," "))</f>
        <v>Bwari Local Government Area</v>
      </c>
      <c r="B343" s="8" t="str">
        <f t="array" ref="B343">TRIM(SUBSTITUTE(CLEAN(Raw_Data!B343),CHAR(160)," "))</f>
        <v>Shere Ward</v>
      </c>
      <c r="C343" s="8" t="str">
        <f t="array" ref="C343">TRIM(SUBSTITUTE(CLEAN(Raw_Data!C343),CHAR(160)," "))</f>
        <v>Sumpe Primary Health Clinic</v>
      </c>
      <c r="D343" s="7">
        <f>COUNTA(Raw_Data!D343:CI343)</f>
        <v>63</v>
      </c>
      <c r="E343" s="7">
        <f t="shared" si="20"/>
        <v>21</v>
      </c>
      <c r="F343" s="9">
        <f>INDEX(tblParameters[Value],MATCH("ExpectedValues",tblParameters[Parameter],0))</f>
        <v>84</v>
      </c>
      <c r="G343" s="7">
        <f t="shared" si="21"/>
        <v>0.75</v>
      </c>
      <c r="H343" s="7" t="str">
        <f>LOOKUP(G343,tblIndicatorScore[Min],tblIndicatorScore[Rating])</f>
        <v>Poor</v>
      </c>
      <c r="I343" s="7">
        <f>LOOKUP(G343,tblIndicatorScore[Min],tblIndicatorScore[Score])</f>
        <v>0</v>
      </c>
      <c r="J343" s="7" t="str">
        <f t="shared" si="22"/>
        <v>No</v>
      </c>
      <c r="K343" s="7" t="str">
        <f t="shared" si="23"/>
        <v>No</v>
      </c>
      <c r="L343" s="7" t="str">
        <f>IFERROR(
IF(K343="Yes","Incomplete",
IF(OR(
J343="Yes",
G343&lt;INDEX(tblParameters[Value],MATCH("MinimumAcceptCompleteness",tblParameters[Parameter],0))
),
"Review",
"Accept")),
"Parameter Error")</f>
        <v>Review</v>
      </c>
    </row>
    <row r="344" spans="1:12" ht="51">
      <c r="A344" s="8" t="str">
        <f>TRIM(SUBSTITUTE(CLEAN(Raw_Data!A344),CHAR(160)," "))</f>
        <v>Abuja Municipal Area Council</v>
      </c>
      <c r="B344" s="8" t="str">
        <f t="array" ref="B344">TRIM(SUBSTITUTE(CLEAN(Raw_Data!B344),CHAR(160)," "))</f>
        <v>City Centre Ward</v>
      </c>
      <c r="C344" s="8" t="str">
        <f t="array" ref="C344">TRIM(SUBSTITUTE(CLEAN(Raw_Data!C344),CHAR(160)," "))</f>
        <v>Supreme Court Of Nigeria Clinic</v>
      </c>
      <c r="D344" s="7">
        <f>COUNTA(Raw_Data!D344:CI344)</f>
        <v>18</v>
      </c>
      <c r="E344" s="7">
        <f t="shared" si="20"/>
        <v>66</v>
      </c>
      <c r="F344" s="9">
        <f>INDEX(tblParameters[Value],MATCH("ExpectedValues",tblParameters[Parameter],0))</f>
        <v>84</v>
      </c>
      <c r="G344" s="7">
        <f t="shared" si="21"/>
        <v>0.21428571428571427</v>
      </c>
      <c r="H344" s="7" t="str">
        <f>LOOKUP(G344,tblIndicatorScore[Min],tblIndicatorScore[Rating])</f>
        <v>Poor</v>
      </c>
      <c r="I344" s="7">
        <f>LOOKUP(G344,tblIndicatorScore[Min],tblIndicatorScore[Score])</f>
        <v>0</v>
      </c>
      <c r="J344" s="7" t="str">
        <f t="shared" si="22"/>
        <v>No</v>
      </c>
      <c r="K344" s="7" t="str">
        <f t="shared" si="23"/>
        <v>No</v>
      </c>
      <c r="L344" s="7" t="str">
        <f>IFERROR(
IF(K344="Yes","Incomplete",
IF(OR(
J344="Yes",
G344&lt;INDEX(tblParameters[Value],MATCH("MinimumAcceptCompleteness",tblParameters[Parameter],0))
),
"Review",
"Accept")),
"Parameter Error")</f>
        <v>Review</v>
      </c>
    </row>
    <row r="345" spans="1:12" ht="51">
      <c r="A345" s="8" t="str">
        <f>TRIM(SUBSTITUTE(CLEAN(Raw_Data!A345),CHAR(160)," "))</f>
        <v>Abuja Municipal Area Council</v>
      </c>
      <c r="B345" s="8" t="str">
        <f t="array" ref="B345">TRIM(SUBSTITUTE(CLEAN(Raw_Data!B345),CHAR(160)," "))</f>
        <v>Kabusa Ward</v>
      </c>
      <c r="C345" s="8" t="str">
        <f t="array" ref="C345">TRIM(SUBSTITUTE(CLEAN(Raw_Data!C345),CHAR(160)," "))</f>
        <v>Takushara Primary Health Clinic</v>
      </c>
      <c r="D345" s="7">
        <f>COUNTA(Raw_Data!D345:CI345)</f>
        <v>54</v>
      </c>
      <c r="E345" s="7">
        <f t="shared" si="20"/>
        <v>30</v>
      </c>
      <c r="F345" s="9">
        <f>INDEX(tblParameters[Value],MATCH("ExpectedValues",tblParameters[Parameter],0))</f>
        <v>84</v>
      </c>
      <c r="G345" s="7">
        <f t="shared" si="21"/>
        <v>0.6428571428571429</v>
      </c>
      <c r="H345" s="7" t="str">
        <f>LOOKUP(G345,tblIndicatorScore[Min],tblIndicatorScore[Rating])</f>
        <v>Poor</v>
      </c>
      <c r="I345" s="7">
        <f>LOOKUP(G345,tblIndicatorScore[Min],tblIndicatorScore[Score])</f>
        <v>0</v>
      </c>
      <c r="J345" s="7" t="str">
        <f t="shared" si="22"/>
        <v>No</v>
      </c>
      <c r="K345" s="7" t="str">
        <f t="shared" si="23"/>
        <v>No</v>
      </c>
      <c r="L345" s="7" t="str">
        <f>IFERROR(
IF(K345="Yes","Incomplete",
IF(OR(
J345="Yes",
G345&lt;INDEX(tblParameters[Value],MATCH("MinimumAcceptCompleteness",tblParameters[Parameter],0))
),
"Review",
"Accept")),
"Parameter Error")</f>
        <v>Review</v>
      </c>
    </row>
    <row r="346" spans="1:12" ht="51">
      <c r="A346" s="8" t="str">
        <f>TRIM(SUBSTITUTE(CLEAN(Raw_Data!A346),CHAR(160)," "))</f>
        <v>Abuja Municipal Area Council</v>
      </c>
      <c r="B346" s="8" t="str">
        <f t="array" ref="B346">TRIM(SUBSTITUTE(CLEAN(Raw_Data!B346),CHAR(160)," "))</f>
        <v>Kabusa Ward</v>
      </c>
      <c r="C346" s="8" t="str">
        <f t="array" ref="C346">TRIM(SUBSTITUTE(CLEAN(Raw_Data!C346),CHAR(160)," "))</f>
        <v>Talek Clinic</v>
      </c>
      <c r="D346" s="7">
        <f>COUNTA(Raw_Data!D346:CI346)</f>
        <v>42</v>
      </c>
      <c r="E346" s="7">
        <f t="shared" si="20"/>
        <v>42</v>
      </c>
      <c r="F346" s="9">
        <f>INDEX(tblParameters[Value],MATCH("ExpectedValues",tblParameters[Parameter],0))</f>
        <v>84</v>
      </c>
      <c r="G346" s="7">
        <f t="shared" si="21"/>
        <v>0.5</v>
      </c>
      <c r="H346" s="7" t="str">
        <f>LOOKUP(G346,tblIndicatorScore[Min],tblIndicatorScore[Rating])</f>
        <v>Poor</v>
      </c>
      <c r="I346" s="7">
        <f>LOOKUP(G346,tblIndicatorScore[Min],tblIndicatorScore[Score])</f>
        <v>0</v>
      </c>
      <c r="J346" s="7" t="str">
        <f t="shared" si="22"/>
        <v>No</v>
      </c>
      <c r="K346" s="7" t="str">
        <f t="shared" si="23"/>
        <v>No</v>
      </c>
      <c r="L346" s="7" t="str">
        <f>IFERROR(
IF(K346="Yes","Incomplete",
IF(OR(
J346="Yes",
G346&lt;INDEX(tblParameters[Value],MATCH("MinimumAcceptCompleteness",tblParameters[Parameter],0))
),
"Review",
"Accept")),
"Parameter Error")</f>
        <v>Review</v>
      </c>
    </row>
    <row r="347" spans="1:12" ht="51">
      <c r="A347" s="8" t="str">
        <f>TRIM(SUBSTITUTE(CLEAN(Raw_Data!A347),CHAR(160)," "))</f>
        <v>Abuja Municipal Area Council</v>
      </c>
      <c r="B347" s="8" t="str">
        <f t="array" ref="B347">TRIM(SUBSTITUTE(CLEAN(Raw_Data!B347),CHAR(160)," "))</f>
        <v>Kabusa Ward</v>
      </c>
      <c r="C347" s="8" t="str">
        <f t="array" ref="C347">TRIM(SUBSTITUTE(CLEAN(Raw_Data!C347),CHAR(160)," "))</f>
        <v>Taprobane Medical Centre</v>
      </c>
      <c r="D347" s="7">
        <f>COUNTA(Raw_Data!D347:CI347)</f>
        <v>1</v>
      </c>
      <c r="E347" s="7">
        <f t="shared" si="20"/>
        <v>83</v>
      </c>
      <c r="F347" s="9">
        <f>INDEX(tblParameters[Value],MATCH("ExpectedValues",tblParameters[Parameter],0))</f>
        <v>84</v>
      </c>
      <c r="G347" s="7">
        <f t="shared" si="21"/>
        <v>1.1904761904761904E-2</v>
      </c>
      <c r="H347" s="7" t="str">
        <f>LOOKUP(G347,tblIndicatorScore[Min],tblIndicatorScore[Rating])</f>
        <v>Poor</v>
      </c>
      <c r="I347" s="7">
        <f>LOOKUP(G347,tblIndicatorScore[Min],tblIndicatorScore[Score])</f>
        <v>0</v>
      </c>
      <c r="J347" s="7" t="str">
        <f t="shared" si="22"/>
        <v>No</v>
      </c>
      <c r="K347" s="7" t="str">
        <f t="shared" si="23"/>
        <v>No</v>
      </c>
      <c r="L347" s="7" t="str">
        <f>IFERROR(
IF(K347="Yes","Incomplete",
IF(OR(
J347="Yes",
G347&lt;INDEX(tblParameters[Value],MATCH("MinimumAcceptCompleteness",tblParameters[Parameter],0))
),
"Review",
"Accept")),
"Parameter Error")</f>
        <v>Review</v>
      </c>
    </row>
    <row r="348" spans="1:12" ht="51">
      <c r="A348" s="8" t="str">
        <f>TRIM(SUBSTITUTE(CLEAN(Raw_Data!A348),CHAR(160)," "))</f>
        <v>Kuje Local Government Area</v>
      </c>
      <c r="B348" s="8" t="str">
        <f t="array" ref="B348">TRIM(SUBSTITUTE(CLEAN(Raw_Data!B348),CHAR(160)," "))</f>
        <v>Gudunkarya Ward</v>
      </c>
      <c r="C348" s="8" t="str">
        <f t="array" ref="C348">TRIM(SUBSTITUTE(CLEAN(Raw_Data!C348),CHAR(160)," "))</f>
        <v>Tashara Primary Health Centre</v>
      </c>
      <c r="D348" s="7">
        <f>COUNTA(Raw_Data!D348:CI348)</f>
        <v>39</v>
      </c>
      <c r="E348" s="7">
        <f t="shared" si="20"/>
        <v>45</v>
      </c>
      <c r="F348" s="9">
        <f>INDEX(tblParameters[Value],MATCH("ExpectedValues",tblParameters[Parameter],0))</f>
        <v>84</v>
      </c>
      <c r="G348" s="7">
        <f t="shared" si="21"/>
        <v>0.4642857142857143</v>
      </c>
      <c r="H348" s="7" t="str">
        <f>LOOKUP(G348,tblIndicatorScore[Min],tblIndicatorScore[Rating])</f>
        <v>Poor</v>
      </c>
      <c r="I348" s="7">
        <f>LOOKUP(G348,tblIndicatorScore[Min],tblIndicatorScore[Score])</f>
        <v>0</v>
      </c>
      <c r="J348" s="7" t="str">
        <f t="shared" si="22"/>
        <v>No</v>
      </c>
      <c r="K348" s="7" t="str">
        <f t="shared" si="23"/>
        <v>No</v>
      </c>
      <c r="L348" s="7" t="str">
        <f>IFERROR(
IF(K348="Yes","Incomplete",
IF(OR(
J348="Yes",
G348&lt;INDEX(tblParameters[Value],MATCH("MinimumAcceptCompleteness",tblParameters[Parameter],0))
),
"Review",
"Accept")),
"Parameter Error")</f>
        <v>Review</v>
      </c>
    </row>
    <row r="349" spans="1:12" ht="51">
      <c r="A349" s="8" t="str">
        <f>TRIM(SUBSTITUTE(CLEAN(Raw_Data!A349),CHAR(160)," "))</f>
        <v>Abuja Municipal Area Council</v>
      </c>
      <c r="B349" s="8" t="str">
        <f t="array" ref="B349">TRIM(SUBSTITUTE(CLEAN(Raw_Data!B349),CHAR(160)," "))</f>
        <v>Kabusa Ward</v>
      </c>
      <c r="C349" s="8" t="str">
        <f t="array" ref="C349">TRIM(SUBSTITUTE(CLEAN(Raw_Data!C349),CHAR(160)," "))</f>
        <v>TD Maternity</v>
      </c>
      <c r="D349" s="7">
        <f>COUNTA(Raw_Data!D349:CI349)</f>
        <v>39</v>
      </c>
      <c r="E349" s="7">
        <f t="shared" si="20"/>
        <v>45</v>
      </c>
      <c r="F349" s="9">
        <f>INDEX(tblParameters[Value],MATCH("ExpectedValues",tblParameters[Parameter],0))</f>
        <v>84</v>
      </c>
      <c r="G349" s="7">
        <f t="shared" si="21"/>
        <v>0.4642857142857143</v>
      </c>
      <c r="H349" s="7" t="str">
        <f>LOOKUP(G349,tblIndicatorScore[Min],tblIndicatorScore[Rating])</f>
        <v>Poor</v>
      </c>
      <c r="I349" s="7">
        <f>LOOKUP(G349,tblIndicatorScore[Min],tblIndicatorScore[Score])</f>
        <v>0</v>
      </c>
      <c r="J349" s="7" t="str">
        <f t="shared" si="22"/>
        <v>No</v>
      </c>
      <c r="K349" s="7" t="str">
        <f t="shared" si="23"/>
        <v>No</v>
      </c>
      <c r="L349" s="7" t="str">
        <f>IFERROR(
IF(K349="Yes","Incomplete",
IF(OR(
J349="Yes",
G349&lt;INDEX(tblParameters[Value],MATCH("MinimumAcceptCompleteness",tblParameters[Parameter],0))
),
"Review",
"Accept")),
"Parameter Error")</f>
        <v>Review</v>
      </c>
    </row>
    <row r="350" spans="1:12" ht="63.75">
      <c r="A350" s="8" t="str">
        <f>TRIM(SUBSTITUTE(CLEAN(Raw_Data!A350),CHAR(160)," "))</f>
        <v>Abuja Municipal Area Council</v>
      </c>
      <c r="B350" s="8" t="str">
        <f t="array" ref="B350">TRIM(SUBSTITUTE(CLEAN(Raw_Data!B350),CHAR(160)," "))</f>
        <v>Gwagwa Ward</v>
      </c>
      <c r="C350" s="8" t="str">
        <f t="array" ref="C350">TRIM(SUBSTITUTE(CLEAN(Raw_Data!C350),CHAR(160)," "))</f>
        <v>The Crown Hospital LTD (Gwagwa)</v>
      </c>
      <c r="D350" s="7">
        <f>COUNTA(Raw_Data!D350:CI350)</f>
        <v>30</v>
      </c>
      <c r="E350" s="7">
        <f t="shared" si="20"/>
        <v>54</v>
      </c>
      <c r="F350" s="9">
        <f>INDEX(tblParameters[Value],MATCH("ExpectedValues",tblParameters[Parameter],0))</f>
        <v>84</v>
      </c>
      <c r="G350" s="7">
        <f t="shared" si="21"/>
        <v>0.35714285714285715</v>
      </c>
      <c r="H350" s="7" t="str">
        <f>LOOKUP(G350,tblIndicatorScore[Min],tblIndicatorScore[Rating])</f>
        <v>Poor</v>
      </c>
      <c r="I350" s="7">
        <f>LOOKUP(G350,tblIndicatorScore[Min],tblIndicatorScore[Score])</f>
        <v>0</v>
      </c>
      <c r="J350" s="7" t="str">
        <f t="shared" si="22"/>
        <v>No</v>
      </c>
      <c r="K350" s="7" t="str">
        <f t="shared" si="23"/>
        <v>No</v>
      </c>
      <c r="L350" s="7" t="str">
        <f>IFERROR(
IF(K350="Yes","Incomplete",
IF(OR(
J350="Yes",
G350&lt;INDEX(tblParameters[Value],MATCH("MinimumAcceptCompleteness",tblParameters[Parameter],0))
),
"Review",
"Accept")),
"Parameter Error")</f>
        <v>Review</v>
      </c>
    </row>
    <row r="351" spans="1:12" ht="51">
      <c r="A351" s="8" t="str">
        <f>TRIM(SUBSTITUTE(CLEAN(Raw_Data!A351),CHAR(160)," "))</f>
        <v>Bwari Local Government Area</v>
      </c>
      <c r="B351" s="8" t="str">
        <f t="array" ref="B351">TRIM(SUBSTITUTE(CLEAN(Raw_Data!B351),CHAR(160)," "))</f>
        <v>Igu Ward</v>
      </c>
      <c r="C351" s="8" t="str">
        <f t="array" ref="C351">TRIM(SUBSTITUTE(CLEAN(Raw_Data!C351),CHAR(160)," "))</f>
        <v>Tokolu Primary Health Clinic</v>
      </c>
      <c r="D351" s="7">
        <f>COUNTA(Raw_Data!D351:CI351)</f>
        <v>57</v>
      </c>
      <c r="E351" s="7">
        <f t="shared" si="20"/>
        <v>27</v>
      </c>
      <c r="F351" s="9">
        <f>INDEX(tblParameters[Value],MATCH("ExpectedValues",tblParameters[Parameter],0))</f>
        <v>84</v>
      </c>
      <c r="G351" s="7">
        <f t="shared" si="21"/>
        <v>0.6785714285714286</v>
      </c>
      <c r="H351" s="7" t="str">
        <f>LOOKUP(G351,tblIndicatorScore[Min],tblIndicatorScore[Rating])</f>
        <v>Poor</v>
      </c>
      <c r="I351" s="7">
        <f>LOOKUP(G351,tblIndicatorScore[Min],tblIndicatorScore[Score])</f>
        <v>0</v>
      </c>
      <c r="J351" s="7" t="str">
        <f t="shared" si="22"/>
        <v>No</v>
      </c>
      <c r="K351" s="7" t="str">
        <f t="shared" si="23"/>
        <v>No</v>
      </c>
      <c r="L351" s="7" t="str">
        <f>IFERROR(
IF(K351="Yes","Incomplete",
IF(OR(
J351="Yes",
G351&lt;INDEX(tblParameters[Value],MATCH("MinimumAcceptCompleteness",tblParameters[Parameter],0))
),
"Review",
"Accept")),
"Parameter Error")</f>
        <v>Review</v>
      </c>
    </row>
    <row r="352" spans="1:12" ht="51">
      <c r="A352" s="8" t="str">
        <f>TRIM(SUBSTITUTE(CLEAN(Raw_Data!A352),CHAR(160)," "))</f>
        <v>Abuja Municipal Area Council</v>
      </c>
      <c r="B352" s="8" t="str">
        <f t="array" ref="B352">TRIM(SUBSTITUTE(CLEAN(Raw_Data!B352),CHAR(160)," "))</f>
        <v>Garki Ward</v>
      </c>
      <c r="C352" s="8" t="str">
        <f t="array" ref="C352">TRIM(SUBSTITUTE(CLEAN(Raw_Data!C352),CHAR(160)," "))</f>
        <v>Tolbert Specialist Hospital</v>
      </c>
      <c r="D352" s="7">
        <f>COUNTA(Raw_Data!D352:CI352)</f>
        <v>53</v>
      </c>
      <c r="E352" s="7">
        <f t="shared" si="20"/>
        <v>31</v>
      </c>
      <c r="F352" s="9">
        <f>INDEX(tblParameters[Value],MATCH("ExpectedValues",tblParameters[Parameter],0))</f>
        <v>84</v>
      </c>
      <c r="G352" s="7">
        <f t="shared" si="21"/>
        <v>0.63095238095238093</v>
      </c>
      <c r="H352" s="7" t="str">
        <f>LOOKUP(G352,tblIndicatorScore[Min],tblIndicatorScore[Rating])</f>
        <v>Poor</v>
      </c>
      <c r="I352" s="7">
        <f>LOOKUP(G352,tblIndicatorScore[Min],tblIndicatorScore[Score])</f>
        <v>0</v>
      </c>
      <c r="J352" s="7" t="str">
        <f t="shared" si="22"/>
        <v>No</v>
      </c>
      <c r="K352" s="7" t="str">
        <f t="shared" si="23"/>
        <v>No</v>
      </c>
      <c r="L352" s="7" t="str">
        <f>IFERROR(
IF(K352="Yes","Incomplete",
IF(OR(
J352="Yes",
G352&lt;INDEX(tblParameters[Value],MATCH("MinimumAcceptCompleteness",tblParameters[Parameter],0))
),
"Review",
"Accept")),
"Parameter Error")</f>
        <v>Review</v>
      </c>
    </row>
    <row r="353" spans="1:12" ht="63.75">
      <c r="A353" s="8" t="str">
        <f>TRIM(SUBSTITUTE(CLEAN(Raw_Data!A353),CHAR(160)," "))</f>
        <v>Kuje Local Government Area</v>
      </c>
      <c r="B353" s="8" t="str">
        <f t="array" ref="B353">TRIM(SUBSTITUTE(CLEAN(Raw_Data!B353),CHAR(160)," "))</f>
        <v>Rubochi Ward</v>
      </c>
      <c r="C353" s="8" t="str">
        <f t="array" ref="C353">TRIM(SUBSTITUTE(CLEAN(Raw_Data!C353),CHAR(160)," "))</f>
        <v>Totogambiya Primary Health Centre</v>
      </c>
      <c r="D353" s="7">
        <f>COUNTA(Raw_Data!D353:CI353)</f>
        <v>31</v>
      </c>
      <c r="E353" s="7">
        <f t="shared" si="20"/>
        <v>53</v>
      </c>
      <c r="F353" s="9">
        <f>INDEX(tblParameters[Value],MATCH("ExpectedValues",tblParameters[Parameter],0))</f>
        <v>84</v>
      </c>
      <c r="G353" s="7">
        <f t="shared" si="21"/>
        <v>0.36904761904761907</v>
      </c>
      <c r="H353" s="7" t="str">
        <f>LOOKUP(G353,tblIndicatorScore[Min],tblIndicatorScore[Rating])</f>
        <v>Poor</v>
      </c>
      <c r="I353" s="7">
        <f>LOOKUP(G353,tblIndicatorScore[Min],tblIndicatorScore[Score])</f>
        <v>0</v>
      </c>
      <c r="J353" s="7" t="str">
        <f t="shared" si="22"/>
        <v>No</v>
      </c>
      <c r="K353" s="7" t="str">
        <f t="shared" si="23"/>
        <v>No</v>
      </c>
      <c r="L353" s="7" t="str">
        <f>IFERROR(
IF(K353="Yes","Incomplete",
IF(OR(
J353="Yes",
G353&lt;INDEX(tblParameters[Value],MATCH("MinimumAcceptCompleteness",tblParameters[Parameter],0))
),
"Review",
"Accept")),
"Parameter Error")</f>
        <v>Review</v>
      </c>
    </row>
    <row r="354" spans="1:12" ht="51">
      <c r="A354" s="8" t="str">
        <f>TRIM(SUBSTITUTE(CLEAN(Raw_Data!A354),CHAR(160)," "))</f>
        <v>Abuja Municipal Area Council</v>
      </c>
      <c r="B354" s="8" t="str">
        <f t="array" ref="B354">TRIM(SUBSTITUTE(CLEAN(Raw_Data!B354),CHAR(160)," "))</f>
        <v>Gwarimpa Ward</v>
      </c>
      <c r="C354" s="8" t="str">
        <f t="array" ref="C354">TRIM(SUBSTITUTE(CLEAN(Raw_Data!C354),CHAR(160)," "))</f>
        <v>Trust Charitos Hospital</v>
      </c>
      <c r="D354" s="7">
        <f>COUNTA(Raw_Data!D354:CI354)</f>
        <v>44</v>
      </c>
      <c r="E354" s="7">
        <f t="shared" si="20"/>
        <v>40</v>
      </c>
      <c r="F354" s="9">
        <f>INDEX(tblParameters[Value],MATCH("ExpectedValues",tblParameters[Parameter],0))</f>
        <v>84</v>
      </c>
      <c r="G354" s="7">
        <f t="shared" si="21"/>
        <v>0.52380952380952384</v>
      </c>
      <c r="H354" s="7" t="str">
        <f>LOOKUP(G354,tblIndicatorScore[Min],tblIndicatorScore[Rating])</f>
        <v>Poor</v>
      </c>
      <c r="I354" s="7">
        <f>LOOKUP(G354,tblIndicatorScore[Min],tblIndicatorScore[Score])</f>
        <v>0</v>
      </c>
      <c r="J354" s="7" t="str">
        <f t="shared" si="22"/>
        <v>No</v>
      </c>
      <c r="K354" s="7" t="str">
        <f t="shared" si="23"/>
        <v>No</v>
      </c>
      <c r="L354" s="7" t="str">
        <f>IFERROR(
IF(K354="Yes","Incomplete",
IF(OR(
J354="Yes",
G354&lt;INDEX(tblParameters[Value],MATCH("MinimumAcceptCompleteness",tblParameters[Parameter],0))
),
"Review",
"Accept")),
"Parameter Error")</f>
        <v>Review</v>
      </c>
    </row>
    <row r="355" spans="1:12" ht="51">
      <c r="A355" s="8" t="str">
        <f>TRIM(SUBSTITUTE(CLEAN(Raw_Data!A355),CHAR(160)," "))</f>
        <v>Gwagwalada Local Government Area</v>
      </c>
      <c r="B355" s="8" t="str">
        <f t="array" ref="B355">TRIM(SUBSTITUTE(CLEAN(Raw_Data!B355),CHAR(160)," "))</f>
        <v>Dobi Ward</v>
      </c>
      <c r="C355" s="8" t="str">
        <f t="array" ref="C355">TRIM(SUBSTITUTE(CLEAN(Raw_Data!C355),CHAR(160)," "))</f>
        <v>Tsuani Primary Health Clinic</v>
      </c>
      <c r="D355" s="7">
        <f>COUNTA(Raw_Data!D355:CI355)</f>
        <v>63</v>
      </c>
      <c r="E355" s="7">
        <f t="shared" si="20"/>
        <v>21</v>
      </c>
      <c r="F355" s="9">
        <f>INDEX(tblParameters[Value],MATCH("ExpectedValues",tblParameters[Parameter],0))</f>
        <v>84</v>
      </c>
      <c r="G355" s="7">
        <f t="shared" si="21"/>
        <v>0.75</v>
      </c>
      <c r="H355" s="7" t="str">
        <f>LOOKUP(G355,tblIndicatorScore[Min],tblIndicatorScore[Rating])</f>
        <v>Poor</v>
      </c>
      <c r="I355" s="7">
        <f>LOOKUP(G355,tblIndicatorScore[Min],tblIndicatorScore[Score])</f>
        <v>0</v>
      </c>
      <c r="J355" s="7" t="str">
        <f t="shared" si="22"/>
        <v>No</v>
      </c>
      <c r="K355" s="7" t="str">
        <f t="shared" si="23"/>
        <v>No</v>
      </c>
      <c r="L355" s="7" t="str">
        <f>IFERROR(
IF(K355="Yes","Incomplete",
IF(OR(
J355="Yes",
G355&lt;INDEX(tblParameters[Value],MATCH("MinimumAcceptCompleteness",tblParameters[Parameter],0))
),
"Review",
"Accept")),
"Parameter Error")</f>
        <v>Review</v>
      </c>
    </row>
    <row r="356" spans="1:12" ht="51">
      <c r="A356" s="8" t="str">
        <f>TRIM(SUBSTITUTE(CLEAN(Raw_Data!A356),CHAR(160)," "))</f>
        <v>Kuje Local Government Area</v>
      </c>
      <c r="B356" s="8" t="str">
        <f t="array" ref="B356">TRIM(SUBSTITUTE(CLEAN(Raw_Data!B356),CHAR(160)," "))</f>
        <v>Kabi Ward</v>
      </c>
      <c r="C356" s="8" t="str">
        <f t="array" ref="C356">TRIM(SUBSTITUTE(CLEAN(Raw_Data!C356),CHAR(160)," "))</f>
        <v>Tude Primary Health Centre</v>
      </c>
      <c r="D356" s="7">
        <f>COUNTA(Raw_Data!D356:CI356)</f>
        <v>76</v>
      </c>
      <c r="E356" s="7">
        <f t="shared" si="20"/>
        <v>8</v>
      </c>
      <c r="F356" s="9">
        <f>INDEX(tblParameters[Value],MATCH("ExpectedValues",tblParameters[Parameter],0))</f>
        <v>84</v>
      </c>
      <c r="G356" s="7">
        <f t="shared" si="21"/>
        <v>0.90476190476190477</v>
      </c>
      <c r="H356" s="7" t="str">
        <f>LOOKUP(G356,tblIndicatorScore[Min],tblIndicatorScore[Rating])</f>
        <v>Good</v>
      </c>
      <c r="I356" s="7">
        <f>LOOKUP(G356,tblIndicatorScore[Min],tblIndicatorScore[Score])</f>
        <v>2</v>
      </c>
      <c r="J356" s="7" t="str">
        <f t="shared" si="22"/>
        <v>No</v>
      </c>
      <c r="K356" s="7" t="str">
        <f t="shared" si="23"/>
        <v>No</v>
      </c>
      <c r="L356" s="7" t="str">
        <f>IFERROR(
IF(K356="Yes","Incomplete",
IF(OR(
J356="Yes",
G356&lt;INDEX(tblParameters[Value],MATCH("MinimumAcceptCompleteness",tblParameters[Parameter],0))
),
"Review",
"Accept")),
"Parameter Error")</f>
        <v>Accept</v>
      </c>
    </row>
    <row r="357" spans="1:12" ht="51">
      <c r="A357" s="8" t="str">
        <f>TRIM(SUBSTITUTE(CLEAN(Raw_Data!A357),CHAR(160)," "))</f>
        <v>Kuje Local Government Area</v>
      </c>
      <c r="B357" s="8" t="str">
        <f t="array" ref="B357">TRIM(SUBSTITUTE(CLEAN(Raw_Data!B357),CHAR(160)," "))</f>
        <v>Kuje Central Ward</v>
      </c>
      <c r="C357" s="8" t="str">
        <f t="array" ref="C357">TRIM(SUBSTITUTE(CLEAN(Raw_Data!C357),CHAR(160)," "))</f>
        <v>Tukpechi Primary Health Centre</v>
      </c>
      <c r="D357" s="7">
        <f>COUNTA(Raw_Data!D357:CI357)</f>
        <v>51</v>
      </c>
      <c r="E357" s="7">
        <f t="shared" si="20"/>
        <v>33</v>
      </c>
      <c r="F357" s="9">
        <f>INDEX(tblParameters[Value],MATCH("ExpectedValues",tblParameters[Parameter],0))</f>
        <v>84</v>
      </c>
      <c r="G357" s="7">
        <f t="shared" si="21"/>
        <v>0.6071428571428571</v>
      </c>
      <c r="H357" s="7" t="str">
        <f>LOOKUP(G357,tblIndicatorScore[Min],tblIndicatorScore[Rating])</f>
        <v>Poor</v>
      </c>
      <c r="I357" s="7">
        <f>LOOKUP(G357,tblIndicatorScore[Min],tblIndicatorScore[Score])</f>
        <v>0</v>
      </c>
      <c r="J357" s="7" t="str">
        <f t="shared" si="22"/>
        <v>No</v>
      </c>
      <c r="K357" s="7" t="str">
        <f t="shared" si="23"/>
        <v>No</v>
      </c>
      <c r="L357" s="7" t="str">
        <f>IFERROR(
IF(K357="Yes","Incomplete",
IF(OR(
J357="Yes",
G357&lt;INDEX(tblParameters[Value],MATCH("MinimumAcceptCompleteness",tblParameters[Parameter],0))
),
"Review",
"Accept")),
"Parameter Error")</f>
        <v>Review</v>
      </c>
    </row>
    <row r="358" spans="1:12" ht="63.75">
      <c r="A358" s="8" t="str">
        <f>TRIM(SUBSTITUTE(CLEAN(Raw_Data!A358),CHAR(160)," "))</f>
        <v>Bwari Local Government Area</v>
      </c>
      <c r="B358" s="8" t="str">
        <f t="array" ref="B358">TRIM(SUBSTITUTE(CLEAN(Raw_Data!B358),CHAR(160)," "))</f>
        <v>Kubwa Ward</v>
      </c>
      <c r="C358" s="8" t="str">
        <f t="array" ref="C358">TRIM(SUBSTITUTE(CLEAN(Raw_Data!C358),CHAR(160)," "))</f>
        <v>Tunga Kwaso Primary Health Clinic</v>
      </c>
      <c r="D358" s="7">
        <f>COUNTA(Raw_Data!D358:CI358)</f>
        <v>56</v>
      </c>
      <c r="E358" s="7">
        <f t="shared" si="20"/>
        <v>28</v>
      </c>
      <c r="F358" s="9">
        <f>INDEX(tblParameters[Value],MATCH("ExpectedValues",tblParameters[Parameter],0))</f>
        <v>84</v>
      </c>
      <c r="G358" s="7">
        <f t="shared" si="21"/>
        <v>0.66666666666666663</v>
      </c>
      <c r="H358" s="7" t="str">
        <f>LOOKUP(G358,tblIndicatorScore[Min],tblIndicatorScore[Rating])</f>
        <v>Poor</v>
      </c>
      <c r="I358" s="7">
        <f>LOOKUP(G358,tblIndicatorScore[Min],tblIndicatorScore[Score])</f>
        <v>0</v>
      </c>
      <c r="J358" s="7" t="str">
        <f t="shared" si="22"/>
        <v>No</v>
      </c>
      <c r="K358" s="7" t="str">
        <f t="shared" si="23"/>
        <v>No</v>
      </c>
      <c r="L358" s="7" t="str">
        <f>IFERROR(
IF(K358="Yes","Incomplete",
IF(OR(
J358="Yes",
G358&lt;INDEX(tblParameters[Value],MATCH("MinimumAcceptCompleteness",tblParameters[Parameter],0))
),
"Review",
"Accept")),
"Parameter Error")</f>
        <v>Review</v>
      </c>
    </row>
    <row r="359" spans="1:12" ht="63.75">
      <c r="A359" s="8" t="str">
        <f>TRIM(SUBSTITUTE(CLEAN(Raw_Data!A359),CHAR(160)," "))</f>
        <v>Gwagwalada Local Government Area</v>
      </c>
      <c r="B359" s="8" t="str">
        <f t="array" ref="B359">TRIM(SUBSTITUTE(CLEAN(Raw_Data!B359),CHAR(160)," "))</f>
        <v>Ikwa Ward</v>
      </c>
      <c r="C359" s="8" t="str">
        <f t="array" ref="C359">TRIM(SUBSTITUTE(CLEAN(Raw_Data!C359),CHAR(160)," "))</f>
        <v>Tungan Gaya Primary Health Clinic</v>
      </c>
      <c r="D359" s="7">
        <f>COUNTA(Raw_Data!D359:CI359)</f>
        <v>58</v>
      </c>
      <c r="E359" s="7">
        <f t="shared" si="20"/>
        <v>26</v>
      </c>
      <c r="F359" s="9">
        <f>INDEX(tblParameters[Value],MATCH("ExpectedValues",tblParameters[Parameter],0))</f>
        <v>84</v>
      </c>
      <c r="G359" s="7">
        <f t="shared" si="21"/>
        <v>0.69047619047619047</v>
      </c>
      <c r="H359" s="7" t="str">
        <f>LOOKUP(G359,tblIndicatorScore[Min],tblIndicatorScore[Rating])</f>
        <v>Poor</v>
      </c>
      <c r="I359" s="7">
        <f>LOOKUP(G359,tblIndicatorScore[Min],tblIndicatorScore[Score])</f>
        <v>0</v>
      </c>
      <c r="J359" s="7" t="str">
        <f t="shared" si="22"/>
        <v>No</v>
      </c>
      <c r="K359" s="7" t="str">
        <f t="shared" si="23"/>
        <v>No</v>
      </c>
      <c r="L359" s="7" t="str">
        <f>IFERROR(
IF(K359="Yes","Incomplete",
IF(OR(
J359="Yes",
G359&lt;INDEX(tblParameters[Value],MATCH("MinimumAcceptCompleteness",tblParameters[Parameter],0))
),
"Review",
"Accept")),
"Parameter Error")</f>
        <v>Review</v>
      </c>
    </row>
    <row r="360" spans="1:12" ht="63.75">
      <c r="A360" s="8" t="str">
        <f>TRIM(SUBSTITUTE(CLEAN(Raw_Data!A360),CHAR(160)," "))</f>
        <v>Kwali Local Government Area</v>
      </c>
      <c r="B360" s="8" t="str">
        <f t="array" ref="B360">TRIM(SUBSTITUTE(CLEAN(Raw_Data!B360),CHAR(160)," "))</f>
        <v>Dafa Ward</v>
      </c>
      <c r="C360" s="8" t="str">
        <f t="array" ref="C360">TRIM(SUBSTITUTE(CLEAN(Raw_Data!C360),CHAR(160)," "))</f>
        <v>Tungan Guli Primary Health Clinic</v>
      </c>
      <c r="D360" s="7">
        <f>COUNTA(Raw_Data!D360:CI360)</f>
        <v>66</v>
      </c>
      <c r="E360" s="7">
        <f t="shared" si="20"/>
        <v>18</v>
      </c>
      <c r="F360" s="9">
        <f>INDEX(tblParameters[Value],MATCH("ExpectedValues",tblParameters[Parameter],0))</f>
        <v>84</v>
      </c>
      <c r="G360" s="7">
        <f t="shared" si="21"/>
        <v>0.7857142857142857</v>
      </c>
      <c r="H360" s="7" t="str">
        <f>LOOKUP(G360,tblIndicatorScore[Min],tblIndicatorScore[Rating])</f>
        <v>Poor</v>
      </c>
      <c r="I360" s="7">
        <f>LOOKUP(G360,tblIndicatorScore[Min],tblIndicatorScore[Score])</f>
        <v>0</v>
      </c>
      <c r="J360" s="7" t="str">
        <f t="shared" si="22"/>
        <v>No</v>
      </c>
      <c r="K360" s="7" t="str">
        <f t="shared" si="23"/>
        <v>No</v>
      </c>
      <c r="L360" s="7" t="str">
        <f>IFERROR(
IF(K360="Yes","Incomplete",
IF(OR(
J360="Yes",
G360&lt;INDEX(tblParameters[Value],MATCH("MinimumAcceptCompleteness",tblParameters[Parameter],0))
),
"Review",
"Accept")),
"Parameter Error")</f>
        <v>Review</v>
      </c>
    </row>
    <row r="361" spans="1:12" ht="63.75">
      <c r="A361" s="8" t="str">
        <f>TRIM(SUBSTITUTE(CLEAN(Raw_Data!A361),CHAR(160)," "))</f>
        <v>Abuja Municipal Area Council</v>
      </c>
      <c r="B361" s="8" t="str">
        <f t="array" ref="B361">TRIM(SUBSTITUTE(CLEAN(Raw_Data!B361),CHAR(160)," "))</f>
        <v>Gui Ward</v>
      </c>
      <c r="C361" s="8" t="str">
        <f t="array" ref="C361">TRIM(SUBSTITUTE(CLEAN(Raw_Data!C361),CHAR(160)," "))</f>
        <v>Tungan Madaki Primary Health Clinic</v>
      </c>
      <c r="D361" s="7">
        <f>COUNTA(Raw_Data!D361:CI361)</f>
        <v>54</v>
      </c>
      <c r="E361" s="7">
        <f t="shared" si="20"/>
        <v>30</v>
      </c>
      <c r="F361" s="9">
        <f>INDEX(tblParameters[Value],MATCH("ExpectedValues",tblParameters[Parameter],0))</f>
        <v>84</v>
      </c>
      <c r="G361" s="7">
        <f t="shared" si="21"/>
        <v>0.6428571428571429</v>
      </c>
      <c r="H361" s="7" t="str">
        <f>LOOKUP(G361,tblIndicatorScore[Min],tblIndicatorScore[Rating])</f>
        <v>Poor</v>
      </c>
      <c r="I361" s="7">
        <f>LOOKUP(G361,tblIndicatorScore[Min],tblIndicatorScore[Score])</f>
        <v>0</v>
      </c>
      <c r="J361" s="7" t="str">
        <f t="shared" si="22"/>
        <v>No</v>
      </c>
      <c r="K361" s="7" t="str">
        <f t="shared" si="23"/>
        <v>No</v>
      </c>
      <c r="L361" s="7" t="str">
        <f>IFERROR(
IF(K361="Yes","Incomplete",
IF(OR(
J361="Yes",
G361&lt;INDEX(tblParameters[Value],MATCH("MinimumAcceptCompleteness",tblParameters[Parameter],0))
),
"Review",
"Accept")),
"Parameter Error")</f>
        <v>Review</v>
      </c>
    </row>
    <row r="362" spans="1:12" ht="51">
      <c r="A362" s="8" t="str">
        <f>TRIM(SUBSTITUTE(CLEAN(Raw_Data!A362),CHAR(160)," "))</f>
        <v>Gwagwalada Local Government Area</v>
      </c>
      <c r="B362" s="8" t="str">
        <f t="array" ref="B362">TRIM(SUBSTITUTE(CLEAN(Raw_Data!B362),CHAR(160)," "))</f>
        <v>Tungan Maje Ward</v>
      </c>
      <c r="C362" s="8" t="str">
        <f t="array" ref="C362">TRIM(SUBSTITUTE(CLEAN(Raw_Data!C362),CHAR(160)," "))</f>
        <v>Tungan Maje Health Clinic</v>
      </c>
      <c r="D362" s="7">
        <f>COUNTA(Raw_Data!D362:CI362)</f>
        <v>66</v>
      </c>
      <c r="E362" s="7">
        <f t="shared" si="20"/>
        <v>18</v>
      </c>
      <c r="F362" s="9">
        <f>INDEX(tblParameters[Value],MATCH("ExpectedValues",tblParameters[Parameter],0))</f>
        <v>84</v>
      </c>
      <c r="G362" s="7">
        <f t="shared" si="21"/>
        <v>0.7857142857142857</v>
      </c>
      <c r="H362" s="7" t="str">
        <f>LOOKUP(G362,tblIndicatorScore[Min],tblIndicatorScore[Rating])</f>
        <v>Poor</v>
      </c>
      <c r="I362" s="7">
        <f>LOOKUP(G362,tblIndicatorScore[Min],tblIndicatorScore[Score])</f>
        <v>0</v>
      </c>
      <c r="J362" s="7" t="str">
        <f t="shared" si="22"/>
        <v>No</v>
      </c>
      <c r="K362" s="7" t="str">
        <f t="shared" si="23"/>
        <v>No</v>
      </c>
      <c r="L362" s="7" t="str">
        <f>IFERROR(
IF(K362="Yes","Incomplete",
IF(OR(
J362="Yes",
G362&lt;INDEX(tblParameters[Value],MATCH("MinimumAcceptCompleteness",tblParameters[Parameter],0))
),
"Review",
"Accept")),
"Parameter Error")</f>
        <v>Review</v>
      </c>
    </row>
    <row r="363" spans="1:12" ht="63.75">
      <c r="A363" s="8" t="str">
        <f>TRIM(SUBSTITUTE(CLEAN(Raw_Data!A363),CHAR(160)," "))</f>
        <v>Abuja Municipal Area Council</v>
      </c>
      <c r="B363" s="8" t="str">
        <f t="array" ref="B363">TRIM(SUBSTITUTE(CLEAN(Raw_Data!B363),CHAR(160)," "))</f>
        <v>Gui Ward</v>
      </c>
      <c r="C363" s="8" t="str">
        <f t="array" ref="C363">TRIM(SUBSTITUTE(CLEAN(Raw_Data!C363),CHAR(160)," "))</f>
        <v>Tungan Nasara Primary Health Centre</v>
      </c>
      <c r="D363" s="7">
        <f>COUNTA(Raw_Data!D363:CI363)</f>
        <v>8</v>
      </c>
      <c r="E363" s="7">
        <f t="shared" si="20"/>
        <v>76</v>
      </c>
      <c r="F363" s="9">
        <f>INDEX(tblParameters[Value],MATCH("ExpectedValues",tblParameters[Parameter],0))</f>
        <v>84</v>
      </c>
      <c r="G363" s="7">
        <f t="shared" si="21"/>
        <v>9.5238095238095233E-2</v>
      </c>
      <c r="H363" s="7" t="str">
        <f>LOOKUP(G363,tblIndicatorScore[Min],tblIndicatorScore[Rating])</f>
        <v>Poor</v>
      </c>
      <c r="I363" s="7">
        <f>LOOKUP(G363,tblIndicatorScore[Min],tblIndicatorScore[Score])</f>
        <v>0</v>
      </c>
      <c r="J363" s="7" t="str">
        <f t="shared" si="22"/>
        <v>No</v>
      </c>
      <c r="K363" s="7" t="str">
        <f t="shared" si="23"/>
        <v>No</v>
      </c>
      <c r="L363" s="7" t="str">
        <f>IFERROR(
IF(K363="Yes","Incomplete",
IF(OR(
J363="Yes",
G363&lt;INDEX(tblParameters[Value],MATCH("MinimumAcceptCompleteness",tblParameters[Parameter],0))
),
"Review",
"Accept")),
"Parameter Error")</f>
        <v>Review</v>
      </c>
    </row>
    <row r="364" spans="1:12" ht="63.75">
      <c r="A364" s="8" t="str">
        <f>TRIM(SUBSTITUTE(CLEAN(Raw_Data!A364),CHAR(160)," "))</f>
        <v>Kwali Local Government Area</v>
      </c>
      <c r="B364" s="8" t="str">
        <f t="array" ref="B364">TRIM(SUBSTITUTE(CLEAN(Raw_Data!B364),CHAR(160)," "))</f>
        <v>Kundu Ward</v>
      </c>
      <c r="C364" s="8" t="str">
        <f t="array" ref="C364">TRIM(SUBSTITUTE(CLEAN(Raw_Data!C364),CHAR(160)," "))</f>
        <v>Tungan Sarki Primary Health clinic</v>
      </c>
      <c r="D364" s="7">
        <f>COUNTA(Raw_Data!D364:CI364)</f>
        <v>55</v>
      </c>
      <c r="E364" s="7">
        <f t="shared" si="20"/>
        <v>29</v>
      </c>
      <c r="F364" s="9">
        <f>INDEX(tblParameters[Value],MATCH("ExpectedValues",tblParameters[Parameter],0))</f>
        <v>84</v>
      </c>
      <c r="G364" s="7">
        <f t="shared" si="21"/>
        <v>0.65476190476190477</v>
      </c>
      <c r="H364" s="7" t="str">
        <f>LOOKUP(G364,tblIndicatorScore[Min],tblIndicatorScore[Rating])</f>
        <v>Poor</v>
      </c>
      <c r="I364" s="7">
        <f>LOOKUP(G364,tblIndicatorScore[Min],tblIndicatorScore[Score])</f>
        <v>0</v>
      </c>
      <c r="J364" s="7" t="str">
        <f t="shared" si="22"/>
        <v>No</v>
      </c>
      <c r="K364" s="7" t="str">
        <f t="shared" si="23"/>
        <v>No</v>
      </c>
      <c r="L364" s="7" t="str">
        <f>IFERROR(
IF(K364="Yes","Incomplete",
IF(OR(
J364="Yes",
G364&lt;INDEX(tblParameters[Value],MATCH("MinimumAcceptCompleteness",tblParameters[Parameter],0))
),
"Review",
"Accept")),
"Parameter Error")</f>
        <v>Review</v>
      </c>
    </row>
    <row r="365" spans="1:12" ht="63.75">
      <c r="A365" s="8" t="str">
        <f>TRIM(SUBSTITUTE(CLEAN(Raw_Data!A365),CHAR(160)," "))</f>
        <v>Bwari Local Government Area</v>
      </c>
      <c r="B365" s="8" t="str">
        <f t="array" ref="B365">TRIM(SUBSTITUTE(CLEAN(Raw_Data!B365),CHAR(160)," "))</f>
        <v>Kawu Ward</v>
      </c>
      <c r="C365" s="8" t="str">
        <f t="array" ref="C365">TRIM(SUBSTITUTE(CLEAN(Raw_Data!C365),CHAR(160)," "))</f>
        <v>Tunganbijimi Primary Health Clinic</v>
      </c>
      <c r="D365" s="7">
        <f>COUNTA(Raw_Data!D365:CI365)</f>
        <v>54</v>
      </c>
      <c r="E365" s="7">
        <f t="shared" si="20"/>
        <v>30</v>
      </c>
      <c r="F365" s="9">
        <f>INDEX(tblParameters[Value],MATCH("ExpectedValues",tblParameters[Parameter],0))</f>
        <v>84</v>
      </c>
      <c r="G365" s="7">
        <f t="shared" si="21"/>
        <v>0.6428571428571429</v>
      </c>
      <c r="H365" s="7" t="str">
        <f>LOOKUP(G365,tblIndicatorScore[Min],tblIndicatorScore[Rating])</f>
        <v>Poor</v>
      </c>
      <c r="I365" s="7">
        <f>LOOKUP(G365,tblIndicatorScore[Min],tblIndicatorScore[Score])</f>
        <v>0</v>
      </c>
      <c r="J365" s="7" t="str">
        <f t="shared" si="22"/>
        <v>No</v>
      </c>
      <c r="K365" s="7" t="str">
        <f t="shared" si="23"/>
        <v>No</v>
      </c>
      <c r="L365" s="7" t="str">
        <f>IFERROR(
IF(K365="Yes","Incomplete",
IF(OR(
J365="Yes",
G365&lt;INDEX(tblParameters[Value],MATCH("MinimumAcceptCompleteness",tblParameters[Parameter],0))
),
"Review",
"Accept")),
"Parameter Error")</f>
        <v>Review</v>
      </c>
    </row>
    <row r="366" spans="1:12" ht="51">
      <c r="A366" s="8" t="str">
        <f>TRIM(SUBSTITUTE(CLEAN(Raw_Data!A366),CHAR(160)," "))</f>
        <v>Kwali Local Government Area</v>
      </c>
      <c r="B366" s="8" t="str">
        <f t="array" ref="B366">TRIM(SUBSTITUTE(CLEAN(Raw_Data!B366),CHAR(160)," "))</f>
        <v>Wako Ward</v>
      </c>
      <c r="C366" s="8" t="str">
        <f t="array" ref="C366">TRIM(SUBSTITUTE(CLEAN(Raw_Data!C366),CHAR(160)," "))</f>
        <v>Ubosharu Primary Health Clinic</v>
      </c>
      <c r="D366" s="7">
        <f>COUNTA(Raw_Data!D366:CI366)</f>
        <v>65</v>
      </c>
      <c r="E366" s="7">
        <f t="shared" si="20"/>
        <v>19</v>
      </c>
      <c r="F366" s="9">
        <f>INDEX(tblParameters[Value],MATCH("ExpectedValues",tblParameters[Parameter],0))</f>
        <v>84</v>
      </c>
      <c r="G366" s="7">
        <f t="shared" si="21"/>
        <v>0.77380952380952384</v>
      </c>
      <c r="H366" s="7" t="str">
        <f>LOOKUP(G366,tblIndicatorScore[Min],tblIndicatorScore[Rating])</f>
        <v>Poor</v>
      </c>
      <c r="I366" s="7">
        <f>LOOKUP(G366,tblIndicatorScore[Min],tblIndicatorScore[Score])</f>
        <v>0</v>
      </c>
      <c r="J366" s="7" t="str">
        <f t="shared" si="22"/>
        <v>No</v>
      </c>
      <c r="K366" s="7" t="str">
        <f t="shared" si="23"/>
        <v>No</v>
      </c>
      <c r="L366" s="7" t="str">
        <f>IFERROR(
IF(K366="Yes","Incomplete",
IF(OR(
J366="Yes",
G366&lt;INDEX(tblParameters[Value],MATCH("MinimumAcceptCompleteness",tblParameters[Parameter],0))
),
"Review",
"Accept")),
"Parameter Error")</f>
        <v>Review</v>
      </c>
    </row>
    <row r="367" spans="1:12" ht="51">
      <c r="A367" s="8" t="str">
        <f>TRIM(SUBSTITUTE(CLEAN(Raw_Data!A367),CHAR(160)," "))</f>
        <v>Abuja Municipal Area Council</v>
      </c>
      <c r="B367" s="8" t="str">
        <f t="array" ref="B367">TRIM(SUBSTITUTE(CLEAN(Raw_Data!B367),CHAR(160)," "))</f>
        <v>Gwagwa Ward</v>
      </c>
      <c r="C367" s="8" t="str">
        <f t="array" ref="C367">TRIM(SUBSTITUTE(CLEAN(Raw_Data!C367),CHAR(160)," "))</f>
        <v>Una Clinic</v>
      </c>
      <c r="D367" s="7">
        <f>COUNTA(Raw_Data!D367:CI367)</f>
        <v>4</v>
      </c>
      <c r="E367" s="7">
        <f t="shared" si="20"/>
        <v>80</v>
      </c>
      <c r="F367" s="9">
        <f>INDEX(tblParameters[Value],MATCH("ExpectedValues",tblParameters[Parameter],0))</f>
        <v>84</v>
      </c>
      <c r="G367" s="7">
        <f t="shared" si="21"/>
        <v>4.7619047619047616E-2</v>
      </c>
      <c r="H367" s="7" t="str">
        <f>LOOKUP(G367,tblIndicatorScore[Min],tblIndicatorScore[Rating])</f>
        <v>Poor</v>
      </c>
      <c r="I367" s="7">
        <f>LOOKUP(G367,tblIndicatorScore[Min],tblIndicatorScore[Score])</f>
        <v>0</v>
      </c>
      <c r="J367" s="7" t="str">
        <f t="shared" si="22"/>
        <v>No</v>
      </c>
      <c r="K367" s="7" t="str">
        <f t="shared" si="23"/>
        <v>No</v>
      </c>
      <c r="L367" s="7" t="str">
        <f>IFERROR(
IF(K367="Yes","Incomplete",
IF(OR(
J367="Yes",
G367&lt;INDEX(tblParameters[Value],MATCH("MinimumAcceptCompleteness",tblParameters[Parameter],0))
),
"Review",
"Accept")),
"Parameter Error")</f>
        <v>Review</v>
      </c>
    </row>
    <row r="368" spans="1:12" ht="51">
      <c r="A368" s="8" t="str">
        <f>TRIM(SUBSTITUTE(CLEAN(Raw_Data!A368),CHAR(160)," "))</f>
        <v>Bwari Local Government Area</v>
      </c>
      <c r="B368" s="8" t="str">
        <f t="array" ref="B368">TRIM(SUBSTITUTE(CLEAN(Raw_Data!B368),CHAR(160)," "))</f>
        <v>Usuma Ward</v>
      </c>
      <c r="C368" s="8" t="str">
        <f t="array" ref="C368">TRIM(SUBSTITUTE(CLEAN(Raw_Data!C368),CHAR(160)," "))</f>
        <v>Unity Clinic &amp; Maternity</v>
      </c>
      <c r="D368" s="7">
        <f>COUNTA(Raw_Data!D368:CI368)</f>
        <v>72</v>
      </c>
      <c r="E368" s="7">
        <f t="shared" si="20"/>
        <v>12</v>
      </c>
      <c r="F368" s="9">
        <f>INDEX(tblParameters[Value],MATCH("ExpectedValues",tblParameters[Parameter],0))</f>
        <v>84</v>
      </c>
      <c r="G368" s="7">
        <f t="shared" si="21"/>
        <v>0.8571428571428571</v>
      </c>
      <c r="H368" s="7" t="str">
        <f>LOOKUP(G368,tblIndicatorScore[Min],tblIndicatorScore[Rating])</f>
        <v>Fair</v>
      </c>
      <c r="I368" s="7">
        <f>LOOKUP(G368,tblIndicatorScore[Min],tblIndicatorScore[Score])</f>
        <v>1</v>
      </c>
      <c r="J368" s="7" t="str">
        <f t="shared" si="22"/>
        <v>No</v>
      </c>
      <c r="K368" s="7" t="str">
        <f t="shared" si="23"/>
        <v>No</v>
      </c>
      <c r="L368" s="7" t="str">
        <f>IFERROR(
IF(K368="Yes","Incomplete",
IF(OR(
J368="Yes",
G368&lt;INDEX(tblParameters[Value],MATCH("MinimumAcceptCompleteness",tblParameters[Parameter],0))
),
"Review",
"Accept")),
"Parameter Error")</f>
        <v>Review</v>
      </c>
    </row>
    <row r="369" spans="1:12" ht="51">
      <c r="A369" s="8" t="str">
        <f>TRIM(SUBSTITUTE(CLEAN(Raw_Data!A369),CHAR(160)," "))</f>
        <v>Gwagwalada Local Government Area</v>
      </c>
      <c r="B369" s="8" t="str">
        <f t="array" ref="B369">TRIM(SUBSTITUTE(CLEAN(Raw_Data!B369),CHAR(160)," "))</f>
        <v>Quarters Ward</v>
      </c>
      <c r="C369" s="8" t="str">
        <f t="array" ref="C369">TRIM(SUBSTITUTE(CLEAN(Raw_Data!C369),CHAR(160)," "))</f>
        <v>University of Abuja Teaching Hospital</v>
      </c>
      <c r="D369" s="7">
        <f>COUNTA(Raw_Data!D369:CI369)</f>
        <v>57</v>
      </c>
      <c r="E369" s="7">
        <f t="shared" si="20"/>
        <v>27</v>
      </c>
      <c r="F369" s="9">
        <f>INDEX(tblParameters[Value],MATCH("ExpectedValues",tblParameters[Parameter],0))</f>
        <v>84</v>
      </c>
      <c r="G369" s="7">
        <f t="shared" si="21"/>
        <v>0.6785714285714286</v>
      </c>
      <c r="H369" s="7" t="str">
        <f>LOOKUP(G369,tblIndicatorScore[Min],tblIndicatorScore[Rating])</f>
        <v>Poor</v>
      </c>
      <c r="I369" s="7">
        <f>LOOKUP(G369,tblIndicatorScore[Min],tblIndicatorScore[Score])</f>
        <v>0</v>
      </c>
      <c r="J369" s="7" t="str">
        <f t="shared" si="22"/>
        <v>No</v>
      </c>
      <c r="K369" s="7" t="str">
        <f t="shared" si="23"/>
        <v>No</v>
      </c>
      <c r="L369" s="7" t="str">
        <f>IFERROR(
IF(K369="Yes","Incomplete",
IF(OR(
J369="Yes",
G369&lt;INDEX(tblParameters[Value],MATCH("MinimumAcceptCompleteness",tblParameters[Parameter],0))
),
"Review",
"Accept")),
"Parameter Error")</f>
        <v>Review</v>
      </c>
    </row>
    <row r="370" spans="1:12" ht="63.75">
      <c r="A370" s="8" t="str">
        <f>TRIM(SUBSTITUTE(CLEAN(Raw_Data!A370),CHAR(160)," "))</f>
        <v>Bwari Local Government Area</v>
      </c>
      <c r="B370" s="8" t="str">
        <f t="array" ref="B370">TRIM(SUBSTITUTE(CLEAN(Raw_Data!B370),CHAR(160)," "))</f>
        <v>Ushafa Ward</v>
      </c>
      <c r="C370" s="8" t="str">
        <f t="array" ref="C370">TRIM(SUBSTITUTE(CLEAN(Raw_Data!C370),CHAR(160)," "))</f>
        <v>Ushafa New Layout Health Centre</v>
      </c>
      <c r="D370" s="7">
        <f>COUNTA(Raw_Data!D370:CI370)</f>
        <v>66</v>
      </c>
      <c r="E370" s="7">
        <f t="shared" si="20"/>
        <v>18</v>
      </c>
      <c r="F370" s="9">
        <f>INDEX(tblParameters[Value],MATCH("ExpectedValues",tblParameters[Parameter],0))</f>
        <v>84</v>
      </c>
      <c r="G370" s="7">
        <f t="shared" si="21"/>
        <v>0.7857142857142857</v>
      </c>
      <c r="H370" s="7" t="str">
        <f>LOOKUP(G370,tblIndicatorScore[Min],tblIndicatorScore[Rating])</f>
        <v>Poor</v>
      </c>
      <c r="I370" s="7">
        <f>LOOKUP(G370,tblIndicatorScore[Min],tblIndicatorScore[Score])</f>
        <v>0</v>
      </c>
      <c r="J370" s="7" t="str">
        <f t="shared" si="22"/>
        <v>No</v>
      </c>
      <c r="K370" s="7" t="str">
        <f t="shared" si="23"/>
        <v>No</v>
      </c>
      <c r="L370" s="7" t="str">
        <f>IFERROR(
IF(K370="Yes","Incomplete",
IF(OR(
J370="Yes",
G370&lt;INDEX(tblParameters[Value],MATCH("MinimumAcceptCompleteness",tblParameters[Parameter],0))
),
"Review",
"Accept")),
"Parameter Error")</f>
        <v>Review</v>
      </c>
    </row>
    <row r="371" spans="1:12" ht="51">
      <c r="A371" s="8" t="str">
        <f>TRIM(SUBSTITUTE(CLEAN(Raw_Data!A371),CHAR(160)," "))</f>
        <v>Bwari Local Government Area</v>
      </c>
      <c r="B371" s="8" t="str">
        <f t="array" ref="B371">TRIM(SUBSTITUTE(CLEAN(Raw_Data!B371),CHAR(160)," "))</f>
        <v>Ushafa Ward</v>
      </c>
      <c r="C371" s="8" t="str">
        <f t="array" ref="C371">TRIM(SUBSTITUTE(CLEAN(Raw_Data!C371),CHAR(160)," "))</f>
        <v>Ushafa Primary Health Center</v>
      </c>
      <c r="D371" s="7">
        <f>COUNTA(Raw_Data!D371:CI371)</f>
        <v>71</v>
      </c>
      <c r="E371" s="7">
        <f t="shared" si="20"/>
        <v>13</v>
      </c>
      <c r="F371" s="9">
        <f>INDEX(tblParameters[Value],MATCH("ExpectedValues",tblParameters[Parameter],0))</f>
        <v>84</v>
      </c>
      <c r="G371" s="7">
        <f t="shared" si="21"/>
        <v>0.84523809523809523</v>
      </c>
      <c r="H371" s="7" t="str">
        <f>LOOKUP(G371,tblIndicatorScore[Min],tblIndicatorScore[Rating])</f>
        <v>Fair</v>
      </c>
      <c r="I371" s="7">
        <f>LOOKUP(G371,tblIndicatorScore[Min],tblIndicatorScore[Score])</f>
        <v>1</v>
      </c>
      <c r="J371" s="7" t="str">
        <f t="shared" si="22"/>
        <v>No</v>
      </c>
      <c r="K371" s="7" t="str">
        <f t="shared" si="23"/>
        <v>No</v>
      </c>
      <c r="L371" s="7" t="str">
        <f>IFERROR(
IF(K371="Yes","Incomplete",
IF(OR(
J371="Yes",
G371&lt;INDEX(tblParameters[Value],MATCH("MinimumAcceptCompleteness",tblParameters[Parameter],0))
),
"Review",
"Accept")),
"Parameter Error")</f>
        <v>Review</v>
      </c>
    </row>
    <row r="372" spans="1:12" ht="51">
      <c r="A372" s="8" t="str">
        <f>TRIM(SUBSTITUTE(CLEAN(Raw_Data!A372),CHAR(160)," "))</f>
        <v>Abuja Municipal Area Council</v>
      </c>
      <c r="B372" s="8" t="str">
        <f t="array" ref="B372">TRIM(SUBSTITUTE(CLEAN(Raw_Data!B372),CHAR(160)," "))</f>
        <v>Garki Ward</v>
      </c>
      <c r="C372" s="8" t="str">
        <f t="array" ref="C372">TRIM(SUBSTITUTE(CLEAN(Raw_Data!C372),CHAR(160)," "))</f>
        <v>Vinnette Medical Center</v>
      </c>
      <c r="D372" s="7">
        <f>COUNTA(Raw_Data!D372:CI372)</f>
        <v>36</v>
      </c>
      <c r="E372" s="7">
        <f t="shared" si="20"/>
        <v>48</v>
      </c>
      <c r="F372" s="9">
        <f>INDEX(tblParameters[Value],MATCH("ExpectedValues",tblParameters[Parameter],0))</f>
        <v>84</v>
      </c>
      <c r="G372" s="7">
        <f t="shared" si="21"/>
        <v>0.42857142857142855</v>
      </c>
      <c r="H372" s="7" t="str">
        <f>LOOKUP(G372,tblIndicatorScore[Min],tblIndicatorScore[Rating])</f>
        <v>Poor</v>
      </c>
      <c r="I372" s="7">
        <f>LOOKUP(G372,tblIndicatorScore[Min],tblIndicatorScore[Score])</f>
        <v>0</v>
      </c>
      <c r="J372" s="7" t="str">
        <f t="shared" si="22"/>
        <v>No</v>
      </c>
      <c r="K372" s="7" t="str">
        <f t="shared" si="23"/>
        <v>No</v>
      </c>
      <c r="L372" s="7" t="str">
        <f>IFERROR(
IF(K372="Yes","Incomplete",
IF(OR(
J372="Yes",
G372&lt;INDEX(tblParameters[Value],MATCH("MinimumAcceptCompleteness",tblParameters[Parameter],0))
),
"Review",
"Accept")),
"Parameter Error")</f>
        <v>Review</v>
      </c>
    </row>
    <row r="373" spans="1:12" ht="51">
      <c r="A373" s="8" t="str">
        <f>TRIM(SUBSTITUTE(CLEAN(Raw_Data!A373),CHAR(160)," "))</f>
        <v>Gwagwalada Local Government Area</v>
      </c>
      <c r="B373" s="8" t="str">
        <f t="array" ref="B373">TRIM(SUBSTITUTE(CLEAN(Raw_Data!B373),CHAR(160)," "))</f>
        <v>Gwako Ward</v>
      </c>
      <c r="C373" s="8" t="str">
        <f t="array" ref="C373">TRIM(SUBSTITUTE(CLEAN(Raw_Data!C373),CHAR(160)," "))</f>
        <v>Viprona Health Clinic</v>
      </c>
      <c r="D373" s="7">
        <f>COUNTA(Raw_Data!D373:CI373)</f>
        <v>41</v>
      </c>
      <c r="E373" s="7">
        <f t="shared" si="20"/>
        <v>43</v>
      </c>
      <c r="F373" s="9">
        <f>INDEX(tblParameters[Value],MATCH("ExpectedValues",tblParameters[Parameter],0))</f>
        <v>84</v>
      </c>
      <c r="G373" s="7">
        <f t="shared" si="21"/>
        <v>0.48809523809523808</v>
      </c>
      <c r="H373" s="7" t="str">
        <f>LOOKUP(G373,tblIndicatorScore[Min],tblIndicatorScore[Rating])</f>
        <v>Poor</v>
      </c>
      <c r="I373" s="7">
        <f>LOOKUP(G373,tblIndicatorScore[Min],tblIndicatorScore[Score])</f>
        <v>0</v>
      </c>
      <c r="J373" s="7" t="str">
        <f t="shared" si="22"/>
        <v>No</v>
      </c>
      <c r="K373" s="7" t="str">
        <f t="shared" si="23"/>
        <v>No</v>
      </c>
      <c r="L373" s="7" t="str">
        <f>IFERROR(
IF(K373="Yes","Incomplete",
IF(OR(
J373="Yes",
G373&lt;INDEX(tblParameters[Value],MATCH("MinimumAcceptCompleteness",tblParameters[Parameter],0))
),
"Review",
"Accept")),
"Parameter Error")</f>
        <v>Review</v>
      </c>
    </row>
    <row r="374" spans="1:12" ht="51">
      <c r="A374" s="8" t="str">
        <f>TRIM(SUBSTITUTE(CLEAN(Raw_Data!A374),CHAR(160)," "))</f>
        <v>Kwali Local Government Area</v>
      </c>
      <c r="B374" s="8" t="str">
        <f t="array" ref="B374">TRIM(SUBSTITUTE(CLEAN(Raw_Data!B374),CHAR(160)," "))</f>
        <v>Wako Ward</v>
      </c>
      <c r="C374" s="8" t="str">
        <f t="array" ref="C374">TRIM(SUBSTITUTE(CLEAN(Raw_Data!C374),CHAR(160)," "))</f>
        <v>Wako Primary Health Centre</v>
      </c>
      <c r="D374" s="7">
        <f>COUNTA(Raw_Data!D374:CI374)</f>
        <v>66</v>
      </c>
      <c r="E374" s="7">
        <f t="shared" si="20"/>
        <v>18</v>
      </c>
      <c r="F374" s="9">
        <f>INDEX(tblParameters[Value],MATCH("ExpectedValues",tblParameters[Parameter],0))</f>
        <v>84</v>
      </c>
      <c r="G374" s="7">
        <f t="shared" si="21"/>
        <v>0.7857142857142857</v>
      </c>
      <c r="H374" s="7" t="str">
        <f>LOOKUP(G374,tblIndicatorScore[Min],tblIndicatorScore[Rating])</f>
        <v>Poor</v>
      </c>
      <c r="I374" s="7">
        <f>LOOKUP(G374,tblIndicatorScore[Min],tblIndicatorScore[Score])</f>
        <v>0</v>
      </c>
      <c r="J374" s="7" t="str">
        <f t="shared" si="22"/>
        <v>No</v>
      </c>
      <c r="K374" s="7" t="str">
        <f t="shared" si="23"/>
        <v>No</v>
      </c>
      <c r="L374" s="7" t="str">
        <f>IFERROR(
IF(K374="Yes","Incomplete",
IF(OR(
J374="Yes",
G374&lt;INDEX(tblParameters[Value],MATCH("MinimumAcceptCompleteness",tblParameters[Parameter],0))
),
"Review",
"Accept")),
"Parameter Error")</f>
        <v>Review</v>
      </c>
    </row>
    <row r="375" spans="1:12" ht="63.75">
      <c r="A375" s="8" t="str">
        <f>TRIM(SUBSTITUTE(CLEAN(Raw_Data!A375),CHAR(160)," "))</f>
        <v>Abuja Municipal Area Council</v>
      </c>
      <c r="B375" s="8" t="str">
        <f t="array" ref="B375">TRIM(SUBSTITUTE(CLEAN(Raw_Data!B375),CHAR(160)," "))</f>
        <v>Kabusa Ward</v>
      </c>
      <c r="C375" s="8" t="str">
        <f t="array" ref="C375">TRIM(SUBSTITUTE(CLEAN(Raw_Data!C375),CHAR(160)," "))</f>
        <v>Waru Primary Health Care Centre</v>
      </c>
      <c r="D375" s="7">
        <f>COUNTA(Raw_Data!D375:CI375)</f>
        <v>56</v>
      </c>
      <c r="E375" s="7">
        <f t="shared" si="20"/>
        <v>28</v>
      </c>
      <c r="F375" s="9">
        <f>INDEX(tblParameters[Value],MATCH("ExpectedValues",tblParameters[Parameter],0))</f>
        <v>84</v>
      </c>
      <c r="G375" s="7">
        <f t="shared" si="21"/>
        <v>0.66666666666666663</v>
      </c>
      <c r="H375" s="7" t="str">
        <f>LOOKUP(G375,tblIndicatorScore[Min],tblIndicatorScore[Rating])</f>
        <v>Poor</v>
      </c>
      <c r="I375" s="7">
        <f>LOOKUP(G375,tblIndicatorScore[Min],tblIndicatorScore[Score])</f>
        <v>0</v>
      </c>
      <c r="J375" s="7" t="str">
        <f t="shared" si="22"/>
        <v>No</v>
      </c>
      <c r="K375" s="7" t="str">
        <f t="shared" si="23"/>
        <v>No</v>
      </c>
      <c r="L375" s="7" t="str">
        <f>IFERROR(
IF(K375="Yes","Incomplete",
IF(OR(
J375="Yes",
G375&lt;INDEX(tblParameters[Value],MATCH("MinimumAcceptCompleteness",tblParameters[Parameter],0))
),
"Review",
"Accept")),
"Parameter Error")</f>
        <v>Review</v>
      </c>
    </row>
    <row r="376" spans="1:12" ht="51">
      <c r="A376" s="8" t="str">
        <f>TRIM(SUBSTITUTE(CLEAN(Raw_Data!A376),CHAR(160)," "))</f>
        <v>Abuja Municipal Area Council</v>
      </c>
      <c r="B376" s="8" t="str">
        <f t="array" ref="B376">TRIM(SUBSTITUTE(CLEAN(Raw_Data!B376),CHAR(160)," "))</f>
        <v>Kabusa Ward</v>
      </c>
      <c r="C376" s="8" t="str">
        <f t="array" ref="C376">TRIM(SUBSTITUTE(CLEAN(Raw_Data!C376),CHAR(160)," "))</f>
        <v>Wassa Primary Health Clinic</v>
      </c>
      <c r="D376" s="7">
        <f>COUNTA(Raw_Data!D376:CI376)</f>
        <v>50</v>
      </c>
      <c r="E376" s="7">
        <f t="shared" si="20"/>
        <v>34</v>
      </c>
      <c r="F376" s="9">
        <f>INDEX(tblParameters[Value],MATCH("ExpectedValues",tblParameters[Parameter],0))</f>
        <v>84</v>
      </c>
      <c r="G376" s="7">
        <f t="shared" si="21"/>
        <v>0.59523809523809523</v>
      </c>
      <c r="H376" s="7" t="str">
        <f>LOOKUP(G376,tblIndicatorScore[Min],tblIndicatorScore[Rating])</f>
        <v>Poor</v>
      </c>
      <c r="I376" s="7">
        <f>LOOKUP(G376,tblIndicatorScore[Min],tblIndicatorScore[Score])</f>
        <v>0</v>
      </c>
      <c r="J376" s="7" t="str">
        <f t="shared" si="22"/>
        <v>No</v>
      </c>
      <c r="K376" s="7" t="str">
        <f t="shared" si="23"/>
        <v>No</v>
      </c>
      <c r="L376" s="7" t="str">
        <f>IFERROR(
IF(K376="Yes","Incomplete",
IF(OR(
J376="Yes",
G376&lt;INDEX(tblParameters[Value],MATCH("MinimumAcceptCompleteness",tblParameters[Parameter],0))
),
"Review",
"Accept")),
"Parameter Error")</f>
        <v>Review</v>
      </c>
    </row>
    <row r="377" spans="1:12" ht="51">
      <c r="A377" s="8" t="str">
        <f>TRIM(SUBSTITUTE(CLEAN(Raw_Data!A377),CHAR(160)," "))</f>
        <v>Abuja Municipal Area Council</v>
      </c>
      <c r="B377" s="8" t="str">
        <f t="array" ref="B377">TRIM(SUBSTITUTE(CLEAN(Raw_Data!B377),CHAR(160)," "))</f>
        <v>Gwarimpa Ward</v>
      </c>
      <c r="C377" s="8" t="str">
        <f t="array" ref="C377">TRIM(SUBSTITUTE(CLEAN(Raw_Data!C377),CHAR(160)," "))</f>
        <v>Wellpoint Specialist Clinic</v>
      </c>
      <c r="D377" s="7">
        <f>COUNTA(Raw_Data!D377:CI377)</f>
        <v>72</v>
      </c>
      <c r="E377" s="7">
        <f t="shared" si="20"/>
        <v>12</v>
      </c>
      <c r="F377" s="9">
        <f>INDEX(tblParameters[Value],MATCH("ExpectedValues",tblParameters[Parameter],0))</f>
        <v>84</v>
      </c>
      <c r="G377" s="7">
        <f t="shared" si="21"/>
        <v>0.8571428571428571</v>
      </c>
      <c r="H377" s="7" t="str">
        <f>LOOKUP(G377,tblIndicatorScore[Min],tblIndicatorScore[Rating])</f>
        <v>Fair</v>
      </c>
      <c r="I377" s="7">
        <f>LOOKUP(G377,tblIndicatorScore[Min],tblIndicatorScore[Score])</f>
        <v>1</v>
      </c>
      <c r="J377" s="7" t="str">
        <f t="shared" si="22"/>
        <v>No</v>
      </c>
      <c r="K377" s="7" t="str">
        <f t="shared" si="23"/>
        <v>No</v>
      </c>
      <c r="L377" s="7" t="str">
        <f>IFERROR(
IF(K377="Yes","Incomplete",
IF(OR(
J377="Yes",
G377&lt;INDEX(tblParameters[Value],MATCH("MinimumAcceptCompleteness",tblParameters[Parameter],0))
),
"Review",
"Accept")),
"Parameter Error")</f>
        <v>Review</v>
      </c>
    </row>
    <row r="378" spans="1:12" ht="51">
      <c r="A378" s="8" t="str">
        <f>TRIM(SUBSTITUTE(CLEAN(Raw_Data!A378),CHAR(160)," "))</f>
        <v>Gwagwalada Local Government Area</v>
      </c>
      <c r="B378" s="8" t="str">
        <f t="array" ref="B378">TRIM(SUBSTITUTE(CLEAN(Raw_Data!B378),CHAR(160)," "))</f>
        <v>Dobi Ward</v>
      </c>
      <c r="C378" s="8" t="str">
        <f t="array" ref="C378">TRIM(SUBSTITUTE(CLEAN(Raw_Data!C378),CHAR(160)," "))</f>
        <v>Wumi Health Clinic</v>
      </c>
      <c r="D378" s="7">
        <f>COUNTA(Raw_Data!D378:CI378)</f>
        <v>37</v>
      </c>
      <c r="E378" s="7">
        <f t="shared" si="20"/>
        <v>47</v>
      </c>
      <c r="F378" s="9">
        <f>INDEX(tblParameters[Value],MATCH("ExpectedValues",tblParameters[Parameter],0))</f>
        <v>84</v>
      </c>
      <c r="G378" s="7">
        <f t="shared" si="21"/>
        <v>0.44047619047619047</v>
      </c>
      <c r="H378" s="7" t="str">
        <f>LOOKUP(G378,tblIndicatorScore[Min],tblIndicatorScore[Rating])</f>
        <v>Poor</v>
      </c>
      <c r="I378" s="7">
        <f>LOOKUP(G378,tblIndicatorScore[Min],tblIndicatorScore[Score])</f>
        <v>0</v>
      </c>
      <c r="J378" s="7" t="str">
        <f t="shared" si="22"/>
        <v>No</v>
      </c>
      <c r="K378" s="7" t="str">
        <f t="shared" si="23"/>
        <v>No</v>
      </c>
      <c r="L378" s="7" t="str">
        <f>IFERROR(
IF(K378="Yes","Incomplete",
IF(OR(
J378="Yes",
G378&lt;INDEX(tblParameters[Value],MATCH("MinimumAcceptCompleteness",tblParameters[Parameter],0))
),
"Review",
"Accept")),
"Parameter Error")</f>
        <v>Review</v>
      </c>
    </row>
    <row r="379" spans="1:12" ht="51">
      <c r="A379" s="8" t="str">
        <f>TRIM(SUBSTITUTE(CLEAN(Raw_Data!A379),CHAR(160)," "))</f>
        <v>Gwagwalada Local Government Area</v>
      </c>
      <c r="B379" s="8" t="str">
        <f t="array" ref="B379">TRIM(SUBSTITUTE(CLEAN(Raw_Data!B379),CHAR(160)," "))</f>
        <v>Ibwa Ward</v>
      </c>
      <c r="C379" s="8" t="str">
        <f t="array" ref="C379">TRIM(SUBSTITUTE(CLEAN(Raw_Data!C379),CHAR(160)," "))</f>
        <v>Wuna Primary Health Clinic</v>
      </c>
      <c r="D379" s="7">
        <f>COUNTA(Raw_Data!D379:CI379)</f>
        <v>57</v>
      </c>
      <c r="E379" s="7">
        <f t="shared" si="20"/>
        <v>27</v>
      </c>
      <c r="F379" s="9">
        <f>INDEX(tblParameters[Value],MATCH("ExpectedValues",tblParameters[Parameter],0))</f>
        <v>84</v>
      </c>
      <c r="G379" s="7">
        <f t="shared" si="21"/>
        <v>0.6785714285714286</v>
      </c>
      <c r="H379" s="7" t="str">
        <f>LOOKUP(G379,tblIndicatorScore[Min],tblIndicatorScore[Rating])</f>
        <v>Poor</v>
      </c>
      <c r="I379" s="7">
        <f>LOOKUP(G379,tblIndicatorScore[Min],tblIndicatorScore[Score])</f>
        <v>0</v>
      </c>
      <c r="J379" s="7" t="str">
        <f t="shared" si="22"/>
        <v>No</v>
      </c>
      <c r="K379" s="7" t="str">
        <f t="shared" si="23"/>
        <v>No</v>
      </c>
      <c r="L379" s="7" t="str">
        <f>IFERROR(
IF(K379="Yes","Incomplete",
IF(OR(
J379="Yes",
G379&lt;INDEX(tblParameters[Value],MATCH("MinimumAcceptCompleteness",tblParameters[Parameter],0))
),
"Review",
"Accept")),
"Parameter Error")</f>
        <v>Review</v>
      </c>
    </row>
    <row r="380" spans="1:12" ht="51">
      <c r="A380" s="8" t="str">
        <f>TRIM(SUBSTITUTE(CLEAN(Raw_Data!A380),CHAR(160)," "))</f>
        <v>Abuja Municipal Area Council</v>
      </c>
      <c r="B380" s="8" t="str">
        <f t="array" ref="B380">TRIM(SUBSTITUTE(CLEAN(Raw_Data!B380),CHAR(160)," "))</f>
        <v>Wuse Ward</v>
      </c>
      <c r="C380" s="8" t="str">
        <f t="array" ref="C380">TRIM(SUBSTITUTE(CLEAN(Raw_Data!C380),CHAR(160)," "))</f>
        <v>Wuse General Hospital</v>
      </c>
      <c r="D380" s="7">
        <f>COUNTA(Raw_Data!D380:CI380)</f>
        <v>59</v>
      </c>
      <c r="E380" s="7">
        <f t="shared" si="20"/>
        <v>25</v>
      </c>
      <c r="F380" s="9">
        <f>INDEX(tblParameters[Value],MATCH("ExpectedValues",tblParameters[Parameter],0))</f>
        <v>84</v>
      </c>
      <c r="G380" s="7">
        <f t="shared" si="21"/>
        <v>0.70238095238095233</v>
      </c>
      <c r="H380" s="7" t="str">
        <f>LOOKUP(G380,tblIndicatorScore[Min],tblIndicatorScore[Rating])</f>
        <v>Poor</v>
      </c>
      <c r="I380" s="7">
        <f>LOOKUP(G380,tblIndicatorScore[Min],tblIndicatorScore[Score])</f>
        <v>0</v>
      </c>
      <c r="J380" s="7" t="str">
        <f t="shared" si="22"/>
        <v>No</v>
      </c>
      <c r="K380" s="7" t="str">
        <f t="shared" si="23"/>
        <v>No</v>
      </c>
      <c r="L380" s="7" t="str">
        <f>IFERROR(
IF(K380="Yes","Incomplete",
IF(OR(
J380="Yes",
G380&lt;INDEX(tblParameters[Value],MATCH("MinimumAcceptCompleteness",tblParameters[Parameter],0))
),
"Review",
"Accept")),
"Parameter Error")</f>
        <v>Review</v>
      </c>
    </row>
    <row r="381" spans="1:12" ht="51">
      <c r="A381" s="8" t="str">
        <f>TRIM(SUBSTITUTE(CLEAN(Raw_Data!A381),CHAR(160)," "))</f>
        <v>Abaji Local Government Area</v>
      </c>
      <c r="B381" s="8" t="str">
        <f t="array" ref="B381">TRIM(SUBSTITUTE(CLEAN(Raw_Data!B381),CHAR(160)," "))</f>
        <v>Yaba Ward</v>
      </c>
      <c r="C381" s="8" t="str">
        <f t="array" ref="C381">TRIM(SUBSTITUTE(CLEAN(Raw_Data!C381),CHAR(160)," "))</f>
        <v>Yaba Primary Health Clinic</v>
      </c>
      <c r="D381" s="7">
        <f>COUNTA(Raw_Data!D381:CI381)</f>
        <v>70</v>
      </c>
      <c r="E381" s="7">
        <f t="shared" si="20"/>
        <v>14</v>
      </c>
      <c r="F381" s="9">
        <f>INDEX(tblParameters[Value],MATCH("ExpectedValues",tblParameters[Parameter],0))</f>
        <v>84</v>
      </c>
      <c r="G381" s="7">
        <f t="shared" si="21"/>
        <v>0.83333333333333337</v>
      </c>
      <c r="H381" s="7" t="str">
        <f>LOOKUP(G381,tblIndicatorScore[Min],tblIndicatorScore[Rating])</f>
        <v>Fair</v>
      </c>
      <c r="I381" s="7">
        <f>LOOKUP(G381,tblIndicatorScore[Min],tblIndicatorScore[Score])</f>
        <v>1</v>
      </c>
      <c r="J381" s="7" t="str">
        <f t="shared" si="22"/>
        <v>No</v>
      </c>
      <c r="K381" s="7" t="str">
        <f t="shared" si="23"/>
        <v>No</v>
      </c>
      <c r="L381" s="7" t="str">
        <f>IFERROR(
IF(K381="Yes","Incomplete",
IF(OR(
J381="Yes",
G381&lt;INDEX(tblParameters[Value],MATCH("MinimumAcceptCompleteness",tblParameters[Parameter],0))
),
"Review",
"Accept")),
"Parameter Error")</f>
        <v>Review</v>
      </c>
    </row>
    <row r="382" spans="1:12" ht="51">
      <c r="A382" s="8" t="str">
        <f>TRIM(SUBSTITUTE(CLEAN(Raw_Data!A382),CHAR(160)," "))</f>
        <v>Abuja Municipal Area Council</v>
      </c>
      <c r="B382" s="8" t="str">
        <f t="array" ref="B382">TRIM(SUBSTITUTE(CLEAN(Raw_Data!B382),CHAR(160)," "))</f>
        <v>Kabusa Ward</v>
      </c>
      <c r="C382" s="8" t="str">
        <f t="array" ref="C382">TRIM(SUBSTITUTE(CLEAN(Raw_Data!C382),CHAR(160)," "))</f>
        <v>Yabisam Hospital</v>
      </c>
      <c r="D382" s="7">
        <f>COUNTA(Raw_Data!D382:CI382)</f>
        <v>40</v>
      </c>
      <c r="E382" s="7">
        <f t="shared" si="20"/>
        <v>44</v>
      </c>
      <c r="F382" s="9">
        <f>INDEX(tblParameters[Value],MATCH("ExpectedValues",tblParameters[Parameter],0))</f>
        <v>84</v>
      </c>
      <c r="G382" s="7">
        <f t="shared" si="21"/>
        <v>0.47619047619047616</v>
      </c>
      <c r="H382" s="7" t="str">
        <f>LOOKUP(G382,tblIndicatorScore[Min],tblIndicatorScore[Rating])</f>
        <v>Poor</v>
      </c>
      <c r="I382" s="7">
        <f>LOOKUP(G382,tblIndicatorScore[Min],tblIndicatorScore[Score])</f>
        <v>0</v>
      </c>
      <c r="J382" s="7" t="str">
        <f t="shared" si="22"/>
        <v>No</v>
      </c>
      <c r="K382" s="7" t="str">
        <f t="shared" si="23"/>
        <v>No</v>
      </c>
      <c r="L382" s="7" t="str">
        <f>IFERROR(
IF(K382="Yes","Incomplete",
IF(OR(
J382="Yes",
G382&lt;INDEX(tblParameters[Value],MATCH("MinimumAcceptCompleteness",tblParameters[Parameter],0))
),
"Review",
"Accept")),
"Parameter Error")</f>
        <v>Review</v>
      </c>
    </row>
    <row r="383" spans="1:12" ht="51">
      <c r="A383" s="8" t="str">
        <f>TRIM(SUBSTITUTE(CLEAN(Raw_Data!A383),CHAR(160)," "))</f>
        <v>Kwali Local Government Area</v>
      </c>
      <c r="B383" s="8" t="str">
        <f t="array" ref="B383">TRIM(SUBSTITUTE(CLEAN(Raw_Data!B383),CHAR(160)," "))</f>
        <v>Yebu Ward</v>
      </c>
      <c r="C383" s="8" t="str">
        <f t="array" ref="C383">TRIM(SUBSTITUTE(CLEAN(Raw_Data!C383),CHAR(160)," "))</f>
        <v>Yambabu Primary Health Centre</v>
      </c>
      <c r="D383" s="7">
        <f>COUNTA(Raw_Data!D383:CI383)</f>
        <v>48</v>
      </c>
      <c r="E383" s="7">
        <f t="shared" si="20"/>
        <v>36</v>
      </c>
      <c r="F383" s="9">
        <f>INDEX(tblParameters[Value],MATCH("ExpectedValues",tblParameters[Parameter],0))</f>
        <v>84</v>
      </c>
      <c r="G383" s="7">
        <f t="shared" si="21"/>
        <v>0.5714285714285714</v>
      </c>
      <c r="H383" s="7" t="str">
        <f>LOOKUP(G383,tblIndicatorScore[Min],tblIndicatorScore[Rating])</f>
        <v>Poor</v>
      </c>
      <c r="I383" s="7">
        <f>LOOKUP(G383,tblIndicatorScore[Min],tblIndicatorScore[Score])</f>
        <v>0</v>
      </c>
      <c r="J383" s="7" t="str">
        <f t="shared" si="22"/>
        <v>No</v>
      </c>
      <c r="K383" s="7" t="str">
        <f t="shared" si="23"/>
        <v>No</v>
      </c>
      <c r="L383" s="7" t="str">
        <f>IFERROR(
IF(K383="Yes","Incomplete",
IF(OR(
J383="Yes",
G383&lt;INDEX(tblParameters[Value],MATCH("MinimumAcceptCompleteness",tblParameters[Parameter],0))
),
"Review",
"Accept")),
"Parameter Error")</f>
        <v>Review</v>
      </c>
    </row>
    <row r="384" spans="1:12" ht="51">
      <c r="A384" s="8" t="str">
        <f>TRIM(SUBSTITUTE(CLEAN(Raw_Data!A384),CHAR(160)," "))</f>
        <v>Kuje Local Government Area</v>
      </c>
      <c r="B384" s="8" t="str">
        <f t="array" ref="B384">TRIM(SUBSTITUTE(CLEAN(Raw_Data!B384),CHAR(160)," "))</f>
        <v>Yanche Ward</v>
      </c>
      <c r="C384" s="8" t="str">
        <f t="array" ref="C384">TRIM(SUBSTITUTE(CLEAN(Raw_Data!C384),CHAR(160)," "))</f>
        <v>Yanche Primary Health Centre</v>
      </c>
      <c r="D384" s="7">
        <f>COUNTA(Raw_Data!D384:CI384)</f>
        <v>68</v>
      </c>
      <c r="E384" s="7">
        <f t="shared" si="20"/>
        <v>16</v>
      </c>
      <c r="F384" s="9">
        <f>INDEX(tblParameters[Value],MATCH("ExpectedValues",tblParameters[Parameter],0))</f>
        <v>84</v>
      </c>
      <c r="G384" s="7">
        <f t="shared" si="21"/>
        <v>0.80952380952380953</v>
      </c>
      <c r="H384" s="7" t="str">
        <f>LOOKUP(G384,tblIndicatorScore[Min],tblIndicatorScore[Rating])</f>
        <v>Fair</v>
      </c>
      <c r="I384" s="7">
        <f>LOOKUP(G384,tblIndicatorScore[Min],tblIndicatorScore[Score])</f>
        <v>1</v>
      </c>
      <c r="J384" s="7" t="str">
        <f t="shared" si="22"/>
        <v>No</v>
      </c>
      <c r="K384" s="7" t="str">
        <f t="shared" si="23"/>
        <v>No</v>
      </c>
      <c r="L384" s="7" t="str">
        <f>IFERROR(
IF(K384="Yes","Incomplete",
IF(OR(
J384="Yes",
G384&lt;INDEX(tblParameters[Value],MATCH("MinimumAcceptCompleteness",tblParameters[Parameter],0))
),
"Review",
"Accept")),
"Parameter Error")</f>
        <v>Review</v>
      </c>
    </row>
    <row r="385" spans="1:12" ht="51">
      <c r="A385" s="8" t="str">
        <f>TRIM(SUBSTITUTE(CLEAN(Raw_Data!A385),CHAR(160)," "))</f>
        <v>Kuje Local Government Area</v>
      </c>
      <c r="B385" s="8" t="str">
        <f t="array" ref="B385">TRIM(SUBSTITUTE(CLEAN(Raw_Data!B385),CHAR(160)," "))</f>
        <v>Gaube Ward</v>
      </c>
      <c r="C385" s="8" t="str">
        <f t="array" ref="C385">TRIM(SUBSTITUTE(CLEAN(Raw_Data!C385),CHAR(160)," "))</f>
        <v>Yanga Primary Health Centre</v>
      </c>
      <c r="D385" s="7">
        <f>COUNTA(Raw_Data!D385:CI385)</f>
        <v>50</v>
      </c>
      <c r="E385" s="7">
        <f t="shared" si="20"/>
        <v>34</v>
      </c>
      <c r="F385" s="9">
        <f>INDEX(tblParameters[Value],MATCH("ExpectedValues",tblParameters[Parameter],0))</f>
        <v>84</v>
      </c>
      <c r="G385" s="7">
        <f t="shared" si="21"/>
        <v>0.59523809523809523</v>
      </c>
      <c r="H385" s="7" t="str">
        <f>LOOKUP(G385,tblIndicatorScore[Min],tblIndicatorScore[Rating])</f>
        <v>Poor</v>
      </c>
      <c r="I385" s="7">
        <f>LOOKUP(G385,tblIndicatorScore[Min],tblIndicatorScore[Score])</f>
        <v>0</v>
      </c>
      <c r="J385" s="7" t="str">
        <f t="shared" si="22"/>
        <v>No</v>
      </c>
      <c r="K385" s="7" t="str">
        <f t="shared" si="23"/>
        <v>No</v>
      </c>
      <c r="L385" s="7" t="str">
        <f>IFERROR(
IF(K385="Yes","Incomplete",
IF(OR(
J385="Yes",
G385&lt;INDEX(tblParameters[Value],MATCH("MinimumAcceptCompleteness",tblParameters[Parameter],0))
),
"Review",
"Accept")),
"Parameter Error")</f>
        <v>Review</v>
      </c>
    </row>
    <row r="386" spans="1:12" ht="51">
      <c r="A386" s="8" t="str">
        <f>TRIM(SUBSTITUTE(CLEAN(Raw_Data!A386),CHAR(160)," "))</f>
        <v>Kwali Local Government Area</v>
      </c>
      <c r="B386" s="8" t="str">
        <f t="array" ref="B386">TRIM(SUBSTITUTE(CLEAN(Raw_Data!B386),CHAR(160)," "))</f>
        <v>Yangoji Ward</v>
      </c>
      <c r="C386" s="8" t="str">
        <f t="array" ref="C386">TRIM(SUBSTITUTE(CLEAN(Raw_Data!C386),CHAR(160)," "))</f>
        <v>Yangoji FSP Clinic</v>
      </c>
      <c r="D386" s="7">
        <f>COUNTA(Raw_Data!D386:CI386)</f>
        <v>65</v>
      </c>
      <c r="E386" s="7">
        <f t="shared" si="20"/>
        <v>19</v>
      </c>
      <c r="F386" s="9">
        <f>INDEX(tblParameters[Value],MATCH("ExpectedValues",tblParameters[Parameter],0))</f>
        <v>84</v>
      </c>
      <c r="G386" s="7">
        <f t="shared" si="21"/>
        <v>0.77380952380952384</v>
      </c>
      <c r="H386" s="7" t="str">
        <f>LOOKUP(G386,tblIndicatorScore[Min],tblIndicatorScore[Rating])</f>
        <v>Poor</v>
      </c>
      <c r="I386" s="7">
        <f>LOOKUP(G386,tblIndicatorScore[Min],tblIndicatorScore[Score])</f>
        <v>0</v>
      </c>
      <c r="J386" s="7" t="str">
        <f t="shared" si="22"/>
        <v>No</v>
      </c>
      <c r="K386" s="7" t="str">
        <f t="shared" si="23"/>
        <v>No</v>
      </c>
      <c r="L386" s="7" t="str">
        <f>IFERROR(
IF(K386="Yes","Incomplete",
IF(OR(
J386="Yes",
G386&lt;INDEX(tblParameters[Value],MATCH("MinimumAcceptCompleteness",tblParameters[Parameter],0))
),
"Review",
"Accept")),
"Parameter Error")</f>
        <v>Review</v>
      </c>
    </row>
    <row r="387" spans="1:12" ht="51">
      <c r="A387" s="8" t="str">
        <f>TRIM(SUBSTITUTE(CLEAN(Raw_Data!A387),CHAR(160)," "))</f>
        <v>Bwari Local Government Area</v>
      </c>
      <c r="B387" s="8" t="str">
        <f t="array" ref="B387">TRIM(SUBSTITUTE(CLEAN(Raw_Data!B387),CHAR(160)," "))</f>
        <v>Bwari Central Ward</v>
      </c>
      <c r="C387" s="8" t="str">
        <f t="array" ref="C387">TRIM(SUBSTITUTE(CLEAN(Raw_Data!C387),CHAR(160)," "))</f>
        <v>Yaupe Primary Health Clinic</v>
      </c>
      <c r="D387" s="7">
        <f>COUNTA(Raw_Data!D387:CI387)</f>
        <v>49</v>
      </c>
      <c r="E387" s="7">
        <f t="shared" ref="E387:E398" si="24">F387-D387</f>
        <v>35</v>
      </c>
      <c r="F387" s="9">
        <f>INDEX(tblParameters[Value],MATCH("ExpectedValues",tblParameters[Parameter],0))</f>
        <v>84</v>
      </c>
      <c r="G387" s="7">
        <f t="shared" ref="G387:G398" si="25">D387/F387</f>
        <v>0.58333333333333337</v>
      </c>
      <c r="H387" s="7" t="str">
        <f>LOOKUP(G387,tblIndicatorScore[Min],tblIndicatorScore[Rating])</f>
        <v>Poor</v>
      </c>
      <c r="I387" s="7">
        <f>LOOKUP(G387,tblIndicatorScore[Min],tblIndicatorScore[Score])</f>
        <v>0</v>
      </c>
      <c r="J387" s="7" t="str">
        <f t="shared" ref="J387:J398" si="26">IF(OR(A387="",B387="",C387=""),"",IF(COUNTIFS($A:$A,A387,$B:$B,B387,$C:$C,C387)&gt;1,"Yes","No"))</f>
        <v>No</v>
      </c>
      <c r="K387" s="7" t="str">
        <f t="shared" ref="K387:K398" si="27">IF(OR(TRIM(A387)="",TRIM(B387)="",TRIM(C387)="",D387&lt;=0,F387&lt;=0),"Yes","No")</f>
        <v>No</v>
      </c>
      <c r="L387" s="7" t="str">
        <f>IFERROR(
IF(K387="Yes","Incomplete",
IF(OR(
J387="Yes",
G387&lt;INDEX(tblParameters[Value],MATCH("MinimumAcceptCompleteness",tblParameters[Parameter],0))
),
"Review",
"Accept")),
"Parameter Error")</f>
        <v>Review</v>
      </c>
    </row>
    <row r="388" spans="1:12" ht="51">
      <c r="A388" s="8" t="str">
        <f>TRIM(SUBSTITUTE(CLEAN(Raw_Data!A388),CHAR(160)," "))</f>
        <v>Kwali Local Government Area</v>
      </c>
      <c r="B388" s="8" t="str">
        <f t="array" ref="B388">TRIM(SUBSTITUTE(CLEAN(Raw_Data!B388),CHAR(160)," "))</f>
        <v>Yebu Ward</v>
      </c>
      <c r="C388" s="8" t="str">
        <f t="array" ref="C388">TRIM(SUBSTITUTE(CLEAN(Raw_Data!C388),CHAR(160)," "))</f>
        <v>Yebu Primary Health Centre</v>
      </c>
      <c r="D388" s="7">
        <f>COUNTA(Raw_Data!D388:CI388)</f>
        <v>67</v>
      </c>
      <c r="E388" s="7">
        <f t="shared" si="24"/>
        <v>17</v>
      </c>
      <c r="F388" s="9">
        <f>INDEX(tblParameters[Value],MATCH("ExpectedValues",tblParameters[Parameter],0))</f>
        <v>84</v>
      </c>
      <c r="G388" s="7">
        <f t="shared" si="25"/>
        <v>0.79761904761904767</v>
      </c>
      <c r="H388" s="7" t="str">
        <f>LOOKUP(G388,tblIndicatorScore[Min],tblIndicatorScore[Rating])</f>
        <v>Poor</v>
      </c>
      <c r="I388" s="7">
        <f>LOOKUP(G388,tblIndicatorScore[Min],tblIndicatorScore[Score])</f>
        <v>0</v>
      </c>
      <c r="J388" s="7" t="str">
        <f t="shared" si="26"/>
        <v>No</v>
      </c>
      <c r="K388" s="7" t="str">
        <f t="shared" si="27"/>
        <v>No</v>
      </c>
      <c r="L388" s="7" t="str">
        <f>IFERROR(
IF(K388="Yes","Incomplete",
IF(OR(
J388="Yes",
G388&lt;INDEX(tblParameters[Value],MATCH("MinimumAcceptCompleteness",tblParameters[Parameter],0))
),
"Review",
"Accept")),
"Parameter Error")</f>
        <v>Review</v>
      </c>
    </row>
    <row r="389" spans="1:12" ht="51">
      <c r="A389" s="8" t="str">
        <f>TRIM(SUBSTITUTE(CLEAN(Raw_Data!A389),CHAR(160)," "))</f>
        <v>Kwali Local Government Area</v>
      </c>
      <c r="B389" s="8" t="str">
        <f t="array" ref="B389">TRIM(SUBSTITUTE(CLEAN(Raw_Data!B389),CHAR(160)," "))</f>
        <v>Wako Ward</v>
      </c>
      <c r="C389" s="8" t="str">
        <f t="array" ref="C389">TRIM(SUBSTITUTE(CLEAN(Raw_Data!C389),CHAR(160)," "))</f>
        <v>Yewuti Primary Health Clinic</v>
      </c>
      <c r="D389" s="7">
        <f>COUNTA(Raw_Data!D389:CI389)</f>
        <v>50</v>
      </c>
      <c r="E389" s="7">
        <f t="shared" si="24"/>
        <v>34</v>
      </c>
      <c r="F389" s="9">
        <f>INDEX(tblParameters[Value],MATCH("ExpectedValues",tblParameters[Parameter],0))</f>
        <v>84</v>
      </c>
      <c r="G389" s="7">
        <f t="shared" si="25"/>
        <v>0.59523809523809523</v>
      </c>
      <c r="H389" s="7" t="str">
        <f>LOOKUP(G389,tblIndicatorScore[Min],tblIndicatorScore[Rating])</f>
        <v>Poor</v>
      </c>
      <c r="I389" s="7">
        <f>LOOKUP(G389,tblIndicatorScore[Min],tblIndicatorScore[Score])</f>
        <v>0</v>
      </c>
      <c r="J389" s="7" t="str">
        <f t="shared" si="26"/>
        <v>No</v>
      </c>
      <c r="K389" s="7" t="str">
        <f t="shared" si="27"/>
        <v>No</v>
      </c>
      <c r="L389" s="7" t="str">
        <f>IFERROR(
IF(K389="Yes","Incomplete",
IF(OR(
J389="Yes",
G389&lt;INDEX(tblParameters[Value],MATCH("MinimumAcceptCompleteness",tblParameters[Parameter],0))
),
"Review",
"Accept")),
"Parameter Error")</f>
        <v>Review</v>
      </c>
    </row>
    <row r="390" spans="1:12" ht="51">
      <c r="A390" s="8" t="str">
        <f>TRIM(SUBSTITUTE(CLEAN(Raw_Data!A390),CHAR(160)," "))</f>
        <v>Gwagwalada Local Government Area</v>
      </c>
      <c r="B390" s="8" t="str">
        <f t="array" ref="B390">TRIM(SUBSTITUTE(CLEAN(Raw_Data!B390),CHAR(160)," "))</f>
        <v>Ikwa Ward</v>
      </c>
      <c r="C390" s="8" t="str">
        <f t="array" ref="C390">TRIM(SUBSTITUTE(CLEAN(Raw_Data!C390),CHAR(160)," "))</f>
        <v>Yimi Primary Health Clinic</v>
      </c>
      <c r="D390" s="7">
        <f>COUNTA(Raw_Data!D390:CI390)</f>
        <v>52</v>
      </c>
      <c r="E390" s="7">
        <f t="shared" si="24"/>
        <v>32</v>
      </c>
      <c r="F390" s="9">
        <f>INDEX(tblParameters[Value],MATCH("ExpectedValues",tblParameters[Parameter],0))</f>
        <v>84</v>
      </c>
      <c r="G390" s="7">
        <f t="shared" si="25"/>
        <v>0.61904761904761907</v>
      </c>
      <c r="H390" s="7" t="str">
        <f>LOOKUP(G390,tblIndicatorScore[Min],tblIndicatorScore[Rating])</f>
        <v>Poor</v>
      </c>
      <c r="I390" s="7">
        <f>LOOKUP(G390,tblIndicatorScore[Min],tblIndicatorScore[Score])</f>
        <v>0</v>
      </c>
      <c r="J390" s="7" t="str">
        <f t="shared" si="26"/>
        <v>No</v>
      </c>
      <c r="K390" s="7" t="str">
        <f t="shared" si="27"/>
        <v>No</v>
      </c>
      <c r="L390" s="7" t="str">
        <f>IFERROR(
IF(K390="Yes","Incomplete",
IF(OR(
J390="Yes",
G390&lt;INDEX(tblParameters[Value],MATCH("MinimumAcceptCompleteness",tblParameters[Parameter],0))
),
"Review",
"Accept")),
"Parameter Error")</f>
        <v>Review</v>
      </c>
    </row>
    <row r="391" spans="1:12" ht="51">
      <c r="A391" s="8" t="str">
        <f>TRIM(SUBSTITUTE(CLEAN(Raw_Data!A391),CHAR(160)," "))</f>
        <v>Kuje Local Government Area</v>
      </c>
      <c r="B391" s="8" t="str">
        <f t="array" ref="B391">TRIM(SUBSTITUTE(CLEAN(Raw_Data!B391),CHAR(160)," "))</f>
        <v>Gudunkarya Ward</v>
      </c>
      <c r="C391" s="8" t="str">
        <f t="array" ref="C391">TRIM(SUBSTITUTE(CLEAN(Raw_Data!C391),CHAR(160)," "))</f>
        <v>Zagabutu Primary Health Centre</v>
      </c>
      <c r="D391" s="7">
        <f>COUNTA(Raw_Data!D391:CI391)</f>
        <v>59</v>
      </c>
      <c r="E391" s="7">
        <f t="shared" si="24"/>
        <v>25</v>
      </c>
      <c r="F391" s="9">
        <f>INDEX(tblParameters[Value],MATCH("ExpectedValues",tblParameters[Parameter],0))</f>
        <v>84</v>
      </c>
      <c r="G391" s="7">
        <f t="shared" si="25"/>
        <v>0.70238095238095233</v>
      </c>
      <c r="H391" s="7" t="str">
        <f>LOOKUP(G391,tblIndicatorScore[Min],tblIndicatorScore[Rating])</f>
        <v>Poor</v>
      </c>
      <c r="I391" s="7">
        <f>LOOKUP(G391,tblIndicatorScore[Min],tblIndicatorScore[Score])</f>
        <v>0</v>
      </c>
      <c r="J391" s="7" t="str">
        <f t="shared" si="26"/>
        <v>No</v>
      </c>
      <c r="K391" s="7" t="str">
        <f t="shared" si="27"/>
        <v>No</v>
      </c>
      <c r="L391" s="7" t="str">
        <f>IFERROR(
IF(K391="Yes","Incomplete",
IF(OR(
J391="Yes",
G391&lt;INDEX(tblParameters[Value],MATCH("MinimumAcceptCompleteness",tblParameters[Parameter],0))
),
"Review",
"Accept")),
"Parameter Error")</f>
        <v>Review</v>
      </c>
    </row>
    <row r="392" spans="1:12" ht="51">
      <c r="A392" s="8" t="str">
        <f>TRIM(SUBSTITUTE(CLEAN(Raw_Data!A392),CHAR(160)," "))</f>
        <v>Abuja Municipal Area Council</v>
      </c>
      <c r="B392" s="8" t="str">
        <f t="array" ref="B392">TRIM(SUBSTITUTE(CLEAN(Raw_Data!B392),CHAR(160)," "))</f>
        <v>Gwarimpa Ward</v>
      </c>
      <c r="C392" s="8" t="str">
        <f t="array" ref="C392">TRIM(SUBSTITUTE(CLEAN(Raw_Data!C392),CHAR(160)," "))</f>
        <v>Zankli Medical Centre (Mabushi)</v>
      </c>
      <c r="D392" s="7">
        <f>COUNTA(Raw_Data!D392:CI392)</f>
        <v>45</v>
      </c>
      <c r="E392" s="7">
        <f t="shared" si="24"/>
        <v>39</v>
      </c>
      <c r="F392" s="9">
        <f>INDEX(tblParameters[Value],MATCH("ExpectedValues",tblParameters[Parameter],0))</f>
        <v>84</v>
      </c>
      <c r="G392" s="7">
        <f t="shared" si="25"/>
        <v>0.5357142857142857</v>
      </c>
      <c r="H392" s="7" t="str">
        <f>LOOKUP(G392,tblIndicatorScore[Min],tblIndicatorScore[Rating])</f>
        <v>Poor</v>
      </c>
      <c r="I392" s="7">
        <f>LOOKUP(G392,tblIndicatorScore[Min],tblIndicatorScore[Score])</f>
        <v>0</v>
      </c>
      <c r="J392" s="7" t="str">
        <f t="shared" si="26"/>
        <v>No</v>
      </c>
      <c r="K392" s="7" t="str">
        <f t="shared" si="27"/>
        <v>No</v>
      </c>
      <c r="L392" s="7" t="str">
        <f>IFERROR(
IF(K392="Yes","Incomplete",
IF(OR(
J392="Yes",
G392&lt;INDEX(tblParameters[Value],MATCH("MinimumAcceptCompleteness",tblParameters[Parameter],0))
),
"Review",
"Accept")),
"Parameter Error")</f>
        <v>Review</v>
      </c>
    </row>
    <row r="393" spans="1:12" ht="51">
      <c r="A393" s="8" t="str">
        <f>TRIM(SUBSTITUTE(CLEAN(Raw_Data!A393),CHAR(160)," "))</f>
        <v>Abuja Municipal Area Council</v>
      </c>
      <c r="B393" s="8" t="str">
        <f t="array" ref="B393">TRIM(SUBSTITUTE(CLEAN(Raw_Data!B393),CHAR(160)," "))</f>
        <v>Kabusa Ward</v>
      </c>
      <c r="C393" s="8" t="str">
        <f t="array" ref="C393">TRIM(SUBSTITUTE(CLEAN(Raw_Data!C393),CHAR(160)," "))</f>
        <v>Zhidu Primary Health Clinic</v>
      </c>
      <c r="D393" s="7">
        <f>COUNTA(Raw_Data!D393:CI393)</f>
        <v>59</v>
      </c>
      <c r="E393" s="7">
        <f t="shared" si="24"/>
        <v>25</v>
      </c>
      <c r="F393" s="9">
        <f>INDEX(tblParameters[Value],MATCH("ExpectedValues",tblParameters[Parameter],0))</f>
        <v>84</v>
      </c>
      <c r="G393" s="7">
        <f t="shared" si="25"/>
        <v>0.70238095238095233</v>
      </c>
      <c r="H393" s="7" t="str">
        <f>LOOKUP(G393,tblIndicatorScore[Min],tblIndicatorScore[Rating])</f>
        <v>Poor</v>
      </c>
      <c r="I393" s="7">
        <f>LOOKUP(G393,tblIndicatorScore[Min],tblIndicatorScore[Score])</f>
        <v>0</v>
      </c>
      <c r="J393" s="7" t="str">
        <f t="shared" si="26"/>
        <v>No</v>
      </c>
      <c r="K393" s="7" t="str">
        <f t="shared" si="27"/>
        <v>No</v>
      </c>
      <c r="L393" s="7" t="str">
        <f>IFERROR(
IF(K393="Yes","Incomplete",
IF(OR(
J393="Yes",
G393&lt;INDEX(tblParameters[Value],MATCH("MinimumAcceptCompleteness",tblParameters[Parameter],0))
),
"Review",
"Accept")),
"Parameter Error")</f>
        <v>Review</v>
      </c>
    </row>
    <row r="394" spans="1:12" ht="63.75">
      <c r="A394" s="8" t="str">
        <f>TRIM(SUBSTITUTE(CLEAN(Raw_Data!A394),CHAR(160)," "))</f>
        <v>Bwari Local Government Area</v>
      </c>
      <c r="B394" s="8" t="str">
        <f t="array" ref="B394">TRIM(SUBSTITUTE(CLEAN(Raw_Data!B394),CHAR(160)," "))</f>
        <v>Dutse Ward</v>
      </c>
      <c r="C394" s="8" t="str">
        <f t="array" ref="C394">TRIM(SUBSTITUTE(CLEAN(Raw_Data!C394),CHAR(160)," "))</f>
        <v>Zhigakuchi Primary Health Clinic</v>
      </c>
      <c r="D394" s="7">
        <f>COUNTA(Raw_Data!D394:CI394)</f>
        <v>55</v>
      </c>
      <c r="E394" s="7">
        <f t="shared" si="24"/>
        <v>29</v>
      </c>
      <c r="F394" s="9">
        <f>INDEX(tblParameters[Value],MATCH("ExpectedValues",tblParameters[Parameter],0))</f>
        <v>84</v>
      </c>
      <c r="G394" s="7">
        <f t="shared" si="25"/>
        <v>0.65476190476190477</v>
      </c>
      <c r="H394" s="7" t="str">
        <f>LOOKUP(G394,tblIndicatorScore[Min],tblIndicatorScore[Rating])</f>
        <v>Poor</v>
      </c>
      <c r="I394" s="7">
        <f>LOOKUP(G394,tblIndicatorScore[Min],tblIndicatorScore[Score])</f>
        <v>0</v>
      </c>
      <c r="J394" s="7" t="str">
        <f t="shared" si="26"/>
        <v>No</v>
      </c>
      <c r="K394" s="7" t="str">
        <f t="shared" si="27"/>
        <v>No</v>
      </c>
      <c r="L394" s="7" t="str">
        <f>IFERROR(
IF(K394="Yes","Incomplete",
IF(OR(
J394="Yes",
G394&lt;INDEX(tblParameters[Value],MATCH("MinimumAcceptCompleteness",tblParameters[Parameter],0))
),
"Review",
"Accept")),
"Parameter Error")</f>
        <v>Review</v>
      </c>
    </row>
    <row r="395" spans="1:12" ht="51">
      <c r="A395" s="8" t="str">
        <f>TRIM(SUBSTITUTE(CLEAN(Raw_Data!A395),CHAR(160)," "))</f>
        <v>Bwari Local Government Area</v>
      </c>
      <c r="B395" s="8" t="str">
        <f t="array" ref="B395">TRIM(SUBSTITUTE(CLEAN(Raw_Data!B395),CHAR(160)," "))</f>
        <v>Byazhin Ward</v>
      </c>
      <c r="C395" s="8" t="str">
        <f t="array" ref="C395">TRIM(SUBSTITUTE(CLEAN(Raw_Data!C395),CHAR(160)," "))</f>
        <v>Zhiko Primary Health Clinic</v>
      </c>
      <c r="D395" s="7">
        <f>COUNTA(Raw_Data!D395:CI395)</f>
        <v>60</v>
      </c>
      <c r="E395" s="7">
        <f t="shared" si="24"/>
        <v>24</v>
      </c>
      <c r="F395" s="9">
        <f>INDEX(tblParameters[Value],MATCH("ExpectedValues",tblParameters[Parameter],0))</f>
        <v>84</v>
      </c>
      <c r="G395" s="7">
        <f t="shared" si="25"/>
        <v>0.7142857142857143</v>
      </c>
      <c r="H395" s="7" t="str">
        <f>LOOKUP(G395,tblIndicatorScore[Min],tblIndicatorScore[Rating])</f>
        <v>Poor</v>
      </c>
      <c r="I395" s="7">
        <f>LOOKUP(G395,tblIndicatorScore[Min],tblIndicatorScore[Score])</f>
        <v>0</v>
      </c>
      <c r="J395" s="7" t="str">
        <f t="shared" si="26"/>
        <v>No</v>
      </c>
      <c r="K395" s="7" t="str">
        <f t="shared" si="27"/>
        <v>No</v>
      </c>
      <c r="L395" s="7" t="str">
        <f>IFERROR(
IF(K395="Yes","Incomplete",
IF(OR(
J395="Yes",
G395&lt;INDEX(tblParameters[Value],MATCH("MinimumAcceptCompleteness",tblParameters[Parameter],0))
),
"Review",
"Accept")),
"Parameter Error")</f>
        <v>Review</v>
      </c>
    </row>
    <row r="396" spans="1:12" ht="51">
      <c r="A396" s="8" t="str">
        <f>TRIM(SUBSTITUTE(CLEAN(Raw_Data!A396),CHAR(160)," "))</f>
        <v>Kuje Local Government Area</v>
      </c>
      <c r="B396" s="8" t="str">
        <f t="array" ref="B396">TRIM(SUBSTITUTE(CLEAN(Raw_Data!B396),CHAR(160)," "))</f>
        <v>Rubochi Ward</v>
      </c>
      <c r="C396" s="8" t="str">
        <f t="array" ref="C396">TRIM(SUBSTITUTE(CLEAN(Raw_Data!C396),CHAR(160)," "))</f>
        <v>Zokotu Primary Health Centre</v>
      </c>
      <c r="D396" s="7">
        <f>COUNTA(Raw_Data!D396:CI396)</f>
        <v>48</v>
      </c>
      <c r="E396" s="7">
        <f t="shared" si="24"/>
        <v>36</v>
      </c>
      <c r="F396" s="9">
        <f>INDEX(tblParameters[Value],MATCH("ExpectedValues",tblParameters[Parameter],0))</f>
        <v>84</v>
      </c>
      <c r="G396" s="7">
        <f t="shared" si="25"/>
        <v>0.5714285714285714</v>
      </c>
      <c r="H396" s="7" t="str">
        <f>LOOKUP(G396,tblIndicatorScore[Min],tblIndicatorScore[Rating])</f>
        <v>Poor</v>
      </c>
      <c r="I396" s="7">
        <f>LOOKUP(G396,tblIndicatorScore[Min],tblIndicatorScore[Score])</f>
        <v>0</v>
      </c>
      <c r="J396" s="7" t="str">
        <f t="shared" si="26"/>
        <v>No</v>
      </c>
      <c r="K396" s="7" t="str">
        <f t="shared" si="27"/>
        <v>No</v>
      </c>
      <c r="L396" s="7" t="str">
        <f>IFERROR(
IF(K396="Yes","Incomplete",
IF(OR(
J396="Yes",
G396&lt;INDEX(tblParameters[Value],MATCH("MinimumAcceptCompleteness",tblParameters[Parameter],0))
),
"Review",
"Accept")),
"Parameter Error")</f>
        <v>Review</v>
      </c>
    </row>
    <row r="397" spans="1:12" ht="51">
      <c r="A397" s="8" t="str">
        <f>TRIM(SUBSTITUTE(CLEAN(Raw_Data!A397),CHAR(160)," "))</f>
        <v>Gwagwalada Local Government Area</v>
      </c>
      <c r="B397" s="8" t="str">
        <f t="array" ref="B397">TRIM(SUBSTITUTE(CLEAN(Raw_Data!B397),CHAR(160)," "))</f>
        <v>Zuba Ward</v>
      </c>
      <c r="C397" s="8" t="str">
        <f t="array" ref="C397">TRIM(SUBSTITUTE(CLEAN(Raw_Data!C397),CHAR(160)," "))</f>
        <v>Zuba General Hospital</v>
      </c>
      <c r="D397" s="7">
        <f>COUNTA(Raw_Data!D397:CI397)</f>
        <v>50</v>
      </c>
      <c r="E397" s="7">
        <f t="shared" si="24"/>
        <v>34</v>
      </c>
      <c r="F397" s="9">
        <f>INDEX(tblParameters[Value],MATCH("ExpectedValues",tblParameters[Parameter],0))</f>
        <v>84</v>
      </c>
      <c r="G397" s="7">
        <f t="shared" si="25"/>
        <v>0.59523809523809523</v>
      </c>
      <c r="H397" s="7" t="str">
        <f>LOOKUP(G397,tblIndicatorScore[Min],tblIndicatorScore[Rating])</f>
        <v>Poor</v>
      </c>
      <c r="I397" s="7">
        <f>LOOKUP(G397,tblIndicatorScore[Min],tblIndicatorScore[Score])</f>
        <v>0</v>
      </c>
      <c r="J397" s="7" t="str">
        <f t="shared" si="26"/>
        <v>No</v>
      </c>
      <c r="K397" s="7" t="str">
        <f t="shared" si="27"/>
        <v>No</v>
      </c>
      <c r="L397" s="7" t="str">
        <f>IFERROR(
IF(K397="Yes","Incomplete",
IF(OR(
J397="Yes",
G397&lt;INDEX(tblParameters[Value],MATCH("MinimumAcceptCompleteness",tblParameters[Parameter],0))
),
"Review",
"Accept")),
"Parameter Error")</f>
        <v>Review</v>
      </c>
    </row>
    <row r="398" spans="1:12" ht="51">
      <c r="A398" s="8" t="str">
        <f>TRIM(SUBSTITUTE(CLEAN(Raw_Data!A398),CHAR(160)," "))</f>
        <v>Gwagwalada Local Government Area</v>
      </c>
      <c r="B398" s="8" t="str">
        <f t="array" ref="B398">TRIM(SUBSTITUTE(CLEAN(Raw_Data!B398),CHAR(160)," "))</f>
        <v>Zuba Ward</v>
      </c>
      <c r="C398" s="8" t="str">
        <f t="array" ref="C398">TRIM(SUBSTITUTE(CLEAN(Raw_Data!C398),CHAR(160)," "))</f>
        <v>Zuba Primary Health Center</v>
      </c>
      <c r="D398" s="7">
        <f>COUNTA(Raw_Data!D398:CI398)</f>
        <v>62</v>
      </c>
      <c r="E398" s="7">
        <f t="shared" si="24"/>
        <v>22</v>
      </c>
      <c r="F398" s="9">
        <f>INDEX(tblParameters[Value],MATCH("ExpectedValues",tblParameters[Parameter],0))</f>
        <v>84</v>
      </c>
      <c r="G398" s="7">
        <f t="shared" si="25"/>
        <v>0.73809523809523814</v>
      </c>
      <c r="H398" s="7" t="str">
        <f>LOOKUP(G398,tblIndicatorScore[Min],tblIndicatorScore[Rating])</f>
        <v>Poor</v>
      </c>
      <c r="I398" s="7">
        <f>LOOKUP(G398,tblIndicatorScore[Min],tblIndicatorScore[Score])</f>
        <v>0</v>
      </c>
      <c r="J398" s="7" t="str">
        <f t="shared" si="26"/>
        <v>No</v>
      </c>
      <c r="K398" s="7" t="str">
        <f t="shared" si="27"/>
        <v>No</v>
      </c>
      <c r="L398" s="7" t="str">
        <f>IFERROR(
IF(K398="Yes","Incomplete",
IF(OR(
J398="Yes",
G398&lt;INDEX(tblParameters[Value],MATCH("MinimumAcceptCompleteness",tblParameters[Parameter],0))
),
"Review",
"Accept")),
"Parameter Error")</f>
        <v>Review</v>
      </c>
    </row>
    <row r="399" spans="1:12">
      <c r="A399" s="8"/>
      <c r="B399" s="8"/>
      <c r="C399" s="8"/>
      <c r="F399" s="9"/>
    </row>
    <row r="400" spans="1:12">
      <c r="A400" s="8"/>
      <c r="B400" s="8"/>
      <c r="C400" s="8"/>
      <c r="F400" s="9"/>
    </row>
    <row r="401" spans="1:6">
      <c r="A401" s="8"/>
      <c r="B401" s="8"/>
      <c r="C401" s="8"/>
      <c r="F401" s="9"/>
    </row>
    <row r="402" spans="1:6">
      <c r="A402" s="8"/>
      <c r="B402" s="8"/>
      <c r="C402" s="8"/>
      <c r="F402" s="9"/>
    </row>
    <row r="403" spans="1:6">
      <c r="A403" s="8"/>
      <c r="B403" s="8"/>
      <c r="C403" s="8"/>
      <c r="F403" s="9"/>
    </row>
    <row r="404" spans="1:6">
      <c r="A404" s="8"/>
      <c r="B404" s="8"/>
      <c r="C404" s="8"/>
      <c r="F404" s="9"/>
    </row>
    <row r="405" spans="1:6">
      <c r="A405" s="8"/>
      <c r="B405" s="8"/>
      <c r="C405" s="8"/>
      <c r="F405" s="9"/>
    </row>
    <row r="406" spans="1:6">
      <c r="A406" s="8"/>
      <c r="B406" s="8"/>
      <c r="C406" s="8"/>
      <c r="F406" s="9"/>
    </row>
    <row r="407" spans="1:6">
      <c r="A407" s="8"/>
      <c r="B407" s="8"/>
      <c r="C407" s="8"/>
      <c r="F407" s="9"/>
    </row>
    <row r="408" spans="1:6">
      <c r="A408" s="8"/>
      <c r="B408" s="8"/>
      <c r="C408" s="8"/>
      <c r="F408" s="9"/>
    </row>
    <row r="409" spans="1:6">
      <c r="A409" s="8"/>
      <c r="B409" s="8"/>
      <c r="C409" s="8"/>
      <c r="F409" s="9"/>
    </row>
    <row r="410" spans="1:6">
      <c r="A410" s="8"/>
      <c r="B410" s="8"/>
      <c r="C410" s="8"/>
      <c r="F410" s="9"/>
    </row>
    <row r="411" spans="1:6">
      <c r="A411" s="8"/>
      <c r="B411" s="8"/>
      <c r="C411" s="8"/>
      <c r="F411" s="9"/>
    </row>
    <row r="412" spans="1:6">
      <c r="A412" s="8"/>
      <c r="B412" s="8"/>
      <c r="C412" s="8"/>
      <c r="F412" s="9"/>
    </row>
    <row r="413" spans="1:6">
      <c r="A413" s="8"/>
      <c r="B413" s="8"/>
      <c r="C413" s="8"/>
      <c r="F413" s="9"/>
    </row>
    <row r="414" spans="1:6">
      <c r="A414" s="8"/>
      <c r="B414" s="8"/>
      <c r="C414" s="8"/>
      <c r="F414" s="9"/>
    </row>
    <row r="415" spans="1:6">
      <c r="A415" s="8"/>
      <c r="B415" s="8"/>
      <c r="C415" s="8"/>
      <c r="F415" s="9"/>
    </row>
  </sheetData>
  <autoFilter ref="A1:M415" xr:uid="{00000000-0001-0000-0100-000000000000}"/>
  <pageMargins left="0.75" right="0.75" top="1" bottom="1" header="0.5" footer="0.5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31419-7296-49B7-93CB-D741DF33D627}">
  <sheetPr>
    <tabColor theme="9" tint="-0.249977111117893"/>
  </sheetPr>
  <dimension ref="A1:Q1557"/>
  <sheetViews>
    <sheetView tabSelected="1" topLeftCell="A397" workbookViewId="0">
      <selection activeCell="D403" sqref="D403"/>
    </sheetView>
  </sheetViews>
  <sheetFormatPr defaultRowHeight="15"/>
  <cols>
    <col min="1" max="3" width="9.140625" style="4"/>
    <col min="4" max="12" width="9.140625" style="10"/>
    <col min="13" max="13" width="9.140625" style="29"/>
    <col min="14" max="14" width="9.140625" style="25"/>
    <col min="15" max="15" width="9.140625" style="4"/>
    <col min="16" max="16" width="14.5703125" style="10" customWidth="1"/>
    <col min="17" max="17" width="9.140625" style="4"/>
  </cols>
  <sheetData>
    <row r="1" spans="1:17" ht="60">
      <c r="A1" s="18" t="s">
        <v>557</v>
      </c>
      <c r="B1" s="11" t="s">
        <v>1</v>
      </c>
      <c r="C1" s="11" t="s">
        <v>2</v>
      </c>
      <c r="D1" s="22" t="s">
        <v>722</v>
      </c>
      <c r="E1" s="22" t="s">
        <v>723</v>
      </c>
      <c r="F1" s="22" t="s">
        <v>552</v>
      </c>
      <c r="G1" s="22" t="s">
        <v>553</v>
      </c>
      <c r="H1" s="22" t="s">
        <v>554</v>
      </c>
      <c r="I1" s="22" t="s">
        <v>555</v>
      </c>
      <c r="J1" s="22" t="s">
        <v>556</v>
      </c>
      <c r="K1" s="22" t="s">
        <v>732</v>
      </c>
      <c r="L1" s="22" t="s">
        <v>733</v>
      </c>
      <c r="M1" s="27" t="s">
        <v>724</v>
      </c>
      <c r="N1" s="24" t="s">
        <v>725</v>
      </c>
      <c r="O1" s="11" t="s">
        <v>726</v>
      </c>
      <c r="P1" s="11" t="s">
        <v>727</v>
      </c>
      <c r="Q1" s="11" t="s">
        <v>728</v>
      </c>
    </row>
    <row r="2" spans="1:17" ht="75">
      <c r="A2" s="7" t="str">
        <f>IF(Raw_Data!A2="","",TRIM(SUBSTITUTE(CLEAN(Raw_Data!A2),CHAR(160)," ")))</f>
        <v>Abuja Municipal Area Council</v>
      </c>
      <c r="B2" s="7" t="str">
        <f>IF(Raw_Data!B2="","",TRIM(SUBSTITUTE(CLEAN(Raw_Data!B2),CHAR(160)," ")))</f>
        <v>Gui Ward</v>
      </c>
      <c r="C2" s="7" t="str">
        <f>IF(Raw_Data!C2="","",TRIM(SUBSTITUTE(CLEAN(Raw_Data!C2),CHAR(160)," ")))</f>
        <v>063 Nigeria Air Force Base Hospital</v>
      </c>
      <c r="D2" s="28">
        <f>IFERROR(IF(COUNT(Raw_Data!D2:O2)=0,"",AVERAGE(Raw_Data!D2:O2)/100),"")</f>
        <v>1</v>
      </c>
      <c r="E2" s="28">
        <f>IFERROR(IF(COUNT(Raw_Data!P2:AA2)=0,"",AVERAGE(Raw_Data!P2:AA2)/100),"")</f>
        <v>0.9375</v>
      </c>
      <c r="F2" s="30">
        <f>IFERROR(IF(COUNT(Raw_Data!AB2:AM2)=0,"",SUM(Raw_Data!AB2:AM2)),"")</f>
        <v>434</v>
      </c>
      <c r="G2" s="30">
        <f>IFERROR(IF(COUNT(Raw_Data!AN2:AY2)=0,"",SUM(Raw_Data!AN2:AY2)),"")</f>
        <v>400</v>
      </c>
      <c r="H2" s="30">
        <f>IFERROR(IF(COUNT(Raw_Data!AZ2:BK2)=0,"",SUM(Raw_Data!AZ2:BK2)),"")</f>
        <v>1116</v>
      </c>
      <c r="I2" s="30">
        <f>IFERROR(IF(COUNT(Raw_Data!BL2:BW2)=0,"",SUM(Raw_Data!BL2:BW2)),"")</f>
        <v>348</v>
      </c>
      <c r="J2" s="30">
        <f>IFERROR(IF(COUNT(Raw_Data!BX2:CI2)=0,"",SUM(Raw_Data!BX2:CI2)),"")</f>
        <v>149</v>
      </c>
      <c r="K2" s="28">
        <f>IFERROR(IF(OR(F2="",G2="",F2&lt;=0),"",G2/F2),"")</f>
        <v>0.92165898617511521</v>
      </c>
      <c r="L2" s="28">
        <f>IFERROR(IF(OR(F2="",G2="",F2&lt;=0),"",(F2-G2)/F2),"")</f>
        <v>7.8341013824884786E-2</v>
      </c>
      <c r="M2" s="28">
        <f>IFERROR(IF(OR(H2="",I2="",H2&lt;=0),"",I2/H2),"")</f>
        <v>0.31182795698924731</v>
      </c>
      <c r="N2" s="28">
        <f>IFERROR(IF(OR(H2="",J2="",H2&lt;=0),"",J2/H2),"")</f>
        <v>0.13351254480286739</v>
      </c>
      <c r="O2" s="7" t="str">
        <f>IFERROR(IF(AND(F2="",G2=""),"No Data",IF(OR(F2="",G2="",F2&lt;=0),"Incomplete",IF(OR(G2&gt;F2,K2&lt;0,K2&gt;1,L2&lt;0,L2&gt;1),"Invalid","Valid"))),"Invalid")</f>
        <v>Valid</v>
      </c>
      <c r="P2" s="13" t="str">
        <f>IFERROR(IF(AND(H2="",I2="",J2=""),"No Data",IF(OR(H2="",I2="",J2="",H2&lt;=0),"Incomplete",IF(OR(I2&gt;H2,J2&gt;H2,J2&gt;I2,M2&lt;0,M2&gt;1,N2&lt;0,N2&gt;1),"Invalid","Valid"))),"Invalid")</f>
        <v>Valid</v>
      </c>
      <c r="Q2" s="7" t="str">
        <f>IF(OR(O2="No Data",P2="No Data"),"No Data",IF(OR(O2="Incomplete",P2="Incomplete"),"Incomplete",IF(OR(O2="Invalid",P2="Invalid"),"Invalid","Valid")))</f>
        <v>Valid</v>
      </c>
    </row>
    <row r="3" spans="1:17" ht="90">
      <c r="A3" s="7" t="str">
        <f>IF(Raw_Data!A3="","",TRIM(SUBSTITUTE(CLEAN(Raw_Data!A3),CHAR(160)," ")))</f>
        <v>Abuja Municipal Area Council</v>
      </c>
      <c r="B3" s="7" t="str">
        <f>IF(Raw_Data!B3="","",TRIM(SUBSTITUTE(CLEAN(Raw_Data!B3),CHAR(160)," ")))</f>
        <v>City Centre Ward</v>
      </c>
      <c r="C3" s="7" t="str">
        <f>IF(Raw_Data!C3="","",TRIM(SUBSTITUTE(CLEAN(Raw_Data!C3),CHAR(160)," ")))</f>
        <v>7 Guards Battalion Medical Reception Station Abuja</v>
      </c>
      <c r="D3" s="28">
        <f>IFERROR(IF(COUNT(Raw_Data!D3:O3)=0,"",AVERAGE(Raw_Data!D3:O3)/100),"")</f>
        <v>0.97499999999999998</v>
      </c>
      <c r="E3" s="28">
        <f>IFERROR(IF(COUNT(Raw_Data!P3:AA3)=0,"",AVERAGE(Raw_Data!P3:AA3)/100),"")</f>
        <v>1</v>
      </c>
      <c r="F3" s="30">
        <f>IFERROR(IF(COUNT(Raw_Data!AB3:AM3)=0,"",SUM(Raw_Data!AB3:AM3)),"")</f>
        <v>105</v>
      </c>
      <c r="G3" s="30">
        <f>IFERROR(IF(COUNT(Raw_Data!AN3:AY3)=0,"",SUM(Raw_Data!AN3:AY3)),"")</f>
        <v>123</v>
      </c>
      <c r="H3" s="30">
        <f>IFERROR(IF(COUNT(Raw_Data!AZ3:BK3)=0,"",SUM(Raw_Data!AZ3:BK3)),"")</f>
        <v>112</v>
      </c>
      <c r="I3" s="30">
        <f>IFERROR(IF(COUNT(Raw_Data!BL3:BW3)=0,"",SUM(Raw_Data!BL3:BW3)),"")</f>
        <v>45</v>
      </c>
      <c r="J3" s="30">
        <f>IFERROR(IF(COUNT(Raw_Data!BX3:CI3)=0,"",SUM(Raw_Data!BX3:CI3)),"")</f>
        <v>7</v>
      </c>
      <c r="K3" s="28">
        <f t="shared" ref="K3:K66" si="0">IFERROR(IF(OR(F3="",G3="",F3&lt;=0),"",G3/F3),"")</f>
        <v>1.1714285714285715</v>
      </c>
      <c r="L3" s="28">
        <f t="shared" ref="L3:L66" si="1">IFERROR(IF(OR(F3="",G3="",F3&lt;=0),"",(F3-G3)/F3),"")</f>
        <v>-0.17142857142857143</v>
      </c>
      <c r="M3" s="28">
        <f t="shared" ref="M3:M66" si="2">IFERROR(IF(OR(H3="",I3="",H3&lt;=0),"",I3/H3),"")</f>
        <v>0.4017857142857143</v>
      </c>
      <c r="N3" s="28">
        <f t="shared" ref="N3:N66" si="3">IFERROR(IF(OR(H3="",J3="",H3&lt;=0),"",J3/H3),"")</f>
        <v>6.25E-2</v>
      </c>
      <c r="O3" s="7" t="str">
        <f t="shared" ref="O3:O66" si="4">IFERROR(IF(AND(F3="",G3=""),"No Data",IF(OR(F3="",G3="",F3&lt;=0),"Incomplete",IF(OR(G3&gt;F3,K3&lt;0,K3&gt;1,L3&lt;0,L3&gt;1),"Invalid","Valid"))),"Invalid")</f>
        <v>Invalid</v>
      </c>
      <c r="P3" s="13" t="str">
        <f t="shared" ref="P3:P66" si="5">IFERROR(IF(AND(H3="",I3="",J3=""),"No Data",IF(OR(H3="",I3="",J3="",H3&lt;=0),"Incomplete",IF(OR(I3&gt;H3,J3&gt;H3,J3&gt;I3,M3&lt;0,M3&gt;1,N3&lt;0,N3&gt;1),"Invalid","Valid"))),"Invalid")</f>
        <v>Valid</v>
      </c>
      <c r="Q3" s="7" t="str">
        <f t="shared" ref="Q3:Q66" si="6">IF(OR(O3="No Data",P3="No Data"),"No Data",IF(OR(O3="Incomplete",P3="Incomplete"),"Incomplete",IF(OR(O3="Invalid",P3="Invalid"),"Invalid","Valid")))</f>
        <v>Invalid</v>
      </c>
    </row>
    <row r="4" spans="1:17" ht="105">
      <c r="A4" s="7" t="str">
        <f>IF(Raw_Data!A4="","",TRIM(SUBSTITUTE(CLEAN(Raw_Data!A4),CHAR(160)," ")))</f>
        <v>Abaji Local Government Area</v>
      </c>
      <c r="B4" s="7" t="str">
        <f>IF(Raw_Data!B4="","",TRIM(SUBSTITUTE(CLEAN(Raw_Data!B4),CHAR(160)," ")))</f>
        <v>Central (Abaji) Ward</v>
      </c>
      <c r="C4" s="7" t="str">
        <f>IF(Raw_Data!C4="","",TRIM(SUBSTITUTE(CLEAN(Raw_Data!C4),CHAR(160)," ")))</f>
        <v>Abaji New Township Primary Health Center</v>
      </c>
      <c r="D4" s="28">
        <f>IFERROR(IF(COUNT(Raw_Data!D4:O4)=0,"",AVERAGE(Raw_Data!D4:O4)/100),"")</f>
        <v>1.2272727272727273</v>
      </c>
      <c r="E4" s="28">
        <f>IFERROR(IF(COUNT(Raw_Data!P4:AA4)=0,"",AVERAGE(Raw_Data!P4:AA4)/100),"")</f>
        <v>1.25</v>
      </c>
      <c r="F4" s="30">
        <f>IFERROR(IF(COUNT(Raw_Data!AB4:AM4)=0,"",SUM(Raw_Data!AB4:AM4)),"")</f>
        <v>189</v>
      </c>
      <c r="G4" s="30">
        <f>IFERROR(IF(COUNT(Raw_Data!AN4:AY4)=0,"",SUM(Raw_Data!AN4:AY4)),"")</f>
        <v>182</v>
      </c>
      <c r="H4" s="30">
        <f>IFERROR(IF(COUNT(Raw_Data!AZ4:BK4)=0,"",SUM(Raw_Data!AZ4:BK4)),"")</f>
        <v>338</v>
      </c>
      <c r="I4" s="30">
        <f>IFERROR(IF(COUNT(Raw_Data!BL4:BW4)=0,"",SUM(Raw_Data!BL4:BW4)),"")</f>
        <v>190</v>
      </c>
      <c r="J4" s="30">
        <f>IFERROR(IF(COUNT(Raw_Data!BX4:CI4)=0,"",SUM(Raw_Data!BX4:CI4)),"")</f>
        <v>2</v>
      </c>
      <c r="K4" s="28">
        <f t="shared" si="0"/>
        <v>0.96296296296296291</v>
      </c>
      <c r="L4" s="28">
        <f t="shared" si="1"/>
        <v>3.7037037037037035E-2</v>
      </c>
      <c r="M4" s="28">
        <f t="shared" si="2"/>
        <v>0.56213017751479288</v>
      </c>
      <c r="N4" s="28">
        <f t="shared" si="3"/>
        <v>5.9171597633136093E-3</v>
      </c>
      <c r="O4" s="7" t="str">
        <f t="shared" si="4"/>
        <v>Valid</v>
      </c>
      <c r="P4" s="13" t="str">
        <f t="shared" si="5"/>
        <v>Valid</v>
      </c>
      <c r="Q4" s="7" t="str">
        <f t="shared" si="6"/>
        <v>Valid</v>
      </c>
    </row>
    <row r="5" spans="1:17" ht="75">
      <c r="A5" s="7" t="str">
        <f>IF(Raw_Data!A5="","",TRIM(SUBSTITUTE(CLEAN(Raw_Data!A5),CHAR(160)," ")))</f>
        <v>Abaji Local Government Area</v>
      </c>
      <c r="B5" s="7" t="str">
        <f>IF(Raw_Data!B5="","",TRIM(SUBSTITUTE(CLEAN(Raw_Data!B5),CHAR(160)," ")))</f>
        <v>Central (Abaji) Ward</v>
      </c>
      <c r="C5" s="7" t="str">
        <f>IF(Raw_Data!C5="","",TRIM(SUBSTITUTE(CLEAN(Raw_Data!C5),CHAR(160)," ")))</f>
        <v>Abaji Central Primary Health Clinic</v>
      </c>
      <c r="D5" s="28">
        <f>IFERROR(IF(COUNT(Raw_Data!D5:O5)=0,"",AVERAGE(Raw_Data!D5:O5)/100),"")</f>
        <v>0.94545454545454544</v>
      </c>
      <c r="E5" s="28" t="str">
        <f>IFERROR(IF(COUNT(Raw_Data!P5:AA5)=0,"",AVERAGE(Raw_Data!P5:AA5)/100),"")</f>
        <v/>
      </c>
      <c r="F5" s="30">
        <f>IFERROR(IF(COUNT(Raw_Data!AB5:AM5)=0,"",SUM(Raw_Data!AB5:AM5)),"")</f>
        <v>75</v>
      </c>
      <c r="G5" s="30">
        <f>IFERROR(IF(COUNT(Raw_Data!AN5:AY5)=0,"",SUM(Raw_Data!AN5:AY5)),"")</f>
        <v>83</v>
      </c>
      <c r="H5" s="30">
        <f>IFERROR(IF(COUNT(Raw_Data!AZ5:BK5)=0,"",SUM(Raw_Data!AZ5:BK5)),"")</f>
        <v>57</v>
      </c>
      <c r="I5" s="30">
        <f>IFERROR(IF(COUNT(Raw_Data!BL5:BW5)=0,"",SUM(Raw_Data!BL5:BW5)),"")</f>
        <v>2</v>
      </c>
      <c r="J5" s="30" t="str">
        <f>IFERROR(IF(COUNT(Raw_Data!BX5:CI5)=0,"",SUM(Raw_Data!BX5:CI5)),"")</f>
        <v/>
      </c>
      <c r="K5" s="28">
        <f t="shared" si="0"/>
        <v>1.1066666666666667</v>
      </c>
      <c r="L5" s="28">
        <f t="shared" si="1"/>
        <v>-0.10666666666666667</v>
      </c>
      <c r="M5" s="28">
        <f t="shared" si="2"/>
        <v>3.5087719298245612E-2</v>
      </c>
      <c r="N5" s="28" t="str">
        <f t="shared" si="3"/>
        <v/>
      </c>
      <c r="O5" s="7" t="str">
        <f t="shared" si="4"/>
        <v>Invalid</v>
      </c>
      <c r="P5" s="13" t="str">
        <f t="shared" si="5"/>
        <v>Incomplete</v>
      </c>
      <c r="Q5" s="7" t="str">
        <f t="shared" si="6"/>
        <v>Incomplete</v>
      </c>
    </row>
    <row r="6" spans="1:17" ht="60">
      <c r="A6" s="7" t="str">
        <f>IF(Raw_Data!A6="","",TRIM(SUBSTITUTE(CLEAN(Raw_Data!A6),CHAR(160)," ")))</f>
        <v>Abaji Local Government Area</v>
      </c>
      <c r="B6" s="7" t="str">
        <f>IF(Raw_Data!B6="","",TRIM(SUBSTITUTE(CLEAN(Raw_Data!B6),CHAR(160)," ")))</f>
        <v>North East Ward</v>
      </c>
      <c r="C6" s="7" t="str">
        <f>IF(Raw_Data!C6="","",TRIM(SUBSTITUTE(CLEAN(Raw_Data!C6),CHAR(160)," ")))</f>
        <v>Abaji General Hospital</v>
      </c>
      <c r="D6" s="28">
        <f>IFERROR(IF(COUNT(Raw_Data!D6:O6)=0,"",AVERAGE(Raw_Data!D6:O6)/100),"")</f>
        <v>0.97333999999999998</v>
      </c>
      <c r="E6" s="28">
        <f>IFERROR(IF(COUNT(Raw_Data!P6:AA6)=0,"",AVERAGE(Raw_Data!P6:AA6)/100),"")</f>
        <v>0.33329999999999999</v>
      </c>
      <c r="F6" s="30">
        <f>IFERROR(IF(COUNT(Raw_Data!AB6:AM6)=0,"",SUM(Raw_Data!AB6:AM6)),"")</f>
        <v>818</v>
      </c>
      <c r="G6" s="30">
        <f>IFERROR(IF(COUNT(Raw_Data!AN6:AY6)=0,"",SUM(Raw_Data!AN6:AY6)),"")</f>
        <v>740</v>
      </c>
      <c r="H6" s="30">
        <f>IFERROR(IF(COUNT(Raw_Data!AZ6:BK6)=0,"",SUM(Raw_Data!AZ6:BK6)),"")</f>
        <v>775</v>
      </c>
      <c r="I6" s="30">
        <f>IFERROR(IF(COUNT(Raw_Data!BL6:BW6)=0,"",SUM(Raw_Data!BL6:BW6)),"")</f>
        <v>453</v>
      </c>
      <c r="J6" s="30">
        <f>IFERROR(IF(COUNT(Raw_Data!BX6:CI6)=0,"",SUM(Raw_Data!BX6:CI6)),"")</f>
        <v>132</v>
      </c>
      <c r="K6" s="28">
        <f t="shared" si="0"/>
        <v>0.90464547677261609</v>
      </c>
      <c r="L6" s="28">
        <f t="shared" si="1"/>
        <v>9.5354523227383858E-2</v>
      </c>
      <c r="M6" s="28">
        <f t="shared" si="2"/>
        <v>0.58451612903225802</v>
      </c>
      <c r="N6" s="28">
        <f t="shared" si="3"/>
        <v>0.17032258064516129</v>
      </c>
      <c r="O6" s="7" t="str">
        <f t="shared" si="4"/>
        <v>Valid</v>
      </c>
      <c r="P6" s="13" t="str">
        <f t="shared" si="5"/>
        <v>Valid</v>
      </c>
      <c r="Q6" s="7" t="str">
        <f t="shared" si="6"/>
        <v>Valid</v>
      </c>
    </row>
    <row r="7" spans="1:17" ht="90">
      <c r="A7" s="7" t="str">
        <f>IF(Raw_Data!A7="","",TRIM(SUBSTITUTE(CLEAN(Raw_Data!A7),CHAR(160)," ")))</f>
        <v>Abaji Local Government Area</v>
      </c>
      <c r="B7" s="7" t="str">
        <f>IF(Raw_Data!B7="","",TRIM(SUBSTITUTE(CLEAN(Raw_Data!B7),CHAR(160)," ")))</f>
        <v>North East Ward</v>
      </c>
      <c r="C7" s="7" t="str">
        <f>IF(Raw_Data!C7="","",TRIM(SUBSTITUTE(CLEAN(Raw_Data!C7),CHAR(160)," ")))</f>
        <v>Abaji Maternal And Child Health Clinic</v>
      </c>
      <c r="D7" s="28">
        <f>IFERROR(IF(COUNT(Raw_Data!D7:O7)=0,"",AVERAGE(Raw_Data!D7:O7)/100),"")</f>
        <v>0.92272727272727262</v>
      </c>
      <c r="E7" s="28" t="str">
        <f>IFERROR(IF(COUNT(Raw_Data!P7:AA7)=0,"",AVERAGE(Raw_Data!P7:AA7)/100),"")</f>
        <v/>
      </c>
      <c r="F7" s="30">
        <f>IFERROR(IF(COUNT(Raw_Data!AB7:AM7)=0,"",SUM(Raw_Data!AB7:AM7)),"")</f>
        <v>161</v>
      </c>
      <c r="G7" s="30">
        <f>IFERROR(IF(COUNT(Raw_Data!AN7:AY7)=0,"",SUM(Raw_Data!AN7:AY7)),"")</f>
        <v>171</v>
      </c>
      <c r="H7" s="30">
        <f>IFERROR(IF(COUNT(Raw_Data!AZ7:BK7)=0,"",SUM(Raw_Data!AZ7:BK7)),"")</f>
        <v>28</v>
      </c>
      <c r="I7" s="30">
        <f>IFERROR(IF(COUNT(Raw_Data!BL7:BW7)=0,"",SUM(Raw_Data!BL7:BW7)),"")</f>
        <v>4</v>
      </c>
      <c r="J7" s="30">
        <f>IFERROR(IF(COUNT(Raw_Data!BX7:CI7)=0,"",SUM(Raw_Data!BX7:CI7)),"")</f>
        <v>9</v>
      </c>
      <c r="K7" s="28">
        <f t="shared" si="0"/>
        <v>1.0621118012422359</v>
      </c>
      <c r="L7" s="28">
        <f t="shared" si="1"/>
        <v>-6.2111801242236024E-2</v>
      </c>
      <c r="M7" s="28">
        <f t="shared" si="2"/>
        <v>0.14285714285714285</v>
      </c>
      <c r="N7" s="28">
        <f t="shared" si="3"/>
        <v>0.32142857142857145</v>
      </c>
      <c r="O7" s="7" t="str">
        <f t="shared" si="4"/>
        <v>Invalid</v>
      </c>
      <c r="P7" s="13" t="str">
        <f t="shared" si="5"/>
        <v>Invalid</v>
      </c>
      <c r="Q7" s="7" t="str">
        <f t="shared" si="6"/>
        <v>Invalid</v>
      </c>
    </row>
    <row r="8" spans="1:17" ht="60">
      <c r="A8" s="7" t="str">
        <f>IF(Raw_Data!A8="","",TRIM(SUBSTITUTE(CLEAN(Raw_Data!A8),CHAR(160)," ")))</f>
        <v>Abaji Local Government Area</v>
      </c>
      <c r="B8" s="7" t="str">
        <f>IF(Raw_Data!B8="","",TRIM(SUBSTITUTE(CLEAN(Raw_Data!B8),CHAR(160)," ")))</f>
        <v>Nuku Sabon Gari Ward</v>
      </c>
      <c r="C8" s="7" t="str">
        <f>IF(Raw_Data!C8="","",TRIM(SUBSTITUTE(CLEAN(Raw_Data!C8),CHAR(160)," ")))</f>
        <v>Abattior Primary Health Clinic</v>
      </c>
      <c r="D8" s="28">
        <f>IFERROR(IF(COUNT(Raw_Data!D8:O8)=0,"",AVERAGE(Raw_Data!D8:O8)/100),"")</f>
        <v>0.97727272727272729</v>
      </c>
      <c r="E8" s="28">
        <f>IFERROR(IF(COUNT(Raw_Data!P8:AA8)=0,"",AVERAGE(Raw_Data!P8:AA8)/100),"")</f>
        <v>0.83333333333333326</v>
      </c>
      <c r="F8" s="30">
        <f>IFERROR(IF(COUNT(Raw_Data!AB8:AM8)=0,"",SUM(Raw_Data!AB8:AM8)),"")</f>
        <v>207</v>
      </c>
      <c r="G8" s="30">
        <f>IFERROR(IF(COUNT(Raw_Data!AN8:AY8)=0,"",SUM(Raw_Data!AN8:AY8)),"")</f>
        <v>173</v>
      </c>
      <c r="H8" s="30">
        <f>IFERROR(IF(COUNT(Raw_Data!AZ8:BK8)=0,"",SUM(Raw_Data!AZ8:BK8)),"")</f>
        <v>121</v>
      </c>
      <c r="I8" s="30">
        <f>IFERROR(IF(COUNT(Raw_Data!BL8:BW8)=0,"",SUM(Raw_Data!BL8:BW8)),"")</f>
        <v>24</v>
      </c>
      <c r="J8" s="30">
        <f>IFERROR(IF(COUNT(Raw_Data!BX8:CI8)=0,"",SUM(Raw_Data!BX8:CI8)),"")</f>
        <v>3</v>
      </c>
      <c r="K8" s="28">
        <f t="shared" si="0"/>
        <v>0.83574879227053145</v>
      </c>
      <c r="L8" s="28">
        <f t="shared" si="1"/>
        <v>0.16425120772946861</v>
      </c>
      <c r="M8" s="28">
        <f t="shared" si="2"/>
        <v>0.19834710743801653</v>
      </c>
      <c r="N8" s="28">
        <f t="shared" si="3"/>
        <v>2.4793388429752067E-2</v>
      </c>
      <c r="O8" s="7" t="str">
        <f t="shared" si="4"/>
        <v>Valid</v>
      </c>
      <c r="P8" s="13" t="str">
        <f t="shared" si="5"/>
        <v>Valid</v>
      </c>
      <c r="Q8" s="7" t="str">
        <f t="shared" si="6"/>
        <v>Valid</v>
      </c>
    </row>
    <row r="9" spans="1:17" ht="60">
      <c r="A9" s="7" t="str">
        <f>IF(Raw_Data!A9="","",TRIM(SUBSTITUTE(CLEAN(Raw_Data!A9),CHAR(160)," ")))</f>
        <v>Kwali Local Government Area</v>
      </c>
      <c r="B9" s="7" t="str">
        <f>IF(Raw_Data!B9="","",TRIM(SUBSTITUTE(CLEAN(Raw_Data!B9),CHAR(160)," ")))</f>
        <v>Kwali Ward</v>
      </c>
      <c r="C9" s="7" t="str">
        <f>IF(Raw_Data!C9="","",TRIM(SUBSTITUTE(CLEAN(Raw_Data!C9),CHAR(160)," ")))</f>
        <v>Abu Fatima Maternity Clinic</v>
      </c>
      <c r="D9" s="28" t="str">
        <f>IFERROR(IF(COUNT(Raw_Data!D9:O9)=0,"",AVERAGE(Raw_Data!D9:O9)/100),"")</f>
        <v/>
      </c>
      <c r="E9" s="28" t="str">
        <f>IFERROR(IF(COUNT(Raw_Data!P9:AA9)=0,"",AVERAGE(Raw_Data!P9:AA9)/100),"")</f>
        <v/>
      </c>
      <c r="F9" s="30" t="str">
        <f>IFERROR(IF(COUNT(Raw_Data!AB9:AM9)=0,"",SUM(Raw_Data!AB9:AM9)),"")</f>
        <v/>
      </c>
      <c r="G9" s="30" t="str">
        <f>IFERROR(IF(COUNT(Raw_Data!AN9:AY9)=0,"",SUM(Raw_Data!AN9:AY9)),"")</f>
        <v/>
      </c>
      <c r="H9" s="30">
        <f>IFERROR(IF(COUNT(Raw_Data!AZ9:BK9)=0,"",SUM(Raw_Data!AZ9:BK9)),"")</f>
        <v>49</v>
      </c>
      <c r="I9" s="30">
        <f>IFERROR(IF(COUNT(Raw_Data!BL9:BW9)=0,"",SUM(Raw_Data!BL9:BW9)),"")</f>
        <v>53</v>
      </c>
      <c r="J9" s="30">
        <f>IFERROR(IF(COUNT(Raw_Data!BX9:CI9)=0,"",SUM(Raw_Data!BX9:CI9)),"")</f>
        <v>52</v>
      </c>
      <c r="K9" s="28" t="str">
        <f t="shared" si="0"/>
        <v/>
      </c>
      <c r="L9" s="28" t="str">
        <f t="shared" si="1"/>
        <v/>
      </c>
      <c r="M9" s="28">
        <f t="shared" si="2"/>
        <v>1.0816326530612246</v>
      </c>
      <c r="N9" s="28">
        <f t="shared" si="3"/>
        <v>1.0612244897959184</v>
      </c>
      <c r="O9" s="7" t="str">
        <f t="shared" si="4"/>
        <v>No Data</v>
      </c>
      <c r="P9" s="13" t="str">
        <f t="shared" si="5"/>
        <v>Invalid</v>
      </c>
      <c r="Q9" s="7" t="str">
        <f t="shared" si="6"/>
        <v>No Data</v>
      </c>
    </row>
    <row r="10" spans="1:17" ht="60">
      <c r="A10" s="7" t="str">
        <f>IF(Raw_Data!A10="","",TRIM(SUBSTITUTE(CLEAN(Raw_Data!A10),CHAR(160)," ")))</f>
        <v>Abuja Municipal Area Council</v>
      </c>
      <c r="B10" s="7" t="str">
        <f>IF(Raw_Data!B10="","",TRIM(SUBSTITUTE(CLEAN(Raw_Data!B10),CHAR(160)," ")))</f>
        <v>Garki Ward</v>
      </c>
      <c r="C10" s="7" t="str">
        <f>IF(Raw_Data!C10="","",TRIM(SUBSTITUTE(CLEAN(Raw_Data!C10),CHAR(160)," ")))</f>
        <v>Abuja Clinic</v>
      </c>
      <c r="D10" s="28" t="str">
        <f>IFERROR(IF(COUNT(Raw_Data!D10:O10)=0,"",AVERAGE(Raw_Data!D10:O10)/100),"")</f>
        <v/>
      </c>
      <c r="E10" s="28" t="str">
        <f>IFERROR(IF(COUNT(Raw_Data!P10:AA10)=0,"",AVERAGE(Raw_Data!P10:AA10)/100),"")</f>
        <v/>
      </c>
      <c r="F10" s="30">
        <f>IFERROR(IF(COUNT(Raw_Data!AB10:AM10)=0,"",SUM(Raw_Data!AB10:AM10)),"")</f>
        <v>48</v>
      </c>
      <c r="G10" s="30">
        <f>IFERROR(IF(COUNT(Raw_Data!AN10:AY10)=0,"",SUM(Raw_Data!AN10:AY10)),"")</f>
        <v>24</v>
      </c>
      <c r="H10" s="30">
        <f>IFERROR(IF(COUNT(Raw_Data!AZ10:BK10)=0,"",SUM(Raw_Data!AZ10:BK10)),"")</f>
        <v>10</v>
      </c>
      <c r="I10" s="30">
        <f>IFERROR(IF(COUNT(Raw_Data!BL10:BW10)=0,"",SUM(Raw_Data!BL10:BW10)),"")</f>
        <v>2</v>
      </c>
      <c r="J10" s="30">
        <f>IFERROR(IF(COUNT(Raw_Data!BX10:CI10)=0,"",SUM(Raw_Data!BX10:CI10)),"")</f>
        <v>6</v>
      </c>
      <c r="K10" s="28">
        <f t="shared" si="0"/>
        <v>0.5</v>
      </c>
      <c r="L10" s="28">
        <f t="shared" si="1"/>
        <v>0.5</v>
      </c>
      <c r="M10" s="28">
        <f t="shared" si="2"/>
        <v>0.2</v>
      </c>
      <c r="N10" s="28">
        <f t="shared" si="3"/>
        <v>0.6</v>
      </c>
      <c r="O10" s="7" t="str">
        <f t="shared" si="4"/>
        <v>Valid</v>
      </c>
      <c r="P10" s="13" t="str">
        <f t="shared" si="5"/>
        <v>Invalid</v>
      </c>
      <c r="Q10" s="7" t="str">
        <f t="shared" si="6"/>
        <v>Invalid</v>
      </c>
    </row>
    <row r="11" spans="1:17" ht="60">
      <c r="A11" s="7" t="str">
        <f>IF(Raw_Data!A11="","",TRIM(SUBSTITUTE(CLEAN(Raw_Data!A11),CHAR(160)," ")))</f>
        <v>Abuja Municipal Area Council</v>
      </c>
      <c r="B11" s="7" t="str">
        <f>IF(Raw_Data!B11="","",TRIM(SUBSTITUTE(CLEAN(Raw_Data!B11),CHAR(160)," ")))</f>
        <v>Wuse Ward</v>
      </c>
      <c r="C11" s="7" t="str">
        <f>IF(Raw_Data!C11="","",TRIM(SUBSTITUTE(CLEAN(Raw_Data!C11),CHAR(160)," ")))</f>
        <v>Abuja Clinics, Maitama</v>
      </c>
      <c r="D11" s="28">
        <f>IFERROR(IF(COUNT(Raw_Data!D11:O11)=0,"",AVERAGE(Raw_Data!D11:O11)/100),"")</f>
        <v>1</v>
      </c>
      <c r="E11" s="28" t="str">
        <f>IFERROR(IF(COUNT(Raw_Data!P11:AA11)=0,"",AVERAGE(Raw_Data!P11:AA11)/100),"")</f>
        <v/>
      </c>
      <c r="F11" s="30">
        <f>IFERROR(IF(COUNT(Raw_Data!AB11:AM11)=0,"",SUM(Raw_Data!AB11:AM11)),"")</f>
        <v>75</v>
      </c>
      <c r="G11" s="30">
        <f>IFERROR(IF(COUNT(Raw_Data!AN11:AY11)=0,"",SUM(Raw_Data!AN11:AY11)),"")</f>
        <v>82</v>
      </c>
      <c r="H11" s="30">
        <f>IFERROR(IF(COUNT(Raw_Data!AZ11:BK11)=0,"",SUM(Raw_Data!AZ11:BK11)),"")</f>
        <v>55</v>
      </c>
      <c r="I11" s="30">
        <f>IFERROR(IF(COUNT(Raw_Data!BL11:BW11)=0,"",SUM(Raw_Data!BL11:BW11)),"")</f>
        <v>76</v>
      </c>
      <c r="J11" s="30">
        <f>IFERROR(IF(COUNT(Raw_Data!BX11:CI11)=0,"",SUM(Raw_Data!BX11:CI11)),"")</f>
        <v>22</v>
      </c>
      <c r="K11" s="28">
        <f t="shared" si="0"/>
        <v>1.0933333333333333</v>
      </c>
      <c r="L11" s="28">
        <f t="shared" si="1"/>
        <v>-9.3333333333333338E-2</v>
      </c>
      <c r="M11" s="28">
        <f t="shared" si="2"/>
        <v>1.3818181818181818</v>
      </c>
      <c r="N11" s="28">
        <f t="shared" si="3"/>
        <v>0.4</v>
      </c>
      <c r="O11" s="7" t="str">
        <f t="shared" si="4"/>
        <v>Invalid</v>
      </c>
      <c r="P11" s="13" t="str">
        <f t="shared" si="5"/>
        <v>Invalid</v>
      </c>
      <c r="Q11" s="7" t="str">
        <f t="shared" si="6"/>
        <v>Invalid</v>
      </c>
    </row>
    <row r="12" spans="1:17" ht="60">
      <c r="A12" s="7" t="str">
        <f>IF(Raw_Data!A12="","",TRIM(SUBSTITUTE(CLEAN(Raw_Data!A12),CHAR(160)," ")))</f>
        <v>Abuja Municipal Area Council</v>
      </c>
      <c r="B12" s="7" t="str">
        <f>IF(Raw_Data!B12="","",TRIM(SUBSTITUTE(CLEAN(Raw_Data!B12),CHAR(160)," ")))</f>
        <v>City Centre Ward</v>
      </c>
      <c r="C12" s="7" t="str">
        <f>IF(Raw_Data!C12="","",TRIM(SUBSTITUTE(CLEAN(Raw_Data!C12),CHAR(160)," ")))</f>
        <v>Abuja Police Hospital</v>
      </c>
      <c r="D12" s="28">
        <f>IFERROR(IF(COUNT(Raw_Data!D12:O12)=0,"",AVERAGE(Raw_Data!D12:O12)/100),"")</f>
        <v>0.5</v>
      </c>
      <c r="E12" s="28" t="str">
        <f>IFERROR(IF(COUNT(Raw_Data!P12:AA12)=0,"",AVERAGE(Raw_Data!P12:AA12)/100),"")</f>
        <v/>
      </c>
      <c r="F12" s="30">
        <f>IFERROR(IF(COUNT(Raw_Data!AB12:AM12)=0,"",SUM(Raw_Data!AB12:AM12)),"")</f>
        <v>56</v>
      </c>
      <c r="G12" s="30">
        <f>IFERROR(IF(COUNT(Raw_Data!AN12:AY12)=0,"",SUM(Raw_Data!AN12:AY12)),"")</f>
        <v>46</v>
      </c>
      <c r="H12" s="30">
        <f>IFERROR(IF(COUNT(Raw_Data!AZ12:BK12)=0,"",SUM(Raw_Data!AZ12:BK12)),"")</f>
        <v>10</v>
      </c>
      <c r="I12" s="30">
        <f>IFERROR(IF(COUNT(Raw_Data!BL12:BW12)=0,"",SUM(Raw_Data!BL12:BW12)),"")</f>
        <v>19</v>
      </c>
      <c r="J12" s="30">
        <f>IFERROR(IF(COUNT(Raw_Data!BX12:CI12)=0,"",SUM(Raw_Data!BX12:CI12)),"")</f>
        <v>76</v>
      </c>
      <c r="K12" s="28">
        <f t="shared" si="0"/>
        <v>0.8214285714285714</v>
      </c>
      <c r="L12" s="28">
        <f t="shared" si="1"/>
        <v>0.17857142857142858</v>
      </c>
      <c r="M12" s="28">
        <f t="shared" si="2"/>
        <v>1.9</v>
      </c>
      <c r="N12" s="28">
        <f t="shared" si="3"/>
        <v>7.6</v>
      </c>
      <c r="O12" s="7" t="str">
        <f t="shared" si="4"/>
        <v>Valid</v>
      </c>
      <c r="P12" s="13" t="str">
        <f t="shared" si="5"/>
        <v>Invalid</v>
      </c>
      <c r="Q12" s="7" t="str">
        <f t="shared" si="6"/>
        <v>Invalid</v>
      </c>
    </row>
    <row r="13" spans="1:17" ht="60">
      <c r="A13" s="7" t="str">
        <f>IF(Raw_Data!A13="","",TRIM(SUBSTITUTE(CLEAN(Raw_Data!A13),CHAR(160)," ")))</f>
        <v>Kuje Local Government Area</v>
      </c>
      <c r="B13" s="7" t="str">
        <f>IF(Raw_Data!B13="","",TRIM(SUBSTITUTE(CLEAN(Raw_Data!B13),CHAR(160)," ")))</f>
        <v>Kabi Ward</v>
      </c>
      <c r="C13" s="7" t="str">
        <f>IF(Raw_Data!C13="","",TRIM(SUBSTITUTE(CLEAN(Raw_Data!C13),CHAR(160)," ")))</f>
        <v>Achimbi Primary Health Centre</v>
      </c>
      <c r="D13" s="28">
        <f>IFERROR(IF(COUNT(Raw_Data!D13:O13)=0,"",AVERAGE(Raw_Data!D13:O13)/100),"")</f>
        <v>1</v>
      </c>
      <c r="E13" s="28">
        <f>IFERROR(IF(COUNT(Raw_Data!P13:AA13)=0,"",AVERAGE(Raw_Data!P13:AA13)/100),"")</f>
        <v>1</v>
      </c>
      <c r="F13" s="30">
        <f>IFERROR(IF(COUNT(Raw_Data!AB13:AM13)=0,"",SUM(Raw_Data!AB13:AM13)),"")</f>
        <v>218</v>
      </c>
      <c r="G13" s="30">
        <f>IFERROR(IF(COUNT(Raw_Data!AN13:AY13)=0,"",SUM(Raw_Data!AN13:AY13)),"")</f>
        <v>274</v>
      </c>
      <c r="H13" s="30">
        <f>IFERROR(IF(COUNT(Raw_Data!AZ13:BK13)=0,"",SUM(Raw_Data!AZ13:BK13)),"")</f>
        <v>97</v>
      </c>
      <c r="I13" s="30">
        <f>IFERROR(IF(COUNT(Raw_Data!BL13:BW13)=0,"",SUM(Raw_Data!BL13:BW13)),"")</f>
        <v>14</v>
      </c>
      <c r="J13" s="30">
        <f>IFERROR(IF(COUNT(Raw_Data!BX13:CI13)=0,"",SUM(Raw_Data!BX13:CI13)),"")</f>
        <v>1</v>
      </c>
      <c r="K13" s="28">
        <f t="shared" si="0"/>
        <v>1.2568807339449541</v>
      </c>
      <c r="L13" s="28">
        <f t="shared" si="1"/>
        <v>-0.25688073394495414</v>
      </c>
      <c r="M13" s="28">
        <f t="shared" si="2"/>
        <v>0.14432989690721648</v>
      </c>
      <c r="N13" s="28">
        <f t="shared" si="3"/>
        <v>1.0309278350515464E-2</v>
      </c>
      <c r="O13" s="7" t="str">
        <f t="shared" si="4"/>
        <v>Invalid</v>
      </c>
      <c r="P13" s="13" t="str">
        <f t="shared" si="5"/>
        <v>Valid</v>
      </c>
      <c r="Q13" s="7" t="str">
        <f t="shared" si="6"/>
        <v>Invalid</v>
      </c>
    </row>
    <row r="14" spans="1:17" ht="60">
      <c r="A14" s="7" t="str">
        <f>IF(Raw_Data!A14="","",TRIM(SUBSTITUTE(CLEAN(Raw_Data!A14),CHAR(160)," ")))</f>
        <v>Abaji Local Government Area</v>
      </c>
      <c r="B14" s="7" t="str">
        <f>IF(Raw_Data!B14="","",TRIM(SUBSTITUTE(CLEAN(Raw_Data!B14),CHAR(160)," ")))</f>
        <v>Yaba Ward</v>
      </c>
      <c r="C14" s="7" t="str">
        <f>IF(Raw_Data!C14="","",TRIM(SUBSTITUTE(CLEAN(Raw_Data!C14),CHAR(160)," ")))</f>
        <v>Adagba Primary Health Clinic</v>
      </c>
      <c r="D14" s="28">
        <f>IFERROR(IF(COUNT(Raw_Data!D14:O14)=0,"",AVERAGE(Raw_Data!D14:O14)/100),"")</f>
        <v>0.92500000000000004</v>
      </c>
      <c r="E14" s="28">
        <f>IFERROR(IF(COUNT(Raw_Data!P14:AA14)=0,"",AVERAGE(Raw_Data!P14:AA14)/100),"")</f>
        <v>0.96969090909090894</v>
      </c>
      <c r="F14" s="30">
        <f>IFERROR(IF(COUNT(Raw_Data!AB14:AM14)=0,"",SUM(Raw_Data!AB14:AM14)),"")</f>
        <v>461</v>
      </c>
      <c r="G14" s="30">
        <f>IFERROR(IF(COUNT(Raw_Data!AN14:AY14)=0,"",SUM(Raw_Data!AN14:AY14)),"")</f>
        <v>417</v>
      </c>
      <c r="H14" s="30">
        <f>IFERROR(IF(COUNT(Raw_Data!AZ14:BK14)=0,"",SUM(Raw_Data!AZ14:BK14)),"")</f>
        <v>115</v>
      </c>
      <c r="I14" s="30">
        <f>IFERROR(IF(COUNT(Raw_Data!BL14:BW14)=0,"",SUM(Raw_Data!BL14:BW14)),"")</f>
        <v>5</v>
      </c>
      <c r="J14" s="30" t="str">
        <f>IFERROR(IF(COUNT(Raw_Data!BX14:CI14)=0,"",SUM(Raw_Data!BX14:CI14)),"")</f>
        <v/>
      </c>
      <c r="K14" s="28">
        <f t="shared" si="0"/>
        <v>0.90455531453362259</v>
      </c>
      <c r="L14" s="28">
        <f t="shared" si="1"/>
        <v>9.5444685466377438E-2</v>
      </c>
      <c r="M14" s="28">
        <f t="shared" si="2"/>
        <v>4.3478260869565216E-2</v>
      </c>
      <c r="N14" s="28" t="str">
        <f t="shared" si="3"/>
        <v/>
      </c>
      <c r="O14" s="7" t="str">
        <f t="shared" si="4"/>
        <v>Valid</v>
      </c>
      <c r="P14" s="13" t="str">
        <f t="shared" si="5"/>
        <v>Incomplete</v>
      </c>
      <c r="Q14" s="7" t="str">
        <f t="shared" si="6"/>
        <v>Incomplete</v>
      </c>
    </row>
    <row r="15" spans="1:17" ht="60">
      <c r="A15" s="7" t="str">
        <f>IF(Raw_Data!A15="","",TRIM(SUBSTITUTE(CLEAN(Raw_Data!A15),CHAR(160)," ")))</f>
        <v>Kuje Local Government Area</v>
      </c>
      <c r="B15" s="7" t="str">
        <f>IF(Raw_Data!B15="","",TRIM(SUBSTITUTE(CLEAN(Raw_Data!B15),CHAR(160)," ")))</f>
        <v>Kuje Central Ward</v>
      </c>
      <c r="C15" s="7" t="str">
        <f>IF(Raw_Data!C15="","",TRIM(SUBSTITUTE(CLEAN(Raw_Data!C15),CHAR(160)," ")))</f>
        <v>Agape Biomedical Hospital</v>
      </c>
      <c r="D15" s="28" t="str">
        <f>IFERROR(IF(COUNT(Raw_Data!D15:O15)=0,"",AVERAGE(Raw_Data!D15:O15)/100),"")</f>
        <v/>
      </c>
      <c r="E15" s="28" t="str">
        <f>IFERROR(IF(COUNT(Raw_Data!P15:AA15)=0,"",AVERAGE(Raw_Data!P15:AA15)/100),"")</f>
        <v/>
      </c>
      <c r="F15" s="30" t="str">
        <f>IFERROR(IF(COUNT(Raw_Data!AB15:AM15)=0,"",SUM(Raw_Data!AB15:AM15)),"")</f>
        <v/>
      </c>
      <c r="G15" s="30" t="str">
        <f>IFERROR(IF(COUNT(Raw_Data!AN15:AY15)=0,"",SUM(Raw_Data!AN15:AY15)),"")</f>
        <v/>
      </c>
      <c r="H15" s="30">
        <f>IFERROR(IF(COUNT(Raw_Data!AZ15:BK15)=0,"",SUM(Raw_Data!AZ15:BK15)),"")</f>
        <v>4</v>
      </c>
      <c r="I15" s="30">
        <f>IFERROR(IF(COUNT(Raw_Data!BL15:BW15)=0,"",SUM(Raw_Data!BL15:BW15)),"")</f>
        <v>7</v>
      </c>
      <c r="J15" s="30">
        <f>IFERROR(IF(COUNT(Raw_Data!BX15:CI15)=0,"",SUM(Raw_Data!BX15:CI15)),"")</f>
        <v>1</v>
      </c>
      <c r="K15" s="28" t="str">
        <f t="shared" si="0"/>
        <v/>
      </c>
      <c r="L15" s="28" t="str">
        <f t="shared" si="1"/>
        <v/>
      </c>
      <c r="M15" s="28">
        <f t="shared" si="2"/>
        <v>1.75</v>
      </c>
      <c r="N15" s="28">
        <f t="shared" si="3"/>
        <v>0.25</v>
      </c>
      <c r="O15" s="7" t="str">
        <f t="shared" si="4"/>
        <v>No Data</v>
      </c>
      <c r="P15" s="13" t="str">
        <f t="shared" si="5"/>
        <v>Invalid</v>
      </c>
      <c r="Q15" s="7" t="str">
        <f t="shared" si="6"/>
        <v>No Data</v>
      </c>
    </row>
    <row r="16" spans="1:17" ht="60">
      <c r="A16" s="7" t="str">
        <f>IF(Raw_Data!A16="","",TRIM(SUBSTITUTE(CLEAN(Raw_Data!A16),CHAR(160)," ")))</f>
        <v>Kuje Local Government Area</v>
      </c>
      <c r="B16" s="7" t="str">
        <f>IF(Raw_Data!B16="","",TRIM(SUBSTITUTE(CLEAN(Raw_Data!B16),CHAR(160)," ")))</f>
        <v>Kabi Ward</v>
      </c>
      <c r="C16" s="7" t="str">
        <f>IF(Raw_Data!C16="","",TRIM(SUBSTITUTE(CLEAN(Raw_Data!C16),CHAR(160)," ")))</f>
        <v>Agwai Primary Health Centre</v>
      </c>
      <c r="D16" s="28">
        <f>IFERROR(IF(COUNT(Raw_Data!D16:O16)=0,"",AVERAGE(Raw_Data!D16:O16)/100),"")</f>
        <v>1</v>
      </c>
      <c r="E16" s="28">
        <f>IFERROR(IF(COUNT(Raw_Data!P16:AA16)=0,"",AVERAGE(Raw_Data!P16:AA16)/100),"")</f>
        <v>0.97777777777777775</v>
      </c>
      <c r="F16" s="30">
        <f>IFERROR(IF(COUNT(Raw_Data!AB16:AM16)=0,"",SUM(Raw_Data!AB16:AM16)),"")</f>
        <v>226</v>
      </c>
      <c r="G16" s="30">
        <f>IFERROR(IF(COUNT(Raw_Data!AN16:AY16)=0,"",SUM(Raw_Data!AN16:AY16)),"")</f>
        <v>226</v>
      </c>
      <c r="H16" s="30">
        <f>IFERROR(IF(COUNT(Raw_Data!AZ16:BK16)=0,"",SUM(Raw_Data!AZ16:BK16)),"")</f>
        <v>34</v>
      </c>
      <c r="I16" s="30">
        <f>IFERROR(IF(COUNT(Raw_Data!BL16:BW16)=0,"",SUM(Raw_Data!BL16:BW16)),"")</f>
        <v>4</v>
      </c>
      <c r="J16" s="30" t="str">
        <f>IFERROR(IF(COUNT(Raw_Data!BX16:CI16)=0,"",SUM(Raw_Data!BX16:CI16)),"")</f>
        <v/>
      </c>
      <c r="K16" s="28">
        <f t="shared" si="0"/>
        <v>1</v>
      </c>
      <c r="L16" s="28">
        <f t="shared" si="1"/>
        <v>0</v>
      </c>
      <c r="M16" s="28">
        <f t="shared" si="2"/>
        <v>0.11764705882352941</v>
      </c>
      <c r="N16" s="28" t="str">
        <f t="shared" si="3"/>
        <v/>
      </c>
      <c r="O16" s="7" t="str">
        <f t="shared" si="4"/>
        <v>Valid</v>
      </c>
      <c r="P16" s="13" t="str">
        <f t="shared" si="5"/>
        <v>Incomplete</v>
      </c>
      <c r="Q16" s="7" t="str">
        <f t="shared" si="6"/>
        <v>Incomplete</v>
      </c>
    </row>
    <row r="17" spans="1:17" ht="60">
      <c r="A17" s="7" t="str">
        <f>IF(Raw_Data!A17="","",TRIM(SUBSTITUTE(CLEAN(Raw_Data!A17),CHAR(160)," ")))</f>
        <v>Abaji Local Government Area</v>
      </c>
      <c r="B17" s="7" t="str">
        <f>IF(Raw_Data!B17="","",TRIM(SUBSTITUTE(CLEAN(Raw_Data!B17),CHAR(160)," ")))</f>
        <v>Pandagi Agyana Ward</v>
      </c>
      <c r="C17" s="7" t="str">
        <f>IF(Raw_Data!C17="","",TRIM(SUBSTITUTE(CLEAN(Raw_Data!C17),CHAR(160)," ")))</f>
        <v>Agyana Primary Health Clinic</v>
      </c>
      <c r="D17" s="28">
        <f>IFERROR(IF(COUNT(Raw_Data!D17:O17)=0,"",AVERAGE(Raw_Data!D17:O17)/100),"")</f>
        <v>1</v>
      </c>
      <c r="E17" s="28">
        <f>IFERROR(IF(COUNT(Raw_Data!P17:AA17)=0,"",AVERAGE(Raw_Data!P17:AA17)/100),"")</f>
        <v>1</v>
      </c>
      <c r="F17" s="30">
        <f>IFERROR(IF(COUNT(Raw_Data!AB17:AM17)=0,"",SUM(Raw_Data!AB17:AM17)),"")</f>
        <v>347</v>
      </c>
      <c r="G17" s="30">
        <f>IFERROR(IF(COUNT(Raw_Data!AN17:AY17)=0,"",SUM(Raw_Data!AN17:AY17)),"")</f>
        <v>392</v>
      </c>
      <c r="H17" s="30">
        <f>IFERROR(IF(COUNT(Raw_Data!AZ17:BK17)=0,"",SUM(Raw_Data!AZ17:BK17)),"")</f>
        <v>102</v>
      </c>
      <c r="I17" s="30">
        <f>IFERROR(IF(COUNT(Raw_Data!BL17:BW17)=0,"",SUM(Raw_Data!BL17:BW17)),"")</f>
        <v>19</v>
      </c>
      <c r="J17" s="30">
        <f>IFERROR(IF(COUNT(Raw_Data!BX17:CI17)=0,"",SUM(Raw_Data!BX17:CI17)),"")</f>
        <v>58</v>
      </c>
      <c r="K17" s="28">
        <f t="shared" si="0"/>
        <v>1.1296829971181557</v>
      </c>
      <c r="L17" s="28">
        <f t="shared" si="1"/>
        <v>-0.12968299711815562</v>
      </c>
      <c r="M17" s="28">
        <f t="shared" si="2"/>
        <v>0.18627450980392157</v>
      </c>
      <c r="N17" s="28">
        <f t="shared" si="3"/>
        <v>0.56862745098039214</v>
      </c>
      <c r="O17" s="7" t="str">
        <f t="shared" si="4"/>
        <v>Invalid</v>
      </c>
      <c r="P17" s="13" t="str">
        <f t="shared" si="5"/>
        <v>Invalid</v>
      </c>
      <c r="Q17" s="7" t="str">
        <f t="shared" si="6"/>
        <v>Invalid</v>
      </c>
    </row>
    <row r="18" spans="1:17" ht="75">
      <c r="A18" s="7" t="str">
        <f>IF(Raw_Data!A18="","",TRIM(SUBSTITUTE(CLEAN(Raw_Data!A18),CHAR(160)," ")))</f>
        <v>Abuja Municipal Area Council</v>
      </c>
      <c r="B18" s="7" t="str">
        <f>IF(Raw_Data!B18="","",TRIM(SUBSTITUTE(CLEAN(Raw_Data!B18),CHAR(160)," ")))</f>
        <v>Gui Ward</v>
      </c>
      <c r="C18" s="7" t="str">
        <f>IF(Raw_Data!C18="","",TRIM(SUBSTITUTE(CLEAN(Raw_Data!C18),CHAR(160)," ")))</f>
        <v>Al-Nur Maternity Home (Iddo-Pada)</v>
      </c>
      <c r="D18" s="28" t="str">
        <f>IFERROR(IF(COUNT(Raw_Data!D18:O18)=0,"",AVERAGE(Raw_Data!D18:O18)/100),"")</f>
        <v/>
      </c>
      <c r="E18" s="28" t="str">
        <f>IFERROR(IF(COUNT(Raw_Data!P18:AA18)=0,"",AVERAGE(Raw_Data!P18:AA18)/100),"")</f>
        <v/>
      </c>
      <c r="F18" s="30" t="str">
        <f>IFERROR(IF(COUNT(Raw_Data!AB18:AM18)=0,"",SUM(Raw_Data!AB18:AM18)),"")</f>
        <v/>
      </c>
      <c r="G18" s="30" t="str">
        <f>IFERROR(IF(COUNT(Raw_Data!AN18:AY18)=0,"",SUM(Raw_Data!AN18:AY18)),"")</f>
        <v/>
      </c>
      <c r="H18" s="30">
        <f>IFERROR(IF(COUNT(Raw_Data!AZ18:BK18)=0,"",SUM(Raw_Data!AZ18:BK18)),"")</f>
        <v>55</v>
      </c>
      <c r="I18" s="30">
        <f>IFERROR(IF(COUNT(Raw_Data!BL18:BW18)=0,"",SUM(Raw_Data!BL18:BW18)),"")</f>
        <v>55</v>
      </c>
      <c r="J18" s="30">
        <f>IFERROR(IF(COUNT(Raw_Data!BX18:CI18)=0,"",SUM(Raw_Data!BX18:CI18)),"")</f>
        <v>31</v>
      </c>
      <c r="K18" s="28" t="str">
        <f t="shared" si="0"/>
        <v/>
      </c>
      <c r="L18" s="28" t="str">
        <f t="shared" si="1"/>
        <v/>
      </c>
      <c r="M18" s="28">
        <f t="shared" si="2"/>
        <v>1</v>
      </c>
      <c r="N18" s="28">
        <f t="shared" si="3"/>
        <v>0.5636363636363636</v>
      </c>
      <c r="O18" s="7" t="str">
        <f t="shared" si="4"/>
        <v>No Data</v>
      </c>
      <c r="P18" s="13" t="str">
        <f t="shared" si="5"/>
        <v>Valid</v>
      </c>
      <c r="Q18" s="7" t="str">
        <f t="shared" si="6"/>
        <v>No Data</v>
      </c>
    </row>
    <row r="19" spans="1:17" ht="75">
      <c r="A19" s="7" t="str">
        <f>IF(Raw_Data!A19="","",TRIM(SUBSTITUTE(CLEAN(Raw_Data!A19),CHAR(160)," ")))</f>
        <v>Abuja Municipal Area Council</v>
      </c>
      <c r="B19" s="7" t="str">
        <f>IF(Raw_Data!B19="","",TRIM(SUBSTITUTE(CLEAN(Raw_Data!B19),CHAR(160)," ")))</f>
        <v>Kabusa Ward</v>
      </c>
      <c r="C19" s="7" t="str">
        <f>IF(Raw_Data!C19="","",TRIM(SUBSTITUTE(CLEAN(Raw_Data!C19),CHAR(160)," ")))</f>
        <v>Aleiyita Primary Health Care Centre</v>
      </c>
      <c r="D19" s="28">
        <f>IFERROR(IF(COUNT(Raw_Data!D19:O19)=0,"",AVERAGE(Raw_Data!D19:O19)/100),"")</f>
        <v>1</v>
      </c>
      <c r="E19" s="28">
        <f>IFERROR(IF(COUNT(Raw_Data!P19:AA19)=0,"",AVERAGE(Raw_Data!P19:AA19)/100),"")</f>
        <v>0.75</v>
      </c>
      <c r="F19" s="30">
        <f>IFERROR(IF(COUNT(Raw_Data!AB19:AM19)=0,"",SUM(Raw_Data!AB19:AM19)),"")</f>
        <v>244</v>
      </c>
      <c r="G19" s="30">
        <f>IFERROR(IF(COUNT(Raw_Data!AN19:AY19)=0,"",SUM(Raw_Data!AN19:AY19)),"")</f>
        <v>316</v>
      </c>
      <c r="H19" s="30">
        <f>IFERROR(IF(COUNT(Raw_Data!AZ19:BK19)=0,"",SUM(Raw_Data!AZ19:BK19)),"")</f>
        <v>264</v>
      </c>
      <c r="I19" s="30">
        <f>IFERROR(IF(COUNT(Raw_Data!BL19:BW19)=0,"",SUM(Raw_Data!BL19:BW19)),"")</f>
        <v>90</v>
      </c>
      <c r="J19" s="30">
        <f>IFERROR(IF(COUNT(Raw_Data!BX19:CI19)=0,"",SUM(Raw_Data!BX19:CI19)),"")</f>
        <v>4</v>
      </c>
      <c r="K19" s="28">
        <f t="shared" si="0"/>
        <v>1.2950819672131149</v>
      </c>
      <c r="L19" s="28">
        <f t="shared" si="1"/>
        <v>-0.29508196721311475</v>
      </c>
      <c r="M19" s="28">
        <f t="shared" si="2"/>
        <v>0.34090909090909088</v>
      </c>
      <c r="N19" s="28">
        <f t="shared" si="3"/>
        <v>1.5151515151515152E-2</v>
      </c>
      <c r="O19" s="7" t="str">
        <f t="shared" si="4"/>
        <v>Invalid</v>
      </c>
      <c r="P19" s="13" t="str">
        <f t="shared" si="5"/>
        <v>Valid</v>
      </c>
      <c r="Q19" s="7" t="str">
        <f t="shared" si="6"/>
        <v>Invalid</v>
      </c>
    </row>
    <row r="20" spans="1:17" ht="60">
      <c r="A20" s="7" t="str">
        <f>IF(Raw_Data!A20="","",TRIM(SUBSTITUTE(CLEAN(Raw_Data!A20),CHAR(160)," ")))</f>
        <v>Kuje Local Government Area</v>
      </c>
      <c r="B20" s="7" t="str">
        <f>IF(Raw_Data!B20="","",TRIM(SUBSTITUTE(CLEAN(Raw_Data!B20),CHAR(160)," ")))</f>
        <v>Kuje Central Ward</v>
      </c>
      <c r="C20" s="7" t="str">
        <f>IF(Raw_Data!C20="","",TRIM(SUBSTITUTE(CLEAN(Raw_Data!C20),CHAR(160)," ")))</f>
        <v>Alfad Specialist Clinic</v>
      </c>
      <c r="D20" s="28" t="str">
        <f>IFERROR(IF(COUNT(Raw_Data!D20:O20)=0,"",AVERAGE(Raw_Data!D20:O20)/100),"")</f>
        <v/>
      </c>
      <c r="E20" s="28" t="str">
        <f>IFERROR(IF(COUNT(Raw_Data!P20:AA20)=0,"",AVERAGE(Raw_Data!P20:AA20)/100),"")</f>
        <v/>
      </c>
      <c r="F20" s="30" t="str">
        <f>IFERROR(IF(COUNT(Raw_Data!AB20:AM20)=0,"",SUM(Raw_Data!AB20:AM20)),"")</f>
        <v/>
      </c>
      <c r="G20" s="30" t="str">
        <f>IFERROR(IF(COUNT(Raw_Data!AN20:AY20)=0,"",SUM(Raw_Data!AN20:AY20)),"")</f>
        <v/>
      </c>
      <c r="H20" s="30">
        <f>IFERROR(IF(COUNT(Raw_Data!AZ20:BK20)=0,"",SUM(Raw_Data!AZ20:BK20)),"")</f>
        <v>4</v>
      </c>
      <c r="I20" s="30">
        <f>IFERROR(IF(COUNT(Raw_Data!BL20:BW20)=0,"",SUM(Raw_Data!BL20:BW20)),"")</f>
        <v>2</v>
      </c>
      <c r="J20" s="30">
        <f>IFERROR(IF(COUNT(Raw_Data!BX20:CI20)=0,"",SUM(Raw_Data!BX20:CI20)),"")</f>
        <v>3</v>
      </c>
      <c r="K20" s="28" t="str">
        <f t="shared" si="0"/>
        <v/>
      </c>
      <c r="L20" s="28" t="str">
        <f t="shared" si="1"/>
        <v/>
      </c>
      <c r="M20" s="28">
        <f t="shared" si="2"/>
        <v>0.5</v>
      </c>
      <c r="N20" s="28">
        <f t="shared" si="3"/>
        <v>0.75</v>
      </c>
      <c r="O20" s="7" t="str">
        <f t="shared" si="4"/>
        <v>No Data</v>
      </c>
      <c r="P20" s="13" t="str">
        <f t="shared" si="5"/>
        <v>Invalid</v>
      </c>
      <c r="Q20" s="7" t="str">
        <f t="shared" si="6"/>
        <v>No Data</v>
      </c>
    </row>
    <row r="21" spans="1:17" ht="60">
      <c r="A21" s="7" t="str">
        <f>IF(Raw_Data!A21="","",TRIM(SUBSTITUTE(CLEAN(Raw_Data!A21),CHAR(160)," ")))</f>
        <v>Abuja Municipal Area Council</v>
      </c>
      <c r="B21" s="7" t="str">
        <f>IF(Raw_Data!B21="","",TRIM(SUBSTITUTE(CLEAN(Raw_Data!B21),CHAR(160)," ")))</f>
        <v>City Centre Ward</v>
      </c>
      <c r="C21" s="7" t="str">
        <f>IF(Raw_Data!C21="","",TRIM(SUBSTITUTE(CLEAN(Raw_Data!C21),CHAR(160)," ")))</f>
        <v>Alliance Clinic</v>
      </c>
      <c r="D21" s="28">
        <f>IFERROR(IF(COUNT(Raw_Data!D21:O21)=0,"",AVERAGE(Raw_Data!D21:O21)/100),"")</f>
        <v>1</v>
      </c>
      <c r="E21" s="28" t="str">
        <f>IFERROR(IF(COUNT(Raw_Data!P21:AA21)=0,"",AVERAGE(Raw_Data!P21:AA21)/100),"")</f>
        <v/>
      </c>
      <c r="F21" s="30">
        <f>IFERROR(IF(COUNT(Raw_Data!AB21:AM21)=0,"",SUM(Raw_Data!AB21:AM21)),"")</f>
        <v>192</v>
      </c>
      <c r="G21" s="30">
        <f>IFERROR(IF(COUNT(Raw_Data!AN21:AY21)=0,"",SUM(Raw_Data!AN21:AY21)),"")</f>
        <v>172</v>
      </c>
      <c r="H21" s="30">
        <f>IFERROR(IF(COUNT(Raw_Data!AZ21:BK21)=0,"",SUM(Raw_Data!AZ21:BK21)),"")</f>
        <v>158</v>
      </c>
      <c r="I21" s="30">
        <f>IFERROR(IF(COUNT(Raw_Data!BL21:BW21)=0,"",SUM(Raw_Data!BL21:BW21)),"")</f>
        <v>112</v>
      </c>
      <c r="J21" s="30">
        <f>IFERROR(IF(COUNT(Raw_Data!BX21:CI21)=0,"",SUM(Raw_Data!BX21:CI21)),"")</f>
        <v>77</v>
      </c>
      <c r="K21" s="28">
        <f t="shared" si="0"/>
        <v>0.89583333333333337</v>
      </c>
      <c r="L21" s="28">
        <f t="shared" si="1"/>
        <v>0.10416666666666667</v>
      </c>
      <c r="M21" s="28">
        <f t="shared" si="2"/>
        <v>0.70886075949367089</v>
      </c>
      <c r="N21" s="28">
        <f t="shared" si="3"/>
        <v>0.48734177215189872</v>
      </c>
      <c r="O21" s="7" t="str">
        <f t="shared" si="4"/>
        <v>Valid</v>
      </c>
      <c r="P21" s="13" t="str">
        <f t="shared" si="5"/>
        <v>Valid</v>
      </c>
      <c r="Q21" s="7" t="str">
        <f t="shared" si="6"/>
        <v>Valid</v>
      </c>
    </row>
    <row r="22" spans="1:17" ht="150">
      <c r="A22" s="7" t="str">
        <f>IF(Raw_Data!A22="","",TRIM(SUBSTITUTE(CLEAN(Raw_Data!A22),CHAR(160)," ")))</f>
        <v>Gwagwalada Local Government Area</v>
      </c>
      <c r="B22" s="7" t="str">
        <f>IF(Raw_Data!B22="","",TRIM(SUBSTITUTE(CLEAN(Raw_Data!B22),CHAR(160)," ")))</f>
        <v>Quarters Ward</v>
      </c>
      <c r="C22" s="7" t="str">
        <f>IF(Raw_Data!C22="","",TRIM(SUBSTITUTE(CLEAN(Raw_Data!C22),CHAR(160)," ")))</f>
        <v>Allied Specialist Hospital and Diagnostic Center Ltd Gwagwalada</v>
      </c>
      <c r="D22" s="28" t="str">
        <f>IFERROR(IF(COUNT(Raw_Data!D22:O22)=0,"",AVERAGE(Raw_Data!D22:O22)/100),"")</f>
        <v/>
      </c>
      <c r="E22" s="28" t="str">
        <f>IFERROR(IF(COUNT(Raw_Data!P22:AA22)=0,"",AVERAGE(Raw_Data!P22:AA22)/100),"")</f>
        <v/>
      </c>
      <c r="F22" s="30">
        <f>IFERROR(IF(COUNT(Raw_Data!AB22:AM22)=0,"",SUM(Raw_Data!AB22:AM22)),"")</f>
        <v>4</v>
      </c>
      <c r="G22" s="30">
        <f>IFERROR(IF(COUNT(Raw_Data!AN22:AY22)=0,"",SUM(Raw_Data!AN22:AY22)),"")</f>
        <v>4</v>
      </c>
      <c r="H22" s="30">
        <f>IFERROR(IF(COUNT(Raw_Data!AZ22:BK22)=0,"",SUM(Raw_Data!AZ22:BK22)),"")</f>
        <v>39</v>
      </c>
      <c r="I22" s="30">
        <f>IFERROR(IF(COUNT(Raw_Data!BL22:BW22)=0,"",SUM(Raw_Data!BL22:BW22)),"")</f>
        <v>9</v>
      </c>
      <c r="J22" s="30">
        <f>IFERROR(IF(COUNT(Raw_Data!BX22:CI22)=0,"",SUM(Raw_Data!BX22:CI22)),"")</f>
        <v>27</v>
      </c>
      <c r="K22" s="28">
        <f t="shared" si="0"/>
        <v>1</v>
      </c>
      <c r="L22" s="28">
        <f t="shared" si="1"/>
        <v>0</v>
      </c>
      <c r="M22" s="28">
        <f t="shared" si="2"/>
        <v>0.23076923076923078</v>
      </c>
      <c r="N22" s="28">
        <f t="shared" si="3"/>
        <v>0.69230769230769229</v>
      </c>
      <c r="O22" s="7" t="str">
        <f t="shared" si="4"/>
        <v>Valid</v>
      </c>
      <c r="P22" s="13" t="str">
        <f t="shared" si="5"/>
        <v>Invalid</v>
      </c>
      <c r="Q22" s="7" t="str">
        <f t="shared" si="6"/>
        <v>Invalid</v>
      </c>
    </row>
    <row r="23" spans="1:17" ht="75">
      <c r="A23" s="7" t="str">
        <f>IF(Raw_Data!A23="","",TRIM(SUBSTITUTE(CLEAN(Raw_Data!A23),CHAR(160)," ")))</f>
        <v>Kuje Local Government Area</v>
      </c>
      <c r="B23" s="7" t="str">
        <f>IF(Raw_Data!B23="","",TRIM(SUBSTITUTE(CLEAN(Raw_Data!B23),CHAR(160)," ")))</f>
        <v>Chibiri Ward</v>
      </c>
      <c r="C23" s="7" t="str">
        <f>IF(Raw_Data!C23="","",TRIM(SUBSTITUTE(CLEAN(Raw_Data!C23),CHAR(160)," ")))</f>
        <v>Allison Clinic and Maternity</v>
      </c>
      <c r="D23" s="28" t="str">
        <f>IFERROR(IF(COUNT(Raw_Data!D23:O23)=0,"",AVERAGE(Raw_Data!D23:O23)/100),"")</f>
        <v/>
      </c>
      <c r="E23" s="28" t="str">
        <f>IFERROR(IF(COUNT(Raw_Data!P23:AA23)=0,"",AVERAGE(Raw_Data!P23:AA23)/100),"")</f>
        <v/>
      </c>
      <c r="F23" s="30" t="str">
        <f>IFERROR(IF(COUNT(Raw_Data!AB23:AM23)=0,"",SUM(Raw_Data!AB23:AM23)),"")</f>
        <v/>
      </c>
      <c r="G23" s="30" t="str">
        <f>IFERROR(IF(COUNT(Raw_Data!AN23:AY23)=0,"",SUM(Raw_Data!AN23:AY23)),"")</f>
        <v/>
      </c>
      <c r="H23" s="30">
        <f>IFERROR(IF(COUNT(Raw_Data!AZ23:BK23)=0,"",SUM(Raw_Data!AZ23:BK23)),"")</f>
        <v>53</v>
      </c>
      <c r="I23" s="30">
        <f>IFERROR(IF(COUNT(Raw_Data!BL23:BW23)=0,"",SUM(Raw_Data!BL23:BW23)),"")</f>
        <v>23</v>
      </c>
      <c r="J23" s="30">
        <f>IFERROR(IF(COUNT(Raw_Data!BX23:CI23)=0,"",SUM(Raw_Data!BX23:CI23)),"")</f>
        <v>19</v>
      </c>
      <c r="K23" s="28" t="str">
        <f t="shared" si="0"/>
        <v/>
      </c>
      <c r="L23" s="28" t="str">
        <f t="shared" si="1"/>
        <v/>
      </c>
      <c r="M23" s="28">
        <f t="shared" si="2"/>
        <v>0.43396226415094341</v>
      </c>
      <c r="N23" s="28">
        <f t="shared" si="3"/>
        <v>0.35849056603773582</v>
      </c>
      <c r="O23" s="7" t="str">
        <f t="shared" si="4"/>
        <v>No Data</v>
      </c>
      <c r="P23" s="13" t="str">
        <f t="shared" si="5"/>
        <v>Valid</v>
      </c>
      <c r="Q23" s="7" t="str">
        <f t="shared" si="6"/>
        <v>No Data</v>
      </c>
    </row>
    <row r="24" spans="1:17" ht="90">
      <c r="A24" s="7" t="str">
        <f>IF(Raw_Data!A24="","",TRIM(SUBSTITUTE(CLEAN(Raw_Data!A24),CHAR(160)," ")))</f>
        <v>Abaji Local Government Area</v>
      </c>
      <c r="B24" s="7" t="str">
        <f>IF(Raw_Data!B24="","",TRIM(SUBSTITUTE(CLEAN(Raw_Data!B24),CHAR(160)," ")))</f>
        <v>Gawu Ward</v>
      </c>
      <c r="C24" s="7" t="str">
        <f>IF(Raw_Data!C24="","",TRIM(SUBSTITUTE(CLEAN(Raw_Data!C24),CHAR(160)," ")))</f>
        <v>Almadinatu-Nibrass Primary Health Clinic</v>
      </c>
      <c r="D24" s="28">
        <f>IFERROR(IF(COUNT(Raw_Data!D24:O24)=0,"",AVERAGE(Raw_Data!D24:O24)/100),"")</f>
        <v>1</v>
      </c>
      <c r="E24" s="28" t="str">
        <f>IFERROR(IF(COUNT(Raw_Data!P24:AA24)=0,"",AVERAGE(Raw_Data!P24:AA24)/100),"")</f>
        <v/>
      </c>
      <c r="F24" s="30">
        <f>IFERROR(IF(COUNT(Raw_Data!AB24:AM24)=0,"",SUM(Raw_Data!AB24:AM24)),"")</f>
        <v>120</v>
      </c>
      <c r="G24" s="30">
        <f>IFERROR(IF(COUNT(Raw_Data!AN24:AY24)=0,"",SUM(Raw_Data!AN24:AY24)),"")</f>
        <v>116</v>
      </c>
      <c r="H24" s="30">
        <f>IFERROR(IF(COUNT(Raw_Data!AZ24:BK24)=0,"",SUM(Raw_Data!AZ24:BK24)),"")</f>
        <v>71</v>
      </c>
      <c r="I24" s="30">
        <f>IFERROR(IF(COUNT(Raw_Data!BL24:BW24)=0,"",SUM(Raw_Data!BL24:BW24)),"")</f>
        <v>22</v>
      </c>
      <c r="J24" s="30" t="str">
        <f>IFERROR(IF(COUNT(Raw_Data!BX24:CI24)=0,"",SUM(Raw_Data!BX24:CI24)),"")</f>
        <v/>
      </c>
      <c r="K24" s="28">
        <f t="shared" si="0"/>
        <v>0.96666666666666667</v>
      </c>
      <c r="L24" s="28">
        <f t="shared" si="1"/>
        <v>3.3333333333333333E-2</v>
      </c>
      <c r="M24" s="28">
        <f t="shared" si="2"/>
        <v>0.30985915492957744</v>
      </c>
      <c r="N24" s="28" t="str">
        <f t="shared" si="3"/>
        <v/>
      </c>
      <c r="O24" s="7" t="str">
        <f t="shared" si="4"/>
        <v>Valid</v>
      </c>
      <c r="P24" s="13" t="str">
        <f t="shared" si="5"/>
        <v>Incomplete</v>
      </c>
      <c r="Q24" s="7" t="str">
        <f t="shared" si="6"/>
        <v>Incomplete</v>
      </c>
    </row>
    <row r="25" spans="1:17" ht="60">
      <c r="A25" s="7" t="str">
        <f>IF(Raw_Data!A25="","",TRIM(SUBSTITUTE(CLEAN(Raw_Data!A25),CHAR(160)," ")))</f>
        <v>Abuja Municipal Area Council</v>
      </c>
      <c r="B25" s="7" t="str">
        <f>IF(Raw_Data!B25="","",TRIM(SUBSTITUTE(CLEAN(Raw_Data!B25),CHAR(160)," ")))</f>
        <v>Karu Ward</v>
      </c>
      <c r="C25" s="7" t="str">
        <f>IF(Raw_Data!C25="","",TRIM(SUBSTITUTE(CLEAN(Raw_Data!C25),CHAR(160)," ")))</f>
        <v>Alpha Clinic</v>
      </c>
      <c r="D25" s="28" t="str">
        <f>IFERROR(IF(COUNT(Raw_Data!D25:O25)=0,"",AVERAGE(Raw_Data!D25:O25)/100),"")</f>
        <v/>
      </c>
      <c r="E25" s="28" t="str">
        <f>IFERROR(IF(COUNT(Raw_Data!P25:AA25)=0,"",AVERAGE(Raw_Data!P25:AA25)/100),"")</f>
        <v/>
      </c>
      <c r="F25" s="30" t="str">
        <f>IFERROR(IF(COUNT(Raw_Data!AB25:AM25)=0,"",SUM(Raw_Data!AB25:AM25)),"")</f>
        <v/>
      </c>
      <c r="G25" s="30" t="str">
        <f>IFERROR(IF(COUNT(Raw_Data!AN25:AY25)=0,"",SUM(Raw_Data!AN25:AY25)),"")</f>
        <v/>
      </c>
      <c r="H25" s="30">
        <f>IFERROR(IF(COUNT(Raw_Data!AZ25:BK25)=0,"",SUM(Raw_Data!AZ25:BK25)),"")</f>
        <v>8</v>
      </c>
      <c r="I25" s="30">
        <f>IFERROR(IF(COUNT(Raw_Data!BL25:BW25)=0,"",SUM(Raw_Data!BL25:BW25)),"")</f>
        <v>7</v>
      </c>
      <c r="J25" s="30">
        <f>IFERROR(IF(COUNT(Raw_Data!BX25:CI25)=0,"",SUM(Raw_Data!BX25:CI25)),"")</f>
        <v>1</v>
      </c>
      <c r="K25" s="28" t="str">
        <f t="shared" si="0"/>
        <v/>
      </c>
      <c r="L25" s="28" t="str">
        <f t="shared" si="1"/>
        <v/>
      </c>
      <c r="M25" s="28">
        <f t="shared" si="2"/>
        <v>0.875</v>
      </c>
      <c r="N25" s="28">
        <f t="shared" si="3"/>
        <v>0.125</v>
      </c>
      <c r="O25" s="7" t="str">
        <f t="shared" si="4"/>
        <v>No Data</v>
      </c>
      <c r="P25" s="13" t="str">
        <f t="shared" si="5"/>
        <v>Valid</v>
      </c>
      <c r="Q25" s="7" t="str">
        <f t="shared" si="6"/>
        <v>No Data</v>
      </c>
    </row>
    <row r="26" spans="1:17" ht="60">
      <c r="A26" s="7" t="str">
        <f>IF(Raw_Data!A26="","",TRIM(SUBSTITUTE(CLEAN(Raw_Data!A26),CHAR(160)," ")))</f>
        <v>Gwagwalada Local Government Area</v>
      </c>
      <c r="B26" s="7" t="str">
        <f>IF(Raw_Data!B26="","",TRIM(SUBSTITUTE(CLEAN(Raw_Data!B26),CHAR(160)," ")))</f>
        <v>Tungan Maje Ward</v>
      </c>
      <c r="C26" s="7" t="str">
        <f>IF(Raw_Data!C26="","",TRIM(SUBSTITUTE(CLEAN(Raw_Data!C26),CHAR(160)," ")))</f>
        <v>Anagada Health Clinic</v>
      </c>
      <c r="D26" s="28">
        <f>IFERROR(IF(COUNT(Raw_Data!D26:O26)=0,"",AVERAGE(Raw_Data!D26:O26)/100),"")</f>
        <v>0.90277777777777768</v>
      </c>
      <c r="E26" s="28">
        <f>IFERROR(IF(COUNT(Raw_Data!P26:AA26)=0,"",AVERAGE(Raw_Data!P26:AA26)/100),"")</f>
        <v>1</v>
      </c>
      <c r="F26" s="30">
        <f>IFERROR(IF(COUNT(Raw_Data!AB26:AM26)=0,"",SUM(Raw_Data!AB26:AM26)),"")</f>
        <v>446</v>
      </c>
      <c r="G26" s="30">
        <f>IFERROR(IF(COUNT(Raw_Data!AN26:AY26)=0,"",SUM(Raw_Data!AN26:AY26)),"")</f>
        <v>902</v>
      </c>
      <c r="H26" s="30">
        <f>IFERROR(IF(COUNT(Raw_Data!AZ26:BK26)=0,"",SUM(Raw_Data!AZ26:BK26)),"")</f>
        <v>135</v>
      </c>
      <c r="I26" s="30">
        <f>IFERROR(IF(COUNT(Raw_Data!BL26:BW26)=0,"",SUM(Raw_Data!BL26:BW26)),"")</f>
        <v>44</v>
      </c>
      <c r="J26" s="30">
        <f>IFERROR(IF(COUNT(Raw_Data!BX26:CI26)=0,"",SUM(Raw_Data!BX26:CI26)),"")</f>
        <v>2</v>
      </c>
      <c r="K26" s="28">
        <f t="shared" si="0"/>
        <v>2.022421524663677</v>
      </c>
      <c r="L26" s="28">
        <f t="shared" si="1"/>
        <v>-1.0224215246636772</v>
      </c>
      <c r="M26" s="28">
        <f t="shared" si="2"/>
        <v>0.32592592592592595</v>
      </c>
      <c r="N26" s="28">
        <f t="shared" si="3"/>
        <v>1.4814814814814815E-2</v>
      </c>
      <c r="O26" s="7" t="str">
        <f t="shared" si="4"/>
        <v>Invalid</v>
      </c>
      <c r="P26" s="13" t="str">
        <f t="shared" si="5"/>
        <v>Valid</v>
      </c>
      <c r="Q26" s="7" t="str">
        <f t="shared" si="6"/>
        <v>Invalid</v>
      </c>
    </row>
    <row r="27" spans="1:17" ht="75">
      <c r="A27" s="7" t="str">
        <f>IF(Raw_Data!A27="","",TRIM(SUBSTITUTE(CLEAN(Raw_Data!A27),CHAR(160)," ")))</f>
        <v>Gwagwalada Local Government Area</v>
      </c>
      <c r="B27" s="7" t="str">
        <f>IF(Raw_Data!B27="","",TRIM(SUBSTITUTE(CLEAN(Raw_Data!B27),CHAR(160)," ")))</f>
        <v>Central Ward</v>
      </c>
      <c r="C27" s="7" t="str">
        <f>IF(Raw_Data!C27="","",TRIM(SUBSTITUTE(CLEAN(Raw_Data!C27),CHAR(160)," ")))</f>
        <v>Anguwa Dodo Primary Health Centre</v>
      </c>
      <c r="D27" s="28">
        <f>IFERROR(IF(COUNT(Raw_Data!D27:O27)=0,"",AVERAGE(Raw_Data!D27:O27)/100),"")</f>
        <v>0.94318181818181812</v>
      </c>
      <c r="E27" s="28">
        <f>IFERROR(IF(COUNT(Raw_Data!P27:AA27)=0,"",AVERAGE(Raw_Data!P27:AA27)/100),"")</f>
        <v>1</v>
      </c>
      <c r="F27" s="30">
        <f>IFERROR(IF(COUNT(Raw_Data!AB27:AM27)=0,"",SUM(Raw_Data!AB27:AM27)),"")</f>
        <v>457</v>
      </c>
      <c r="G27" s="30">
        <f>IFERROR(IF(COUNT(Raw_Data!AN27:AY27)=0,"",SUM(Raw_Data!AN27:AY27)),"")</f>
        <v>1463</v>
      </c>
      <c r="H27" s="30">
        <f>IFERROR(IF(COUNT(Raw_Data!AZ27:BK27)=0,"",SUM(Raw_Data!AZ27:BK27)),"")</f>
        <v>139</v>
      </c>
      <c r="I27" s="30">
        <f>IFERROR(IF(COUNT(Raw_Data!BL27:BW27)=0,"",SUM(Raw_Data!BL27:BW27)),"")</f>
        <v>34</v>
      </c>
      <c r="J27" s="30">
        <f>IFERROR(IF(COUNT(Raw_Data!BX27:CI27)=0,"",SUM(Raw_Data!BX27:CI27)),"")</f>
        <v>7</v>
      </c>
      <c r="K27" s="28">
        <f t="shared" si="0"/>
        <v>3.201312910284464</v>
      </c>
      <c r="L27" s="28">
        <f t="shared" si="1"/>
        <v>-2.201312910284464</v>
      </c>
      <c r="M27" s="28">
        <f t="shared" si="2"/>
        <v>0.2446043165467626</v>
      </c>
      <c r="N27" s="28">
        <f t="shared" si="3"/>
        <v>5.0359712230215826E-2</v>
      </c>
      <c r="O27" s="7" t="str">
        <f t="shared" si="4"/>
        <v>Invalid</v>
      </c>
      <c r="P27" s="13" t="str">
        <f t="shared" si="5"/>
        <v>Valid</v>
      </c>
      <c r="Q27" s="7" t="str">
        <f t="shared" si="6"/>
        <v>Invalid</v>
      </c>
    </row>
    <row r="28" spans="1:17" ht="60">
      <c r="A28" s="7" t="str">
        <f>IF(Raw_Data!A28="","",TRIM(SUBSTITUTE(CLEAN(Raw_Data!A28),CHAR(160)," ")))</f>
        <v>Abuja Municipal Area Council</v>
      </c>
      <c r="B28" s="7" t="str">
        <f>IF(Raw_Data!B28="","",TRIM(SUBSTITUTE(CLEAN(Raw_Data!B28),CHAR(160)," ")))</f>
        <v>Garki Ward</v>
      </c>
      <c r="C28" s="7" t="str">
        <f>IF(Raw_Data!C28="","",TRIM(SUBSTITUTE(CLEAN(Raw_Data!C28),CHAR(160)," ")))</f>
        <v>Apo Primary Health Centre</v>
      </c>
      <c r="D28" s="28">
        <f>IFERROR(IF(COUNT(Raw_Data!D28:O28)=0,"",AVERAGE(Raw_Data!D28:O28)/100),"")</f>
        <v>1.0454545454545454</v>
      </c>
      <c r="E28" s="28">
        <f>IFERROR(IF(COUNT(Raw_Data!P28:AA28)=0,"",AVERAGE(Raw_Data!P28:AA28)/100),"")</f>
        <v>1.5833363636363638</v>
      </c>
      <c r="F28" s="30">
        <f>IFERROR(IF(COUNT(Raw_Data!AB28:AM28)=0,"",SUM(Raw_Data!AB28:AM28)),"")</f>
        <v>1056</v>
      </c>
      <c r="G28" s="30">
        <f>IFERROR(IF(COUNT(Raw_Data!AN28:AY28)=0,"",SUM(Raw_Data!AN28:AY28)),"")</f>
        <v>1098</v>
      </c>
      <c r="H28" s="30">
        <f>IFERROR(IF(COUNT(Raw_Data!AZ28:BK28)=0,"",SUM(Raw_Data!AZ28:BK28)),"")</f>
        <v>207</v>
      </c>
      <c r="I28" s="30">
        <f>IFERROR(IF(COUNT(Raw_Data!BL28:BW28)=0,"",SUM(Raw_Data!BL28:BW28)),"")</f>
        <v>47</v>
      </c>
      <c r="J28" s="30">
        <f>IFERROR(IF(COUNT(Raw_Data!BX28:CI28)=0,"",SUM(Raw_Data!BX28:CI28)),"")</f>
        <v>5</v>
      </c>
      <c r="K28" s="28">
        <f t="shared" si="0"/>
        <v>1.0397727272727273</v>
      </c>
      <c r="L28" s="28">
        <f t="shared" si="1"/>
        <v>-3.9772727272727272E-2</v>
      </c>
      <c r="M28" s="28">
        <f t="shared" si="2"/>
        <v>0.22705314009661837</v>
      </c>
      <c r="N28" s="28">
        <f t="shared" si="3"/>
        <v>2.4154589371980676E-2</v>
      </c>
      <c r="O28" s="7" t="str">
        <f t="shared" si="4"/>
        <v>Invalid</v>
      </c>
      <c r="P28" s="13" t="str">
        <f t="shared" si="5"/>
        <v>Valid</v>
      </c>
      <c r="Q28" s="7" t="str">
        <f t="shared" si="6"/>
        <v>Invalid</v>
      </c>
    </row>
    <row r="29" spans="1:17" ht="75">
      <c r="A29" s="7" t="str">
        <f>IF(Raw_Data!A29="","",TRIM(SUBSTITUTE(CLEAN(Raw_Data!A29),CHAR(160)," ")))</f>
        <v>Abuja Municipal Area Council</v>
      </c>
      <c r="B29" s="7" t="str">
        <f>IF(Raw_Data!B29="","",TRIM(SUBSTITUTE(CLEAN(Raw_Data!B29),CHAR(160)," ")))</f>
        <v>Karu Ward</v>
      </c>
      <c r="C29" s="7" t="str">
        <f>IF(Raw_Data!C29="","",TRIM(SUBSTITUTE(CLEAN(Raw_Data!C29),CHAR(160)," ")))</f>
        <v>Arewa Clinic and Maternity</v>
      </c>
      <c r="D29" s="28" t="str">
        <f>IFERROR(IF(COUNT(Raw_Data!D29:O29)=0,"",AVERAGE(Raw_Data!D29:O29)/100),"")</f>
        <v/>
      </c>
      <c r="E29" s="28" t="str">
        <f>IFERROR(IF(COUNT(Raw_Data!P29:AA29)=0,"",AVERAGE(Raw_Data!P29:AA29)/100),"")</f>
        <v/>
      </c>
      <c r="F29" s="30">
        <f>IFERROR(IF(COUNT(Raw_Data!AB29:AM29)=0,"",SUM(Raw_Data!AB29:AM29)),"")</f>
        <v>14</v>
      </c>
      <c r="G29" s="30">
        <f>IFERROR(IF(COUNT(Raw_Data!AN29:AY29)=0,"",SUM(Raw_Data!AN29:AY29)),"")</f>
        <v>13</v>
      </c>
      <c r="H29" s="30">
        <f>IFERROR(IF(COUNT(Raw_Data!AZ29:BK29)=0,"",SUM(Raw_Data!AZ29:BK29)),"")</f>
        <v>75</v>
      </c>
      <c r="I29" s="30">
        <f>IFERROR(IF(COUNT(Raw_Data!BL29:BW29)=0,"",SUM(Raw_Data!BL29:BW29)),"")</f>
        <v>20</v>
      </c>
      <c r="J29" s="30">
        <f>IFERROR(IF(COUNT(Raw_Data!BX29:CI29)=0,"",SUM(Raw_Data!BX29:CI29)),"")</f>
        <v>15</v>
      </c>
      <c r="K29" s="28">
        <f t="shared" si="0"/>
        <v>0.9285714285714286</v>
      </c>
      <c r="L29" s="28">
        <f t="shared" si="1"/>
        <v>7.1428571428571425E-2</v>
      </c>
      <c r="M29" s="28">
        <f t="shared" si="2"/>
        <v>0.26666666666666666</v>
      </c>
      <c r="N29" s="28">
        <f t="shared" si="3"/>
        <v>0.2</v>
      </c>
      <c r="O29" s="7" t="str">
        <f t="shared" si="4"/>
        <v>Valid</v>
      </c>
      <c r="P29" s="13" t="str">
        <f t="shared" si="5"/>
        <v>Valid</v>
      </c>
      <c r="Q29" s="7" t="str">
        <f t="shared" si="6"/>
        <v>Valid</v>
      </c>
    </row>
    <row r="30" spans="1:17" ht="60">
      <c r="A30" s="7" t="str">
        <f>IF(Raw_Data!A30="","",TRIM(SUBSTITUTE(CLEAN(Raw_Data!A30),CHAR(160)," ")))</f>
        <v>Gwagwalada Local Government Area</v>
      </c>
      <c r="B30" s="7" t="str">
        <f>IF(Raw_Data!B30="","",TRIM(SUBSTITUTE(CLEAN(Raw_Data!B30),CHAR(160)," ")))</f>
        <v>Ibwa Ward</v>
      </c>
      <c r="C30" s="7" t="str">
        <f>IF(Raw_Data!C30="","",TRIM(SUBSTITUTE(CLEAN(Raw_Data!C30),CHAR(160)," ")))</f>
        <v>Army Barrack Health Centre</v>
      </c>
      <c r="D30" s="28">
        <f>IFERROR(IF(COUNT(Raw_Data!D30:O30)=0,"",AVERAGE(Raw_Data!D30:O30)/100),"")</f>
        <v>1</v>
      </c>
      <c r="E30" s="28">
        <f>IFERROR(IF(COUNT(Raw_Data!P30:AA30)=0,"",AVERAGE(Raw_Data!P30:AA30)/100),"")</f>
        <v>1</v>
      </c>
      <c r="F30" s="30">
        <f>IFERROR(IF(COUNT(Raw_Data!AB30:AM30)=0,"",SUM(Raw_Data!AB30:AM30)),"")</f>
        <v>135</v>
      </c>
      <c r="G30" s="30">
        <f>IFERROR(IF(COUNT(Raw_Data!AN30:AY30)=0,"",SUM(Raw_Data!AN30:AY30)),"")</f>
        <v>456</v>
      </c>
      <c r="H30" s="30">
        <f>IFERROR(IF(COUNT(Raw_Data!AZ30:BK30)=0,"",SUM(Raw_Data!AZ30:BK30)),"")</f>
        <v>63</v>
      </c>
      <c r="I30" s="30">
        <f>IFERROR(IF(COUNT(Raw_Data!BL30:BW30)=0,"",SUM(Raw_Data!BL30:BW30)),"")</f>
        <v>50</v>
      </c>
      <c r="J30" s="30">
        <f>IFERROR(IF(COUNT(Raw_Data!BX30:CI30)=0,"",SUM(Raw_Data!BX30:CI30)),"")</f>
        <v>13</v>
      </c>
      <c r="K30" s="28">
        <f t="shared" si="0"/>
        <v>3.3777777777777778</v>
      </c>
      <c r="L30" s="28">
        <f t="shared" si="1"/>
        <v>-2.3777777777777778</v>
      </c>
      <c r="M30" s="28">
        <f t="shared" si="2"/>
        <v>0.79365079365079361</v>
      </c>
      <c r="N30" s="28">
        <f t="shared" si="3"/>
        <v>0.20634920634920634</v>
      </c>
      <c r="O30" s="7" t="str">
        <f t="shared" si="4"/>
        <v>Invalid</v>
      </c>
      <c r="P30" s="13" t="str">
        <f t="shared" si="5"/>
        <v>Valid</v>
      </c>
      <c r="Q30" s="7" t="str">
        <f t="shared" si="6"/>
        <v>Invalid</v>
      </c>
    </row>
    <row r="31" spans="1:17" ht="60">
      <c r="A31" s="7" t="str">
        <f>IF(Raw_Data!A31="","",TRIM(SUBSTITUTE(CLEAN(Raw_Data!A31),CHAR(160)," ")))</f>
        <v>Kwali Local Government Area</v>
      </c>
      <c r="B31" s="7" t="str">
        <f>IF(Raw_Data!B31="","",TRIM(SUBSTITUTE(CLEAN(Raw_Data!B31),CHAR(160)," ")))</f>
        <v>Ashara Ward</v>
      </c>
      <c r="C31" s="7" t="str">
        <f>IF(Raw_Data!C31="","",TRIM(SUBSTITUTE(CLEAN(Raw_Data!C31),CHAR(160)," ")))</f>
        <v>Ashara Basic Health Clinic</v>
      </c>
      <c r="D31" s="28">
        <f>IFERROR(IF(COUNT(Raw_Data!D31:O31)=0,"",AVERAGE(Raw_Data!D31:O31)/100),"")</f>
        <v>0.93181818181818188</v>
      </c>
      <c r="E31" s="28">
        <f>IFERROR(IF(COUNT(Raw_Data!P31:AA31)=0,"",AVERAGE(Raw_Data!P31:AA31)/100),"")</f>
        <v>0.95</v>
      </c>
      <c r="F31" s="30">
        <f>IFERROR(IF(COUNT(Raw_Data!AB31:AM31)=0,"",SUM(Raw_Data!AB31:AM31)),"")</f>
        <v>451</v>
      </c>
      <c r="G31" s="30">
        <f>IFERROR(IF(COUNT(Raw_Data!AN31:AY31)=0,"",SUM(Raw_Data!AN31:AY31)),"")</f>
        <v>435</v>
      </c>
      <c r="H31" s="30">
        <f>IFERROR(IF(COUNT(Raw_Data!AZ31:BK31)=0,"",SUM(Raw_Data!AZ31:BK31)),"")</f>
        <v>169</v>
      </c>
      <c r="I31" s="30">
        <f>IFERROR(IF(COUNT(Raw_Data!BL31:BW31)=0,"",SUM(Raw_Data!BL31:BW31)),"")</f>
        <v>5</v>
      </c>
      <c r="J31" s="30" t="str">
        <f>IFERROR(IF(COUNT(Raw_Data!BX31:CI31)=0,"",SUM(Raw_Data!BX31:CI31)),"")</f>
        <v/>
      </c>
      <c r="K31" s="28">
        <f t="shared" si="0"/>
        <v>0.96452328159645229</v>
      </c>
      <c r="L31" s="28">
        <f t="shared" si="1"/>
        <v>3.5476718403547672E-2</v>
      </c>
      <c r="M31" s="28">
        <f t="shared" si="2"/>
        <v>2.9585798816568046E-2</v>
      </c>
      <c r="N31" s="28" t="str">
        <f t="shared" si="3"/>
        <v/>
      </c>
      <c r="O31" s="7" t="str">
        <f t="shared" si="4"/>
        <v>Valid</v>
      </c>
      <c r="P31" s="13" t="str">
        <f t="shared" si="5"/>
        <v>Incomplete</v>
      </c>
      <c r="Q31" s="7" t="str">
        <f t="shared" si="6"/>
        <v>Incomplete</v>
      </c>
    </row>
    <row r="32" spans="1:17" ht="60">
      <c r="A32" s="7" t="str">
        <f>IF(Raw_Data!A32="","",TRIM(SUBSTITUTE(CLEAN(Raw_Data!A32),CHAR(160)," ")))</f>
        <v>Abuja Municipal Area Council</v>
      </c>
      <c r="B32" s="7" t="str">
        <f>IF(Raw_Data!B32="","",TRIM(SUBSTITUTE(CLEAN(Raw_Data!B32),CHAR(160)," ")))</f>
        <v>City Centre Ward</v>
      </c>
      <c r="C32" s="7" t="str">
        <f>IF(Raw_Data!C32="","",TRIM(SUBSTITUTE(CLEAN(Raw_Data!C32),CHAR(160)," ")))</f>
        <v>Asokoro General Hospital</v>
      </c>
      <c r="D32" s="28">
        <f>IFERROR(IF(COUNT(Raw_Data!D32:O32)=0,"",AVERAGE(Raw_Data!D32:O32)/100),"")</f>
        <v>0.94708888888888909</v>
      </c>
      <c r="E32" s="28" t="str">
        <f>IFERROR(IF(COUNT(Raw_Data!P32:AA32)=0,"",AVERAGE(Raw_Data!P32:AA32)/100),"")</f>
        <v/>
      </c>
      <c r="F32" s="30">
        <f>IFERROR(IF(COUNT(Raw_Data!AB32:AM32)=0,"",SUM(Raw_Data!AB32:AM32)),"")</f>
        <v>1035</v>
      </c>
      <c r="G32" s="30">
        <f>IFERROR(IF(COUNT(Raw_Data!AN32:AY32)=0,"",SUM(Raw_Data!AN32:AY32)),"")</f>
        <v>1072</v>
      </c>
      <c r="H32" s="30">
        <f>IFERROR(IF(COUNT(Raw_Data!AZ32:BK32)=0,"",SUM(Raw_Data!AZ32:BK32)),"")</f>
        <v>725</v>
      </c>
      <c r="I32" s="30">
        <f>IFERROR(IF(COUNT(Raw_Data!BL32:BW32)=0,"",SUM(Raw_Data!BL32:BW32)),"")</f>
        <v>199</v>
      </c>
      <c r="J32" s="30">
        <f>IFERROR(IF(COUNT(Raw_Data!BX32:CI32)=0,"",SUM(Raw_Data!BX32:CI32)),"")</f>
        <v>94</v>
      </c>
      <c r="K32" s="28">
        <f t="shared" si="0"/>
        <v>1.0357487922705313</v>
      </c>
      <c r="L32" s="28">
        <f t="shared" si="1"/>
        <v>-3.5748792270531404E-2</v>
      </c>
      <c r="M32" s="28">
        <f t="shared" si="2"/>
        <v>0.27448275862068966</v>
      </c>
      <c r="N32" s="28">
        <f t="shared" si="3"/>
        <v>0.1296551724137931</v>
      </c>
      <c r="O32" s="7" t="str">
        <f t="shared" si="4"/>
        <v>Invalid</v>
      </c>
      <c r="P32" s="13" t="str">
        <f t="shared" si="5"/>
        <v>Valid</v>
      </c>
      <c r="Q32" s="7" t="str">
        <f t="shared" si="6"/>
        <v>Invalid</v>
      </c>
    </row>
    <row r="33" spans="1:17" ht="75">
      <c r="A33" s="7" t="str">
        <f>IF(Raw_Data!A33="","",TRIM(SUBSTITUTE(CLEAN(Raw_Data!A33),CHAR(160)," ")))</f>
        <v>Bwari Local Government Area</v>
      </c>
      <c r="B33" s="7" t="str">
        <f>IF(Raw_Data!B33="","",TRIM(SUBSTITUTE(CLEAN(Raw_Data!B33),CHAR(160)," ")))</f>
        <v>Dutse Ward</v>
      </c>
      <c r="C33" s="7" t="str">
        <f>IF(Raw_Data!C33="","",TRIM(SUBSTITUTE(CLEAN(Raw_Data!C33),CHAR(160)," ")))</f>
        <v>Aujo Clinic and Maternity</v>
      </c>
      <c r="D33" s="28" t="str">
        <f>IFERROR(IF(COUNT(Raw_Data!D33:O33)=0,"",AVERAGE(Raw_Data!D33:O33)/100),"")</f>
        <v/>
      </c>
      <c r="E33" s="28" t="str">
        <f>IFERROR(IF(COUNT(Raw_Data!P33:AA33)=0,"",AVERAGE(Raw_Data!P33:AA33)/100),"")</f>
        <v/>
      </c>
      <c r="F33" s="30" t="str">
        <f>IFERROR(IF(COUNT(Raw_Data!AB33:AM33)=0,"",SUM(Raw_Data!AB33:AM33)),"")</f>
        <v/>
      </c>
      <c r="G33" s="30" t="str">
        <f>IFERROR(IF(COUNT(Raw_Data!AN33:AY33)=0,"",SUM(Raw_Data!AN33:AY33)),"")</f>
        <v/>
      </c>
      <c r="H33" s="30">
        <f>IFERROR(IF(COUNT(Raw_Data!AZ33:BK33)=0,"",SUM(Raw_Data!AZ33:BK33)),"")</f>
        <v>22</v>
      </c>
      <c r="I33" s="30">
        <f>IFERROR(IF(COUNT(Raw_Data!BL33:BW33)=0,"",SUM(Raw_Data!BL33:BW33)),"")</f>
        <v>13</v>
      </c>
      <c r="J33" s="30">
        <f>IFERROR(IF(COUNT(Raw_Data!BX33:CI33)=0,"",SUM(Raw_Data!BX33:CI33)),"")</f>
        <v>1</v>
      </c>
      <c r="K33" s="28" t="str">
        <f t="shared" si="0"/>
        <v/>
      </c>
      <c r="L33" s="28" t="str">
        <f t="shared" si="1"/>
        <v/>
      </c>
      <c r="M33" s="28">
        <f t="shared" si="2"/>
        <v>0.59090909090909094</v>
      </c>
      <c r="N33" s="28">
        <f t="shared" si="3"/>
        <v>4.5454545454545456E-2</v>
      </c>
      <c r="O33" s="7" t="str">
        <f t="shared" si="4"/>
        <v>No Data</v>
      </c>
      <c r="P33" s="13" t="str">
        <f t="shared" si="5"/>
        <v>Valid</v>
      </c>
      <c r="Q33" s="7" t="str">
        <f t="shared" si="6"/>
        <v>No Data</v>
      </c>
    </row>
    <row r="34" spans="1:17" ht="60">
      <c r="A34" s="7" t="str">
        <f>IF(Raw_Data!A34="","",TRIM(SUBSTITUTE(CLEAN(Raw_Data!A34),CHAR(160)," ")))</f>
        <v>Abaji Local Government Area</v>
      </c>
      <c r="B34" s="7" t="str">
        <f>IF(Raw_Data!B34="","",TRIM(SUBSTITUTE(CLEAN(Raw_Data!B34),CHAR(160)," ")))</f>
        <v>North East Ward</v>
      </c>
      <c r="C34" s="7" t="str">
        <f>IF(Raw_Data!C34="","",TRIM(SUBSTITUTE(CLEAN(Raw_Data!C34),CHAR(160)," ")))</f>
        <v>Ayaura Primary Health Centre</v>
      </c>
      <c r="D34" s="28">
        <f>IFERROR(IF(COUNT(Raw_Data!D34:O34)=0,"",AVERAGE(Raw_Data!D34:O34)/100),"")</f>
        <v>1</v>
      </c>
      <c r="E34" s="28">
        <f>IFERROR(IF(COUNT(Raw_Data!P34:AA34)=0,"",AVERAGE(Raw_Data!P34:AA34)/100),"")</f>
        <v>0.91363636363636358</v>
      </c>
      <c r="F34" s="30">
        <f>IFERROR(IF(COUNT(Raw_Data!AB34:AM34)=0,"",SUM(Raw_Data!AB34:AM34)),"")</f>
        <v>393</v>
      </c>
      <c r="G34" s="30">
        <f>IFERROR(IF(COUNT(Raw_Data!AN34:AY34)=0,"",SUM(Raw_Data!AN34:AY34)),"")</f>
        <v>411</v>
      </c>
      <c r="H34" s="30">
        <f>IFERROR(IF(COUNT(Raw_Data!AZ34:BK34)=0,"",SUM(Raw_Data!AZ34:BK34)),"")</f>
        <v>402</v>
      </c>
      <c r="I34" s="30">
        <f>IFERROR(IF(COUNT(Raw_Data!BL34:BW34)=0,"",SUM(Raw_Data!BL34:BW34)),"")</f>
        <v>212</v>
      </c>
      <c r="J34" s="30">
        <f>IFERROR(IF(COUNT(Raw_Data!BX34:CI34)=0,"",SUM(Raw_Data!BX34:CI34)),"")</f>
        <v>16</v>
      </c>
      <c r="K34" s="28">
        <f t="shared" si="0"/>
        <v>1.0458015267175573</v>
      </c>
      <c r="L34" s="28">
        <f t="shared" si="1"/>
        <v>-4.5801526717557252E-2</v>
      </c>
      <c r="M34" s="28">
        <f t="shared" si="2"/>
        <v>0.52736318407960203</v>
      </c>
      <c r="N34" s="28">
        <f t="shared" si="3"/>
        <v>3.9800995024875621E-2</v>
      </c>
      <c r="O34" s="7" t="str">
        <f t="shared" si="4"/>
        <v>Invalid</v>
      </c>
      <c r="P34" s="13" t="str">
        <f t="shared" si="5"/>
        <v>Valid</v>
      </c>
      <c r="Q34" s="7" t="str">
        <f t="shared" si="6"/>
        <v>Invalid</v>
      </c>
    </row>
    <row r="35" spans="1:17" ht="60">
      <c r="A35" s="7" t="str">
        <f>IF(Raw_Data!A35="","",TRIM(SUBSTITUTE(CLEAN(Raw_Data!A35),CHAR(160)," ")))</f>
        <v>Kwali Local Government Area</v>
      </c>
      <c r="B35" s="7" t="str">
        <f>IF(Raw_Data!B35="","",TRIM(SUBSTITUTE(CLEAN(Raw_Data!B35),CHAR(160)," ")))</f>
        <v>Pai Ward</v>
      </c>
      <c r="C35" s="7" t="str">
        <f>IF(Raw_Data!C35="","",TRIM(SUBSTITUTE(CLEAN(Raw_Data!C35),CHAR(160)," ")))</f>
        <v>Bako Health Clinic</v>
      </c>
      <c r="D35" s="28">
        <f>IFERROR(IF(COUNT(Raw_Data!D35:O35)=0,"",AVERAGE(Raw_Data!D35:O35)/100),"")</f>
        <v>0.8954545454545455</v>
      </c>
      <c r="E35" s="28">
        <f>IFERROR(IF(COUNT(Raw_Data!P35:AA35)=0,"",AVERAGE(Raw_Data!P35:AA35)/100),"")</f>
        <v>0.95</v>
      </c>
      <c r="F35" s="30">
        <f>IFERROR(IF(COUNT(Raw_Data!AB35:AM35)=0,"",SUM(Raw_Data!AB35:AM35)),"")</f>
        <v>325</v>
      </c>
      <c r="G35" s="30">
        <f>IFERROR(IF(COUNT(Raw_Data!AN35:AY35)=0,"",SUM(Raw_Data!AN35:AY35)),"")</f>
        <v>306</v>
      </c>
      <c r="H35" s="30">
        <f>IFERROR(IF(COUNT(Raw_Data!AZ35:BK35)=0,"",SUM(Raw_Data!AZ35:BK35)),"")</f>
        <v>50</v>
      </c>
      <c r="I35" s="30">
        <f>IFERROR(IF(COUNT(Raw_Data!BL35:BW35)=0,"",SUM(Raw_Data!BL35:BW35)),"")</f>
        <v>2</v>
      </c>
      <c r="J35" s="30" t="str">
        <f>IFERROR(IF(COUNT(Raw_Data!BX35:CI35)=0,"",SUM(Raw_Data!BX35:CI35)),"")</f>
        <v/>
      </c>
      <c r="K35" s="28">
        <f t="shared" si="0"/>
        <v>0.94153846153846155</v>
      </c>
      <c r="L35" s="28">
        <f t="shared" si="1"/>
        <v>5.8461538461538461E-2</v>
      </c>
      <c r="M35" s="28">
        <f t="shared" si="2"/>
        <v>0.04</v>
      </c>
      <c r="N35" s="28" t="str">
        <f t="shared" si="3"/>
        <v/>
      </c>
      <c r="O35" s="7" t="str">
        <f t="shared" si="4"/>
        <v>Valid</v>
      </c>
      <c r="P35" s="13" t="str">
        <f t="shared" si="5"/>
        <v>Incomplete</v>
      </c>
      <c r="Q35" s="7" t="str">
        <f t="shared" si="6"/>
        <v>Incomplete</v>
      </c>
    </row>
    <row r="36" spans="1:17" ht="90">
      <c r="A36" s="7" t="str">
        <f>IF(Raw_Data!A36="","",TRIM(SUBSTITUTE(CLEAN(Raw_Data!A36),CHAR(160)," ")))</f>
        <v>Kwali Local Government Area</v>
      </c>
      <c r="B36" s="7" t="str">
        <f>IF(Raw_Data!B36="","",TRIM(SUBSTITUTE(CLEAN(Raw_Data!B36),CHAR(160)," ")))</f>
        <v>Pai Ward</v>
      </c>
      <c r="C36" s="7" t="str">
        <f>IF(Raw_Data!C36="","",TRIM(SUBSTITUTE(CLEAN(Raw_Data!C36),CHAR(160)," ")))</f>
        <v>Bako Wisdom Clinic and Maternity Home</v>
      </c>
      <c r="D36" s="28" t="str">
        <f>IFERROR(IF(COUNT(Raw_Data!D36:O36)=0,"",AVERAGE(Raw_Data!D36:O36)/100),"")</f>
        <v/>
      </c>
      <c r="E36" s="28" t="str">
        <f>IFERROR(IF(COUNT(Raw_Data!P36:AA36)=0,"",AVERAGE(Raw_Data!P36:AA36)/100),"")</f>
        <v/>
      </c>
      <c r="F36" s="30" t="str">
        <f>IFERROR(IF(COUNT(Raw_Data!AB36:AM36)=0,"",SUM(Raw_Data!AB36:AM36)),"")</f>
        <v/>
      </c>
      <c r="G36" s="30" t="str">
        <f>IFERROR(IF(COUNT(Raw_Data!AN36:AY36)=0,"",SUM(Raw_Data!AN36:AY36)),"")</f>
        <v/>
      </c>
      <c r="H36" s="30">
        <f>IFERROR(IF(COUNT(Raw_Data!AZ36:BK36)=0,"",SUM(Raw_Data!AZ36:BK36)),"")</f>
        <v>63</v>
      </c>
      <c r="I36" s="30">
        <f>IFERROR(IF(COUNT(Raw_Data!BL36:BW36)=0,"",SUM(Raw_Data!BL36:BW36)),"")</f>
        <v>9</v>
      </c>
      <c r="J36" s="30" t="str">
        <f>IFERROR(IF(COUNT(Raw_Data!BX36:CI36)=0,"",SUM(Raw_Data!BX36:CI36)),"")</f>
        <v/>
      </c>
      <c r="K36" s="28" t="str">
        <f t="shared" si="0"/>
        <v/>
      </c>
      <c r="L36" s="28" t="str">
        <f t="shared" si="1"/>
        <v/>
      </c>
      <c r="M36" s="28">
        <f t="shared" si="2"/>
        <v>0.14285714285714285</v>
      </c>
      <c r="N36" s="28" t="str">
        <f t="shared" si="3"/>
        <v/>
      </c>
      <c r="O36" s="7" t="str">
        <f t="shared" si="4"/>
        <v>No Data</v>
      </c>
      <c r="P36" s="13" t="str">
        <f t="shared" si="5"/>
        <v>Incomplete</v>
      </c>
      <c r="Q36" s="7" t="str">
        <f t="shared" si="6"/>
        <v>No Data</v>
      </c>
    </row>
    <row r="37" spans="1:17" ht="75">
      <c r="A37" s="7" t="str">
        <f>IF(Raw_Data!A37="","",TRIM(SUBSTITUTE(CLEAN(Raw_Data!A37),CHAR(160)," ")))</f>
        <v>Bwari Local Government Area</v>
      </c>
      <c r="B37" s="7" t="str">
        <f>IF(Raw_Data!B37="","",TRIM(SUBSTITUTE(CLEAN(Raw_Data!B37),CHAR(160)," ")))</f>
        <v>Bwari Central Ward</v>
      </c>
      <c r="C37" s="7" t="str">
        <f>IF(Raw_Data!C37="","",TRIM(SUBSTITUTE(CLEAN(Raw_Data!C37),CHAR(160)," ")))</f>
        <v>Barangoni Primariy Health Clinic</v>
      </c>
      <c r="D37" s="28">
        <f>IFERROR(IF(COUNT(Raw_Data!D37:O37)=0,"",AVERAGE(Raw_Data!D37:O37)/100),"")</f>
        <v>0.86250000000000004</v>
      </c>
      <c r="E37" s="28">
        <f>IFERROR(IF(COUNT(Raw_Data!P37:AA37)=0,"",AVERAGE(Raw_Data!P37:AA37)/100),"")</f>
        <v>1.5833333333333335</v>
      </c>
      <c r="F37" s="30">
        <f>IFERROR(IF(COUNT(Raw_Data!AB37:AM37)=0,"",SUM(Raw_Data!AB37:AM37)),"")</f>
        <v>249</v>
      </c>
      <c r="G37" s="30">
        <f>IFERROR(IF(COUNT(Raw_Data!AN37:AY37)=0,"",SUM(Raw_Data!AN37:AY37)),"")</f>
        <v>230</v>
      </c>
      <c r="H37" s="30">
        <f>IFERROR(IF(COUNT(Raw_Data!AZ37:BK37)=0,"",SUM(Raw_Data!AZ37:BK37)),"")</f>
        <v>136</v>
      </c>
      <c r="I37" s="30">
        <f>IFERROR(IF(COUNT(Raw_Data!BL37:BW37)=0,"",SUM(Raw_Data!BL37:BW37)),"")</f>
        <v>22</v>
      </c>
      <c r="J37" s="30">
        <f>IFERROR(IF(COUNT(Raw_Data!BX37:CI37)=0,"",SUM(Raw_Data!BX37:CI37)),"")</f>
        <v>25</v>
      </c>
      <c r="K37" s="28">
        <f t="shared" si="0"/>
        <v>0.92369477911646591</v>
      </c>
      <c r="L37" s="28">
        <f t="shared" si="1"/>
        <v>7.6305220883534142E-2</v>
      </c>
      <c r="M37" s="28">
        <f t="shared" si="2"/>
        <v>0.16176470588235295</v>
      </c>
      <c r="N37" s="28">
        <f t="shared" si="3"/>
        <v>0.18382352941176472</v>
      </c>
      <c r="O37" s="7" t="str">
        <f t="shared" si="4"/>
        <v>Valid</v>
      </c>
      <c r="P37" s="13" t="str">
        <f t="shared" si="5"/>
        <v>Invalid</v>
      </c>
      <c r="Q37" s="7" t="str">
        <f t="shared" si="6"/>
        <v>Invalid</v>
      </c>
    </row>
    <row r="38" spans="1:17" ht="60">
      <c r="A38" s="7" t="str">
        <f>IF(Raw_Data!A38="","",TRIM(SUBSTITUTE(CLEAN(Raw_Data!A38),CHAR(160)," ")))</f>
        <v>Abaji Local Government Area</v>
      </c>
      <c r="B38" s="7" t="str">
        <f>IF(Raw_Data!B38="","",TRIM(SUBSTITUTE(CLEAN(Raw_Data!B38),CHAR(160)," ")))</f>
        <v>Gurdi Ward</v>
      </c>
      <c r="C38" s="7" t="str">
        <f>IF(Raw_Data!C38="","",TRIM(SUBSTITUTE(CLEAN(Raw_Data!C38),CHAR(160)," ")))</f>
        <v>Bari-Bari Primary Health Clinic</v>
      </c>
      <c r="D38" s="28">
        <f>IFERROR(IF(COUNT(Raw_Data!D38:O38)=0,"",AVERAGE(Raw_Data!D38:O38)/100),"")</f>
        <v>0.91666249999999994</v>
      </c>
      <c r="E38" s="28">
        <f>IFERROR(IF(COUNT(Raw_Data!P38:AA38)=0,"",AVERAGE(Raw_Data!P38:AA38)/100),"")</f>
        <v>0.95833750000000006</v>
      </c>
      <c r="F38" s="30">
        <f>IFERROR(IF(COUNT(Raw_Data!AB38:AM38)=0,"",SUM(Raw_Data!AB38:AM38)),"")</f>
        <v>235</v>
      </c>
      <c r="G38" s="30">
        <f>IFERROR(IF(COUNT(Raw_Data!AN38:AY38)=0,"",SUM(Raw_Data!AN38:AY38)),"")</f>
        <v>261</v>
      </c>
      <c r="H38" s="30">
        <f>IFERROR(IF(COUNT(Raw_Data!AZ38:BK38)=0,"",SUM(Raw_Data!AZ38:BK38)),"")</f>
        <v>135</v>
      </c>
      <c r="I38" s="30">
        <f>IFERROR(IF(COUNT(Raw_Data!BL38:BW38)=0,"",SUM(Raw_Data!BL38:BW38)),"")</f>
        <v>57</v>
      </c>
      <c r="J38" s="30">
        <f>IFERROR(IF(COUNT(Raw_Data!BX38:CI38)=0,"",SUM(Raw_Data!BX38:CI38)),"")</f>
        <v>72</v>
      </c>
      <c r="K38" s="28">
        <f t="shared" si="0"/>
        <v>1.1106382978723404</v>
      </c>
      <c r="L38" s="28">
        <f t="shared" si="1"/>
        <v>-0.11063829787234042</v>
      </c>
      <c r="M38" s="28">
        <f t="shared" si="2"/>
        <v>0.42222222222222222</v>
      </c>
      <c r="N38" s="28">
        <f t="shared" si="3"/>
        <v>0.53333333333333333</v>
      </c>
      <c r="O38" s="7" t="str">
        <f t="shared" si="4"/>
        <v>Invalid</v>
      </c>
      <c r="P38" s="13" t="str">
        <f t="shared" si="5"/>
        <v>Invalid</v>
      </c>
      <c r="Q38" s="7" t="str">
        <f t="shared" si="6"/>
        <v>Invalid</v>
      </c>
    </row>
    <row r="39" spans="1:17" ht="90">
      <c r="A39" s="7" t="str">
        <f>IF(Raw_Data!A39="","",TRIM(SUBSTITUTE(CLEAN(Raw_Data!A39),CHAR(160)," ")))</f>
        <v>Abuja Municipal Area Council</v>
      </c>
      <c r="B39" s="7" t="str">
        <f>IF(Raw_Data!B39="","",TRIM(SUBSTITUTE(CLEAN(Raw_Data!B39),CHAR(160)," ")))</f>
        <v>Jiwa Ward</v>
      </c>
      <c r="C39" s="7" t="str">
        <f>IF(Raw_Data!C39="","",TRIM(SUBSTITUTE(CLEAN(Raw_Data!C39),CHAR(160)," ")))</f>
        <v>Bassan Jiwan Primary Health Care Centre</v>
      </c>
      <c r="D39" s="28">
        <f>IFERROR(IF(COUNT(Raw_Data!D39:O39)=0,"",AVERAGE(Raw_Data!D39:O39)/100),"")</f>
        <v>0.94090909090909092</v>
      </c>
      <c r="E39" s="28">
        <f>IFERROR(IF(COUNT(Raw_Data!P39:AA39)=0,"",AVERAGE(Raw_Data!P39:AA39)/100),"")</f>
        <v>0.58333333333333337</v>
      </c>
      <c r="F39" s="30">
        <f>IFERROR(IF(COUNT(Raw_Data!AB39:AM39)=0,"",SUM(Raw_Data!AB39:AM39)),"")</f>
        <v>547</v>
      </c>
      <c r="G39" s="30">
        <f>IFERROR(IF(COUNT(Raw_Data!AN39:AY39)=0,"",SUM(Raw_Data!AN39:AY39)),"")</f>
        <v>495</v>
      </c>
      <c r="H39" s="30">
        <f>IFERROR(IF(COUNT(Raw_Data!AZ39:BK39)=0,"",SUM(Raw_Data!AZ39:BK39)),"")</f>
        <v>215</v>
      </c>
      <c r="I39" s="30">
        <f>IFERROR(IF(COUNT(Raw_Data!BL39:BW39)=0,"",SUM(Raw_Data!BL39:BW39)),"")</f>
        <v>82</v>
      </c>
      <c r="J39" s="30">
        <f>IFERROR(IF(COUNT(Raw_Data!BX39:CI39)=0,"",SUM(Raw_Data!BX39:CI39)),"")</f>
        <v>23</v>
      </c>
      <c r="K39" s="28">
        <f t="shared" si="0"/>
        <v>0.90493601462522855</v>
      </c>
      <c r="L39" s="28">
        <f t="shared" si="1"/>
        <v>9.5063985374771481E-2</v>
      </c>
      <c r="M39" s="28">
        <f t="shared" si="2"/>
        <v>0.38139534883720932</v>
      </c>
      <c r="N39" s="28">
        <f t="shared" si="3"/>
        <v>0.10697674418604651</v>
      </c>
      <c r="O39" s="7" t="str">
        <f t="shared" si="4"/>
        <v>Valid</v>
      </c>
      <c r="P39" s="13" t="str">
        <f t="shared" si="5"/>
        <v>Valid</v>
      </c>
      <c r="Q39" s="7" t="str">
        <f t="shared" si="6"/>
        <v>Valid</v>
      </c>
    </row>
    <row r="40" spans="1:17" ht="75">
      <c r="A40" s="7" t="str">
        <f>IF(Raw_Data!A40="","",TRIM(SUBSTITUTE(CLEAN(Raw_Data!A40),CHAR(160)," ")))</f>
        <v>Abuja Municipal Area Council</v>
      </c>
      <c r="B40" s="7" t="str">
        <f>IF(Raw_Data!B40="","",TRIM(SUBSTITUTE(CLEAN(Raw_Data!B40),CHAR(160)," ")))</f>
        <v>City Centre Ward</v>
      </c>
      <c r="C40" s="7" t="str">
        <f>IF(Raw_Data!C40="","",TRIM(SUBSTITUTE(CLEAN(Raw_Data!C40),CHAR(160)," ")))</f>
        <v>Bepos Clinic and Fertility Centre</v>
      </c>
      <c r="D40" s="28" t="str">
        <f>IFERROR(IF(COUNT(Raw_Data!D40:O40)=0,"",AVERAGE(Raw_Data!D40:O40)/100),"")</f>
        <v/>
      </c>
      <c r="E40" s="28" t="str">
        <f>IFERROR(IF(COUNT(Raw_Data!P40:AA40)=0,"",AVERAGE(Raw_Data!P40:AA40)/100),"")</f>
        <v/>
      </c>
      <c r="F40" s="30">
        <f>IFERROR(IF(COUNT(Raw_Data!AB40:AM40)=0,"",SUM(Raw_Data!AB40:AM40)),"")</f>
        <v>123</v>
      </c>
      <c r="G40" s="30">
        <f>IFERROR(IF(COUNT(Raw_Data!AN40:AY40)=0,"",SUM(Raw_Data!AN40:AY40)),"")</f>
        <v>99</v>
      </c>
      <c r="H40" s="30">
        <f>IFERROR(IF(COUNT(Raw_Data!AZ40:BK40)=0,"",SUM(Raw_Data!AZ40:BK40)),"")</f>
        <v>3</v>
      </c>
      <c r="I40" s="30">
        <f>IFERROR(IF(COUNT(Raw_Data!BL40:BW40)=0,"",SUM(Raw_Data!BL40:BW40)),"")</f>
        <v>28</v>
      </c>
      <c r="J40" s="30">
        <f>IFERROR(IF(COUNT(Raw_Data!BX40:CI40)=0,"",SUM(Raw_Data!BX40:CI40)),"")</f>
        <v>17</v>
      </c>
      <c r="K40" s="28">
        <f t="shared" si="0"/>
        <v>0.80487804878048785</v>
      </c>
      <c r="L40" s="28">
        <f t="shared" si="1"/>
        <v>0.1951219512195122</v>
      </c>
      <c r="M40" s="28">
        <f t="shared" si="2"/>
        <v>9.3333333333333339</v>
      </c>
      <c r="N40" s="28">
        <f t="shared" si="3"/>
        <v>5.666666666666667</v>
      </c>
      <c r="O40" s="7" t="str">
        <f t="shared" si="4"/>
        <v>Valid</v>
      </c>
      <c r="P40" s="13" t="str">
        <f t="shared" si="5"/>
        <v>Invalid</v>
      </c>
      <c r="Q40" s="7" t="str">
        <f t="shared" si="6"/>
        <v>Invalid</v>
      </c>
    </row>
    <row r="41" spans="1:17" ht="60">
      <c r="A41" s="7" t="str">
        <f>IF(Raw_Data!A41="","",TRIM(SUBSTITUTE(CLEAN(Raw_Data!A41),CHAR(160)," ")))</f>
        <v>Kuje Local Government Area</v>
      </c>
      <c r="B41" s="7" t="str">
        <f>IF(Raw_Data!B41="","",TRIM(SUBSTITUTE(CLEAN(Raw_Data!B41),CHAR(160)," ")))</f>
        <v>Kujekwa Ward</v>
      </c>
      <c r="C41" s="7" t="str">
        <f>IF(Raw_Data!C41="","",TRIM(SUBSTITUTE(CLEAN(Raw_Data!C41),CHAR(160)," ")))</f>
        <v>Bida Primary Health Centre</v>
      </c>
      <c r="D41" s="28">
        <f>IFERROR(IF(COUNT(Raw_Data!D41:O41)=0,"",AVERAGE(Raw_Data!D41:O41)/100),"")</f>
        <v>1</v>
      </c>
      <c r="E41" s="28">
        <f>IFERROR(IF(COUNT(Raw_Data!P41:AA41)=0,"",AVERAGE(Raw_Data!P41:AA41)/100),"")</f>
        <v>0.96296666666666686</v>
      </c>
      <c r="F41" s="30">
        <f>IFERROR(IF(COUNT(Raw_Data!AB41:AM41)=0,"",SUM(Raw_Data!AB41:AM41)),"")</f>
        <v>118</v>
      </c>
      <c r="G41" s="30">
        <f>IFERROR(IF(COUNT(Raw_Data!AN41:AY41)=0,"",SUM(Raw_Data!AN41:AY41)),"")</f>
        <v>117</v>
      </c>
      <c r="H41" s="30">
        <f>IFERROR(IF(COUNT(Raw_Data!AZ41:BK41)=0,"",SUM(Raw_Data!AZ41:BK41)),"")</f>
        <v>48</v>
      </c>
      <c r="I41" s="30" t="str">
        <f>IFERROR(IF(COUNT(Raw_Data!BL41:BW41)=0,"",SUM(Raw_Data!BL41:BW41)),"")</f>
        <v/>
      </c>
      <c r="J41" s="30" t="str">
        <f>IFERROR(IF(COUNT(Raw_Data!BX41:CI41)=0,"",SUM(Raw_Data!BX41:CI41)),"")</f>
        <v/>
      </c>
      <c r="K41" s="28">
        <f t="shared" si="0"/>
        <v>0.99152542372881358</v>
      </c>
      <c r="L41" s="28">
        <f t="shared" si="1"/>
        <v>8.4745762711864406E-3</v>
      </c>
      <c r="M41" s="28" t="str">
        <f t="shared" si="2"/>
        <v/>
      </c>
      <c r="N41" s="28" t="str">
        <f t="shared" si="3"/>
        <v/>
      </c>
      <c r="O41" s="7" t="str">
        <f t="shared" si="4"/>
        <v>Valid</v>
      </c>
      <c r="P41" s="13" t="str">
        <f t="shared" si="5"/>
        <v>Incomplete</v>
      </c>
      <c r="Q41" s="7" t="str">
        <f t="shared" si="6"/>
        <v>Incomplete</v>
      </c>
    </row>
    <row r="42" spans="1:17" ht="60">
      <c r="A42" s="7" t="str">
        <f>IF(Raw_Data!A42="","",TRIM(SUBSTITUTE(CLEAN(Raw_Data!A42),CHAR(160)," ")))</f>
        <v>Abuja Municipal Area Council</v>
      </c>
      <c r="B42" s="7" t="str">
        <f>IF(Raw_Data!B42="","",TRIM(SUBSTITUTE(CLEAN(Raw_Data!B42),CHAR(160)," ")))</f>
        <v>Nyanya Ward</v>
      </c>
      <c r="C42" s="7" t="str">
        <f>IF(Raw_Data!C42="","",TRIM(SUBSTITUTE(CLEAN(Raw_Data!C42),CHAR(160)," ")))</f>
        <v>Bismol Medical Centre</v>
      </c>
      <c r="D42" s="28">
        <f>IFERROR(IF(COUNT(Raw_Data!D42:O42)=0,"",AVERAGE(Raw_Data!D42:O42)/100),"")</f>
        <v>1</v>
      </c>
      <c r="E42" s="28" t="str">
        <f>IFERROR(IF(COUNT(Raw_Data!P42:AA42)=0,"",AVERAGE(Raw_Data!P42:AA42)/100),"")</f>
        <v/>
      </c>
      <c r="F42" s="30">
        <f>IFERROR(IF(COUNT(Raw_Data!AB42:AM42)=0,"",SUM(Raw_Data!AB42:AM42)),"")</f>
        <v>170</v>
      </c>
      <c r="G42" s="30">
        <f>IFERROR(IF(COUNT(Raw_Data!AN42:AY42)=0,"",SUM(Raw_Data!AN42:AY42)),"")</f>
        <v>181</v>
      </c>
      <c r="H42" s="30">
        <f>IFERROR(IF(COUNT(Raw_Data!AZ42:BK42)=0,"",SUM(Raw_Data!AZ42:BK42)),"")</f>
        <v>35</v>
      </c>
      <c r="I42" s="30">
        <f>IFERROR(IF(COUNT(Raw_Data!BL42:BW42)=0,"",SUM(Raw_Data!BL42:BW42)),"")</f>
        <v>10</v>
      </c>
      <c r="J42" s="30">
        <f>IFERROR(IF(COUNT(Raw_Data!BX42:CI42)=0,"",SUM(Raw_Data!BX42:CI42)),"")</f>
        <v>6</v>
      </c>
      <c r="K42" s="28">
        <f t="shared" si="0"/>
        <v>1.0647058823529412</v>
      </c>
      <c r="L42" s="28">
        <f t="shared" si="1"/>
        <v>-6.4705882352941183E-2</v>
      </c>
      <c r="M42" s="28">
        <f t="shared" si="2"/>
        <v>0.2857142857142857</v>
      </c>
      <c r="N42" s="28">
        <f t="shared" si="3"/>
        <v>0.17142857142857143</v>
      </c>
      <c r="O42" s="7" t="str">
        <f t="shared" si="4"/>
        <v>Invalid</v>
      </c>
      <c r="P42" s="13" t="str">
        <f t="shared" si="5"/>
        <v>Valid</v>
      </c>
      <c r="Q42" s="7" t="str">
        <f t="shared" si="6"/>
        <v>Invalid</v>
      </c>
    </row>
    <row r="43" spans="1:17" ht="60">
      <c r="A43" s="7" t="str">
        <f>IF(Raw_Data!A43="","",TRIM(SUBSTITUTE(CLEAN(Raw_Data!A43),CHAR(160)," ")))</f>
        <v>Kwali Local Government Area</v>
      </c>
      <c r="B43" s="7" t="str">
        <f>IF(Raw_Data!B43="","",TRIM(SUBSTITUTE(CLEAN(Raw_Data!B43),CHAR(160)," ")))</f>
        <v>Wako Ward</v>
      </c>
      <c r="C43" s="7" t="str">
        <f>IF(Raw_Data!C43="","",TRIM(SUBSTITUTE(CLEAN(Raw_Data!C43),CHAR(160)," ")))</f>
        <v>Bukpe Primary Health Clinic</v>
      </c>
      <c r="D43" s="28">
        <f>IFERROR(IF(COUNT(Raw_Data!D43:O43)=0,"",AVERAGE(Raw_Data!D43:O43)/100),"")</f>
        <v>1.2</v>
      </c>
      <c r="E43" s="28">
        <f>IFERROR(IF(COUNT(Raw_Data!P43:AA43)=0,"",AVERAGE(Raw_Data!P43:AA43)/100),"")</f>
        <v>1.1499999999999999</v>
      </c>
      <c r="F43" s="30">
        <f>IFERROR(IF(COUNT(Raw_Data!AB43:AM43)=0,"",SUM(Raw_Data!AB43:AM43)),"")</f>
        <v>181</v>
      </c>
      <c r="G43" s="30">
        <f>IFERROR(IF(COUNT(Raw_Data!AN43:AY43)=0,"",SUM(Raw_Data!AN43:AY43)),"")</f>
        <v>183</v>
      </c>
      <c r="H43" s="30">
        <f>IFERROR(IF(COUNT(Raw_Data!AZ43:BK43)=0,"",SUM(Raw_Data!AZ43:BK43)),"")</f>
        <v>94</v>
      </c>
      <c r="I43" s="30">
        <f>IFERROR(IF(COUNT(Raw_Data!BL43:BW43)=0,"",SUM(Raw_Data!BL43:BW43)),"")</f>
        <v>17</v>
      </c>
      <c r="J43" s="30">
        <f>IFERROR(IF(COUNT(Raw_Data!BX43:CI43)=0,"",SUM(Raw_Data!BX43:CI43)),"")</f>
        <v>6</v>
      </c>
      <c r="K43" s="28">
        <f t="shared" si="0"/>
        <v>1.011049723756906</v>
      </c>
      <c r="L43" s="28">
        <f t="shared" si="1"/>
        <v>-1.1049723756906077E-2</v>
      </c>
      <c r="M43" s="28">
        <f t="shared" si="2"/>
        <v>0.18085106382978725</v>
      </c>
      <c r="N43" s="28">
        <f t="shared" si="3"/>
        <v>6.3829787234042548E-2</v>
      </c>
      <c r="O43" s="7" t="str">
        <f t="shared" si="4"/>
        <v>Invalid</v>
      </c>
      <c r="P43" s="13" t="str">
        <f t="shared" si="5"/>
        <v>Valid</v>
      </c>
      <c r="Q43" s="7" t="str">
        <f t="shared" si="6"/>
        <v>Invalid</v>
      </c>
    </row>
    <row r="44" spans="1:17" ht="60">
      <c r="A44" s="7" t="str">
        <f>IF(Raw_Data!A44="","",TRIM(SUBSTITUTE(CLEAN(Raw_Data!A44),CHAR(160)," ")))</f>
        <v>Abuja Municipal Area Council</v>
      </c>
      <c r="B44" s="7" t="str">
        <f>IF(Raw_Data!B44="","",TRIM(SUBSTITUTE(CLEAN(Raw_Data!B44),CHAR(160)," ")))</f>
        <v>Kabusa Ward</v>
      </c>
      <c r="C44" s="7" t="str">
        <f>IF(Raw_Data!C44="","",TRIM(SUBSTITUTE(CLEAN(Raw_Data!C44),CHAR(160)," ")))</f>
        <v>Burum Health Clinic</v>
      </c>
      <c r="D44" s="28">
        <f>IFERROR(IF(COUNT(Raw_Data!D44:O44)=0,"",AVERAGE(Raw_Data!D44:O44)/100),"")</f>
        <v>0.47727272727272729</v>
      </c>
      <c r="E44" s="28">
        <f>IFERROR(IF(COUNT(Raw_Data!P44:AA44)=0,"",AVERAGE(Raw_Data!P44:AA44)/100),"")</f>
        <v>0.33333333333333337</v>
      </c>
      <c r="F44" s="30">
        <f>IFERROR(IF(COUNT(Raw_Data!AB44:AM44)=0,"",SUM(Raw_Data!AB44:AM44)),"")</f>
        <v>116</v>
      </c>
      <c r="G44" s="30">
        <f>IFERROR(IF(COUNT(Raw_Data!AN44:AY44)=0,"",SUM(Raw_Data!AN44:AY44)),"")</f>
        <v>139</v>
      </c>
      <c r="H44" s="30">
        <f>IFERROR(IF(COUNT(Raw_Data!AZ44:BK44)=0,"",SUM(Raw_Data!AZ44:BK44)),"")</f>
        <v>55</v>
      </c>
      <c r="I44" s="30">
        <f>IFERROR(IF(COUNT(Raw_Data!BL44:BW44)=0,"",SUM(Raw_Data!BL44:BW44)),"")</f>
        <v>11</v>
      </c>
      <c r="J44" s="30" t="str">
        <f>IFERROR(IF(COUNT(Raw_Data!BX44:CI44)=0,"",SUM(Raw_Data!BX44:CI44)),"")</f>
        <v/>
      </c>
      <c r="K44" s="28">
        <f t="shared" si="0"/>
        <v>1.1982758620689655</v>
      </c>
      <c r="L44" s="28">
        <f t="shared" si="1"/>
        <v>-0.19827586206896552</v>
      </c>
      <c r="M44" s="28">
        <f t="shared" si="2"/>
        <v>0.2</v>
      </c>
      <c r="N44" s="28" t="str">
        <f t="shared" si="3"/>
        <v/>
      </c>
      <c r="O44" s="7" t="str">
        <f t="shared" si="4"/>
        <v>Invalid</v>
      </c>
      <c r="P44" s="13" t="str">
        <f t="shared" si="5"/>
        <v>Incomplete</v>
      </c>
      <c r="Q44" s="7" t="str">
        <f t="shared" si="6"/>
        <v>Incomplete</v>
      </c>
    </row>
    <row r="45" spans="1:17" ht="75">
      <c r="A45" s="7" t="str">
        <f>IF(Raw_Data!A45="","",TRIM(SUBSTITUTE(CLEAN(Raw_Data!A45),CHAR(160)," ")))</f>
        <v>Kuje Local Government Area</v>
      </c>
      <c r="B45" s="7" t="str">
        <f>IF(Raw_Data!B45="","",TRIM(SUBSTITUTE(CLEAN(Raw_Data!B45),CHAR(160)," ")))</f>
        <v>Kuje Central Ward</v>
      </c>
      <c r="C45" s="7" t="str">
        <f>IF(Raw_Data!C45="","",TRIM(SUBSTITUTE(CLEAN(Raw_Data!C45),CHAR(160)," ")))</f>
        <v>Buzunkure Primary Health Centre</v>
      </c>
      <c r="D45" s="28">
        <f>IFERROR(IF(COUNT(Raw_Data!D45:O45)=0,"",AVERAGE(Raw_Data!D45:O45)/100),"")</f>
        <v>1</v>
      </c>
      <c r="E45" s="28">
        <f>IFERROR(IF(COUNT(Raw_Data!P45:AA45)=0,"",AVERAGE(Raw_Data!P45:AA45)/100),"")</f>
        <v>1</v>
      </c>
      <c r="F45" s="30">
        <f>IFERROR(IF(COUNT(Raw_Data!AB45:AM45)=0,"",SUM(Raw_Data!AB45:AM45)),"")</f>
        <v>81</v>
      </c>
      <c r="G45" s="30">
        <f>IFERROR(IF(COUNT(Raw_Data!AN45:AY45)=0,"",SUM(Raw_Data!AN45:AY45)),"")</f>
        <v>85</v>
      </c>
      <c r="H45" s="30">
        <f>IFERROR(IF(COUNT(Raw_Data!AZ45:BK45)=0,"",SUM(Raw_Data!AZ45:BK45)),"")</f>
        <v>118</v>
      </c>
      <c r="I45" s="30">
        <f>IFERROR(IF(COUNT(Raw_Data!BL45:BW45)=0,"",SUM(Raw_Data!BL45:BW45)),"")</f>
        <v>26</v>
      </c>
      <c r="J45" s="30">
        <f>IFERROR(IF(COUNT(Raw_Data!BX45:CI45)=0,"",SUM(Raw_Data!BX45:CI45)),"")</f>
        <v>40</v>
      </c>
      <c r="K45" s="28">
        <f t="shared" si="0"/>
        <v>1.0493827160493827</v>
      </c>
      <c r="L45" s="28">
        <f t="shared" si="1"/>
        <v>-4.9382716049382713E-2</v>
      </c>
      <c r="M45" s="28">
        <f t="shared" si="2"/>
        <v>0.22033898305084745</v>
      </c>
      <c r="N45" s="28">
        <f t="shared" si="3"/>
        <v>0.33898305084745761</v>
      </c>
      <c r="O45" s="7" t="str">
        <f t="shared" si="4"/>
        <v>Invalid</v>
      </c>
      <c r="P45" s="13" t="str">
        <f t="shared" si="5"/>
        <v>Invalid</v>
      </c>
      <c r="Q45" s="7" t="str">
        <f t="shared" si="6"/>
        <v>Invalid</v>
      </c>
    </row>
    <row r="46" spans="1:17" ht="60">
      <c r="A46" s="7" t="str">
        <f>IF(Raw_Data!A46="","",TRIM(SUBSTITUTE(CLEAN(Raw_Data!A46),CHAR(160)," ")))</f>
        <v>Bwari Local Government Area</v>
      </c>
      <c r="B46" s="7" t="str">
        <f>IF(Raw_Data!B46="","",TRIM(SUBSTITUTE(CLEAN(Raw_Data!B46),CHAR(160)," ")))</f>
        <v>Bwari Central Ward</v>
      </c>
      <c r="C46" s="7" t="str">
        <f>IF(Raw_Data!C46="","",TRIM(SUBSTITUTE(CLEAN(Raw_Data!C46),CHAR(160)," ")))</f>
        <v>Bwari General Hospital</v>
      </c>
      <c r="D46" s="28">
        <f>IFERROR(IF(COUNT(Raw_Data!D46:O46)=0,"",AVERAGE(Raw_Data!D46:O46)/100),"")</f>
        <v>0.96825000000000006</v>
      </c>
      <c r="E46" s="28" t="str">
        <f>IFERROR(IF(COUNT(Raw_Data!P46:AA46)=0,"",AVERAGE(Raw_Data!P46:AA46)/100),"")</f>
        <v/>
      </c>
      <c r="F46" s="30">
        <f>IFERROR(IF(COUNT(Raw_Data!AB46:AM46)=0,"",SUM(Raw_Data!AB46:AM46)),"")</f>
        <v>1532</v>
      </c>
      <c r="G46" s="30">
        <f>IFERROR(IF(COUNT(Raw_Data!AN46:AY46)=0,"",SUM(Raw_Data!AN46:AY46)),"")</f>
        <v>1435</v>
      </c>
      <c r="H46" s="30">
        <f>IFERROR(IF(COUNT(Raw_Data!AZ46:BK46)=0,"",SUM(Raw_Data!AZ46:BK46)),"")</f>
        <v>1616</v>
      </c>
      <c r="I46" s="30">
        <f>IFERROR(IF(COUNT(Raw_Data!BL46:BW46)=0,"",SUM(Raw_Data!BL46:BW46)),"")</f>
        <v>830</v>
      </c>
      <c r="J46" s="30">
        <f>IFERROR(IF(COUNT(Raw_Data!BX46:CI46)=0,"",SUM(Raw_Data!BX46:CI46)),"")</f>
        <v>140</v>
      </c>
      <c r="K46" s="28">
        <f t="shared" si="0"/>
        <v>0.9366840731070496</v>
      </c>
      <c r="L46" s="28">
        <f t="shared" si="1"/>
        <v>6.3315926892950389E-2</v>
      </c>
      <c r="M46" s="28">
        <f t="shared" si="2"/>
        <v>0.51361386138613863</v>
      </c>
      <c r="N46" s="28">
        <f t="shared" si="3"/>
        <v>8.6633663366336627E-2</v>
      </c>
      <c r="O46" s="7" t="str">
        <f t="shared" si="4"/>
        <v>Valid</v>
      </c>
      <c r="P46" s="13" t="str">
        <f t="shared" si="5"/>
        <v>Valid</v>
      </c>
      <c r="Q46" s="7" t="str">
        <f t="shared" si="6"/>
        <v>Valid</v>
      </c>
    </row>
    <row r="47" spans="1:17" ht="75">
      <c r="A47" s="7" t="str">
        <f>IF(Raw_Data!A47="","",TRIM(SUBSTITUTE(CLEAN(Raw_Data!A47),CHAR(160)," ")))</f>
        <v>Bwari Local Government Area</v>
      </c>
      <c r="B47" s="7" t="str">
        <f>IF(Raw_Data!B47="","",TRIM(SUBSTITUTE(CLEAN(Raw_Data!B47),CHAR(160)," ")))</f>
        <v>Kuduru Ward</v>
      </c>
      <c r="C47" s="7" t="str">
        <f>IF(Raw_Data!C47="","",TRIM(SUBSTITUTE(CLEAN(Raw_Data!C47),CHAR(160)," ")))</f>
        <v>Bwari Town Primary Health Center</v>
      </c>
      <c r="D47" s="28">
        <f>IFERROR(IF(COUNT(Raw_Data!D47:O47)=0,"",AVERAGE(Raw_Data!D47:O47)/100),"")</f>
        <v>0.91288181818181813</v>
      </c>
      <c r="E47" s="28">
        <f>IFERROR(IF(COUNT(Raw_Data!P47:AA47)=0,"",AVERAGE(Raw_Data!P47:AA47)/100),"")</f>
        <v>1.7</v>
      </c>
      <c r="F47" s="30">
        <f>IFERROR(IF(COUNT(Raw_Data!AB47:AM47)=0,"",SUM(Raw_Data!AB47:AM47)),"")</f>
        <v>445</v>
      </c>
      <c r="G47" s="30">
        <f>IFERROR(IF(COUNT(Raw_Data!AN47:AY47)=0,"",SUM(Raw_Data!AN47:AY47)),"")</f>
        <v>457</v>
      </c>
      <c r="H47" s="30">
        <f>IFERROR(IF(COUNT(Raw_Data!AZ47:BK47)=0,"",SUM(Raw_Data!AZ47:BK47)),"")</f>
        <v>413</v>
      </c>
      <c r="I47" s="30">
        <f>IFERROR(IF(COUNT(Raw_Data!BL47:BW47)=0,"",SUM(Raw_Data!BL47:BW47)),"")</f>
        <v>155</v>
      </c>
      <c r="J47" s="30">
        <f>IFERROR(IF(COUNT(Raw_Data!BX47:CI47)=0,"",SUM(Raw_Data!BX47:CI47)),"")</f>
        <v>1</v>
      </c>
      <c r="K47" s="28">
        <f t="shared" si="0"/>
        <v>1.0269662921348315</v>
      </c>
      <c r="L47" s="28">
        <f t="shared" si="1"/>
        <v>-2.6966292134831461E-2</v>
      </c>
      <c r="M47" s="28">
        <f t="shared" si="2"/>
        <v>0.37530266343825663</v>
      </c>
      <c r="N47" s="28">
        <f t="shared" si="3"/>
        <v>2.4213075060532689E-3</v>
      </c>
      <c r="O47" s="7" t="str">
        <f t="shared" si="4"/>
        <v>Invalid</v>
      </c>
      <c r="P47" s="13" t="str">
        <f t="shared" si="5"/>
        <v>Valid</v>
      </c>
      <c r="Q47" s="7" t="str">
        <f t="shared" si="6"/>
        <v>Invalid</v>
      </c>
    </row>
    <row r="48" spans="1:17" ht="60">
      <c r="A48" s="7" t="str">
        <f>IF(Raw_Data!A48="","",TRIM(SUBSTITUTE(CLEAN(Raw_Data!A48),CHAR(160)," ")))</f>
        <v>Bwari Local Government Area</v>
      </c>
      <c r="B48" s="7" t="str">
        <f>IF(Raw_Data!B48="","",TRIM(SUBSTITUTE(CLEAN(Raw_Data!B48),CHAR(160)," ")))</f>
        <v>Byazhin Ward</v>
      </c>
      <c r="C48" s="7" t="str">
        <f>IF(Raw_Data!C48="","",TRIM(SUBSTITUTE(CLEAN(Raw_Data!C48),CHAR(160)," ")))</f>
        <v>Byazhin Primary Health Center</v>
      </c>
      <c r="D48" s="28">
        <f>IFERROR(IF(COUNT(Raw_Data!D48:O48)=0,"",AVERAGE(Raw_Data!D48:O48)/100),"")</f>
        <v>0.97777777777777775</v>
      </c>
      <c r="E48" s="28">
        <f>IFERROR(IF(COUNT(Raw_Data!P48:AA48)=0,"",AVERAGE(Raw_Data!P48:AA48)/100),"")</f>
        <v>0.88888888888888884</v>
      </c>
      <c r="F48" s="30">
        <f>IFERROR(IF(COUNT(Raw_Data!AB48:AM48)=0,"",SUM(Raw_Data!AB48:AM48)),"")</f>
        <v>1274</v>
      </c>
      <c r="G48" s="30">
        <f>IFERROR(IF(COUNT(Raw_Data!AN48:AY48)=0,"",SUM(Raw_Data!AN48:AY48)),"")</f>
        <v>1390</v>
      </c>
      <c r="H48" s="30">
        <f>IFERROR(IF(COUNT(Raw_Data!AZ48:BK48)=0,"",SUM(Raw_Data!AZ48:BK48)),"")</f>
        <v>940</v>
      </c>
      <c r="I48" s="30">
        <f>IFERROR(IF(COUNT(Raw_Data!BL48:BW48)=0,"",SUM(Raw_Data!BL48:BW48)),"")</f>
        <v>448</v>
      </c>
      <c r="J48" s="30">
        <f>IFERROR(IF(COUNT(Raw_Data!BX48:CI48)=0,"",SUM(Raw_Data!BX48:CI48)),"")</f>
        <v>49</v>
      </c>
      <c r="K48" s="28">
        <f t="shared" si="0"/>
        <v>1.0910518053375196</v>
      </c>
      <c r="L48" s="28">
        <f t="shared" si="1"/>
        <v>-9.1051805337519623E-2</v>
      </c>
      <c r="M48" s="28">
        <f t="shared" si="2"/>
        <v>0.47659574468085109</v>
      </c>
      <c r="N48" s="28">
        <f t="shared" si="3"/>
        <v>5.2127659574468084E-2</v>
      </c>
      <c r="O48" s="7" t="str">
        <f t="shared" si="4"/>
        <v>Invalid</v>
      </c>
      <c r="P48" s="13" t="str">
        <f t="shared" si="5"/>
        <v>Valid</v>
      </c>
      <c r="Q48" s="7" t="str">
        <f t="shared" si="6"/>
        <v>Invalid</v>
      </c>
    </row>
    <row r="49" spans="1:17" ht="60">
      <c r="A49" s="7" t="str">
        <f>IF(Raw_Data!A49="","",TRIM(SUBSTITUTE(CLEAN(Raw_Data!A49),CHAR(160)," ")))</f>
        <v>Abuja Municipal Area Council</v>
      </c>
      <c r="B49" s="7" t="str">
        <f>IF(Raw_Data!B49="","",TRIM(SUBSTITUTE(CLEAN(Raw_Data!B49),CHAR(160)," ")))</f>
        <v>Garki Ward</v>
      </c>
      <c r="C49" s="7" t="str">
        <f>IF(Raw_Data!C49="","",TRIM(SUBSTITUTE(CLEAN(Raw_Data!C49),CHAR(160)," ")))</f>
        <v>Cedar Crest Hospital</v>
      </c>
      <c r="D49" s="28" t="str">
        <f>IFERROR(IF(COUNT(Raw_Data!D49:O49)=0,"",AVERAGE(Raw_Data!D49:O49)/100),"")</f>
        <v/>
      </c>
      <c r="E49" s="28" t="str">
        <f>IFERROR(IF(COUNT(Raw_Data!P49:AA49)=0,"",AVERAGE(Raw_Data!P49:AA49)/100),"")</f>
        <v/>
      </c>
      <c r="F49" s="30">
        <f>IFERROR(IF(COUNT(Raw_Data!AB49:AM49)=0,"",SUM(Raw_Data!AB49:AM49)),"")</f>
        <v>132</v>
      </c>
      <c r="G49" s="30">
        <f>IFERROR(IF(COUNT(Raw_Data!AN49:AY49)=0,"",SUM(Raw_Data!AN49:AY49)),"")</f>
        <v>124</v>
      </c>
      <c r="H49" s="30">
        <f>IFERROR(IF(COUNT(Raw_Data!AZ49:BK49)=0,"",SUM(Raw_Data!AZ49:BK49)),"")</f>
        <v>104</v>
      </c>
      <c r="I49" s="30">
        <f>IFERROR(IF(COUNT(Raw_Data!BL49:BW49)=0,"",SUM(Raw_Data!BL49:BW49)),"")</f>
        <v>34</v>
      </c>
      <c r="J49" s="30">
        <f>IFERROR(IF(COUNT(Raw_Data!BX49:CI49)=0,"",SUM(Raw_Data!BX49:CI49)),"")</f>
        <v>23</v>
      </c>
      <c r="K49" s="28">
        <f t="shared" si="0"/>
        <v>0.93939393939393945</v>
      </c>
      <c r="L49" s="28">
        <f t="shared" si="1"/>
        <v>6.0606060606060608E-2</v>
      </c>
      <c r="M49" s="28">
        <f t="shared" si="2"/>
        <v>0.32692307692307693</v>
      </c>
      <c r="N49" s="28">
        <f t="shared" si="3"/>
        <v>0.22115384615384615</v>
      </c>
      <c r="O49" s="7" t="str">
        <f t="shared" si="4"/>
        <v>Valid</v>
      </c>
      <c r="P49" s="13" t="str">
        <f t="shared" si="5"/>
        <v>Valid</v>
      </c>
      <c r="Q49" s="7" t="str">
        <f t="shared" si="6"/>
        <v>Valid</v>
      </c>
    </row>
    <row r="50" spans="1:17" ht="60">
      <c r="A50" s="7" t="str">
        <f>IF(Raw_Data!A50="","",TRIM(SUBSTITUTE(CLEAN(Raw_Data!A50),CHAR(160)," ")))</f>
        <v>Abuja Municipal Area Council</v>
      </c>
      <c r="B50" s="7" t="str">
        <f>IF(Raw_Data!B50="","",TRIM(SUBSTITUTE(CLEAN(Raw_Data!B50),CHAR(160)," ")))</f>
        <v>Garki Ward</v>
      </c>
      <c r="C50" s="7" t="str">
        <f>IF(Raw_Data!C50="","",TRIM(SUBSTITUTE(CLEAN(Raw_Data!C50),CHAR(160)," ")))</f>
        <v>Central Bank of Nigeria Clinic</v>
      </c>
      <c r="D50" s="28">
        <f>IFERROR(IF(COUNT(Raw_Data!D50:O50)=0,"",AVERAGE(Raw_Data!D50:O50)/100),"")</f>
        <v>1</v>
      </c>
      <c r="E50" s="28" t="str">
        <f>IFERROR(IF(COUNT(Raw_Data!P50:AA50)=0,"",AVERAGE(Raw_Data!P50:AA50)/100),"")</f>
        <v/>
      </c>
      <c r="F50" s="30">
        <f>IFERROR(IF(COUNT(Raw_Data!AB50:AM50)=0,"",SUM(Raw_Data!AB50:AM50)),"")</f>
        <v>279</v>
      </c>
      <c r="G50" s="30">
        <f>IFERROR(IF(COUNT(Raw_Data!AN50:AY50)=0,"",SUM(Raw_Data!AN50:AY50)),"")</f>
        <v>309</v>
      </c>
      <c r="H50" s="30">
        <f>IFERROR(IF(COUNT(Raw_Data!AZ50:BK50)=0,"",SUM(Raw_Data!AZ50:BK50)),"")</f>
        <v>209</v>
      </c>
      <c r="I50" s="30">
        <f>IFERROR(IF(COUNT(Raw_Data!BL50:BW50)=0,"",SUM(Raw_Data!BL50:BW50)),"")</f>
        <v>392</v>
      </c>
      <c r="J50" s="30">
        <f>IFERROR(IF(COUNT(Raw_Data!BX50:CI50)=0,"",SUM(Raw_Data!BX50:CI50)),"")</f>
        <v>291</v>
      </c>
      <c r="K50" s="28">
        <f t="shared" si="0"/>
        <v>1.10752688172043</v>
      </c>
      <c r="L50" s="28">
        <f t="shared" si="1"/>
        <v>-0.10752688172043011</v>
      </c>
      <c r="M50" s="28">
        <f t="shared" si="2"/>
        <v>1.8755980861244019</v>
      </c>
      <c r="N50" s="28">
        <f t="shared" si="3"/>
        <v>1.3923444976076556</v>
      </c>
      <c r="O50" s="7" t="str">
        <f t="shared" si="4"/>
        <v>Invalid</v>
      </c>
      <c r="P50" s="13" t="str">
        <f t="shared" si="5"/>
        <v>Invalid</v>
      </c>
      <c r="Q50" s="7" t="str">
        <f t="shared" si="6"/>
        <v>Invalid</v>
      </c>
    </row>
    <row r="51" spans="1:17" ht="60">
      <c r="A51" s="7" t="str">
        <f>IF(Raw_Data!A51="","",TRIM(SUBSTITUTE(CLEAN(Raw_Data!A51),CHAR(160)," ")))</f>
        <v>Kuje Local Government Area</v>
      </c>
      <c r="B51" s="7" t="str">
        <f>IF(Raw_Data!B51="","",TRIM(SUBSTITUTE(CLEAN(Raw_Data!B51),CHAR(160)," ")))</f>
        <v>Chibiri Ward</v>
      </c>
      <c r="C51" s="7" t="str">
        <f>IF(Raw_Data!C51="","",TRIM(SUBSTITUTE(CLEAN(Raw_Data!C51),CHAR(160)," ")))</f>
        <v>Chibiri Primary Health Centre</v>
      </c>
      <c r="D51" s="28">
        <f>IFERROR(IF(COUNT(Raw_Data!D51:O51)=0,"",AVERAGE(Raw_Data!D51:O51)/100),"")</f>
        <v>0.97499999999999998</v>
      </c>
      <c r="E51" s="28">
        <f>IFERROR(IF(COUNT(Raw_Data!P51:AA51)=0,"",AVERAGE(Raw_Data!P51:AA51)/100),"")</f>
        <v>0.94444444444444442</v>
      </c>
      <c r="F51" s="30">
        <f>IFERROR(IF(COUNT(Raw_Data!AB51:AM51)=0,"",SUM(Raw_Data!AB51:AM51)),"")</f>
        <v>353</v>
      </c>
      <c r="G51" s="30">
        <f>IFERROR(IF(COUNT(Raw_Data!AN51:AY51)=0,"",SUM(Raw_Data!AN51:AY51)),"")</f>
        <v>330</v>
      </c>
      <c r="H51" s="30">
        <f>IFERROR(IF(COUNT(Raw_Data!AZ51:BK51)=0,"",SUM(Raw_Data!AZ51:BK51)),"")</f>
        <v>65</v>
      </c>
      <c r="I51" s="30">
        <f>IFERROR(IF(COUNT(Raw_Data!BL51:BW51)=0,"",SUM(Raw_Data!BL51:BW51)),"")</f>
        <v>7</v>
      </c>
      <c r="J51" s="30" t="str">
        <f>IFERROR(IF(COUNT(Raw_Data!BX51:CI51)=0,"",SUM(Raw_Data!BX51:CI51)),"")</f>
        <v/>
      </c>
      <c r="K51" s="28">
        <f t="shared" si="0"/>
        <v>0.93484419263456087</v>
      </c>
      <c r="L51" s="28">
        <f t="shared" si="1"/>
        <v>6.5155807365439092E-2</v>
      </c>
      <c r="M51" s="28">
        <f t="shared" si="2"/>
        <v>0.1076923076923077</v>
      </c>
      <c r="N51" s="28" t="str">
        <f t="shared" si="3"/>
        <v/>
      </c>
      <c r="O51" s="7" t="str">
        <f t="shared" si="4"/>
        <v>Valid</v>
      </c>
      <c r="P51" s="13" t="str">
        <f t="shared" si="5"/>
        <v>Incomplete</v>
      </c>
      <c r="Q51" s="7" t="str">
        <f t="shared" si="6"/>
        <v>Incomplete</v>
      </c>
    </row>
    <row r="52" spans="1:17" ht="75">
      <c r="A52" s="7" t="str">
        <f>IF(Raw_Data!A52="","",TRIM(SUBSTITUTE(CLEAN(Raw_Data!A52),CHAR(160)," ")))</f>
        <v>Gwagwalada Local Government Area</v>
      </c>
      <c r="B52" s="7" t="str">
        <f>IF(Raw_Data!B52="","",TRIM(SUBSTITUTE(CLEAN(Raw_Data!B52),CHAR(160)," ")))</f>
        <v>Zuba Ward</v>
      </c>
      <c r="C52" s="7" t="str">
        <f>IF(Raw_Data!C52="","",TRIM(SUBSTITUTE(CLEAN(Raw_Data!C52),CHAR(160)," ")))</f>
        <v>Chibuzor Clinic And Maternity, Zuba</v>
      </c>
      <c r="D52" s="28" t="str">
        <f>IFERROR(IF(COUNT(Raw_Data!D52:O52)=0,"",AVERAGE(Raw_Data!D52:O52)/100),"")</f>
        <v/>
      </c>
      <c r="E52" s="28" t="str">
        <f>IFERROR(IF(COUNT(Raw_Data!P52:AA52)=0,"",AVERAGE(Raw_Data!P52:AA52)/100),"")</f>
        <v/>
      </c>
      <c r="F52" s="30" t="str">
        <f>IFERROR(IF(COUNT(Raw_Data!AB52:AM52)=0,"",SUM(Raw_Data!AB52:AM52)),"")</f>
        <v/>
      </c>
      <c r="G52" s="30" t="str">
        <f>IFERROR(IF(COUNT(Raw_Data!AN52:AY52)=0,"",SUM(Raw_Data!AN52:AY52)),"")</f>
        <v/>
      </c>
      <c r="H52" s="30">
        <f>IFERROR(IF(COUNT(Raw_Data!AZ52:BK52)=0,"",SUM(Raw_Data!AZ52:BK52)),"")</f>
        <v>49</v>
      </c>
      <c r="I52" s="30">
        <f>IFERROR(IF(COUNT(Raw_Data!BL52:BW52)=0,"",SUM(Raw_Data!BL52:BW52)),"")</f>
        <v>9</v>
      </c>
      <c r="J52" s="30">
        <f>IFERROR(IF(COUNT(Raw_Data!BX52:CI52)=0,"",SUM(Raw_Data!BX52:CI52)),"")</f>
        <v>8</v>
      </c>
      <c r="K52" s="28" t="str">
        <f t="shared" si="0"/>
        <v/>
      </c>
      <c r="L52" s="28" t="str">
        <f t="shared" si="1"/>
        <v/>
      </c>
      <c r="M52" s="28">
        <f t="shared" si="2"/>
        <v>0.18367346938775511</v>
      </c>
      <c r="N52" s="28">
        <f t="shared" si="3"/>
        <v>0.16326530612244897</v>
      </c>
      <c r="O52" s="7" t="str">
        <f t="shared" si="4"/>
        <v>No Data</v>
      </c>
      <c r="P52" s="13" t="str">
        <f t="shared" si="5"/>
        <v>Valid</v>
      </c>
      <c r="Q52" s="7" t="str">
        <f t="shared" si="6"/>
        <v>No Data</v>
      </c>
    </row>
    <row r="53" spans="1:17" ht="60">
      <c r="A53" s="7" t="str">
        <f>IF(Raw_Data!A53="","",TRIM(SUBSTITUTE(CLEAN(Raw_Data!A53),CHAR(160)," ")))</f>
        <v>Kwali Local Government Area</v>
      </c>
      <c r="B53" s="7" t="str">
        <f>IF(Raw_Data!B53="","",TRIM(SUBSTITUTE(CLEAN(Raw_Data!B53),CHAR(160)," ")))</f>
        <v>Wako Ward</v>
      </c>
      <c r="C53" s="7" t="str">
        <f>IF(Raw_Data!C53="","",TRIM(SUBSTITUTE(CLEAN(Raw_Data!C53),CHAR(160)," ")))</f>
        <v>Chida Primary Health Clinic</v>
      </c>
      <c r="D53" s="28">
        <f>IFERROR(IF(COUNT(Raw_Data!D53:O53)=0,"",AVERAGE(Raw_Data!D53:O53)/100),"")</f>
        <v>1.0848454545454544</v>
      </c>
      <c r="E53" s="28">
        <f>IFERROR(IF(COUNT(Raw_Data!P53:AA53)=0,"",AVERAGE(Raw_Data!P53:AA53)/100),"")</f>
        <v>1.0330199999999998</v>
      </c>
      <c r="F53" s="30">
        <f>IFERROR(IF(COUNT(Raw_Data!AB53:AM53)=0,"",SUM(Raw_Data!AB53:AM53)),"")</f>
        <v>111</v>
      </c>
      <c r="G53" s="30">
        <f>IFERROR(IF(COUNT(Raw_Data!AN53:AY53)=0,"",SUM(Raw_Data!AN53:AY53)),"")</f>
        <v>161</v>
      </c>
      <c r="H53" s="30">
        <f>IFERROR(IF(COUNT(Raw_Data!AZ53:BK53)=0,"",SUM(Raw_Data!AZ53:BK53)),"")</f>
        <v>44</v>
      </c>
      <c r="I53" s="30" t="str">
        <f>IFERROR(IF(COUNT(Raw_Data!BL53:BW53)=0,"",SUM(Raw_Data!BL53:BW53)),"")</f>
        <v/>
      </c>
      <c r="J53" s="30" t="str">
        <f>IFERROR(IF(COUNT(Raw_Data!BX53:CI53)=0,"",SUM(Raw_Data!BX53:CI53)),"")</f>
        <v/>
      </c>
      <c r="K53" s="28">
        <f t="shared" si="0"/>
        <v>1.4504504504504505</v>
      </c>
      <c r="L53" s="28">
        <f t="shared" si="1"/>
        <v>-0.45045045045045046</v>
      </c>
      <c r="M53" s="28" t="str">
        <f t="shared" si="2"/>
        <v/>
      </c>
      <c r="N53" s="28" t="str">
        <f t="shared" si="3"/>
        <v/>
      </c>
      <c r="O53" s="7" t="str">
        <f t="shared" si="4"/>
        <v>Invalid</v>
      </c>
      <c r="P53" s="13" t="str">
        <f t="shared" si="5"/>
        <v>Incomplete</v>
      </c>
      <c r="Q53" s="7" t="str">
        <f t="shared" si="6"/>
        <v>Incomplete</v>
      </c>
    </row>
    <row r="54" spans="1:17" ht="75">
      <c r="A54" s="7" t="str">
        <f>IF(Raw_Data!A54="","",TRIM(SUBSTITUTE(CLEAN(Raw_Data!A54),CHAR(160)," ")))</f>
        <v>Bwari Local Government Area</v>
      </c>
      <c r="B54" s="7" t="str">
        <f>IF(Raw_Data!B54="","",TRIM(SUBSTITUTE(CLEAN(Raw_Data!B54),CHAR(160)," ")))</f>
        <v>Byazhin Ward</v>
      </c>
      <c r="C54" s="7" t="str">
        <f>IF(Raw_Data!C54="","",TRIM(SUBSTITUTE(CLEAN(Raw_Data!C54),CHAR(160)," ")))</f>
        <v>Chikakore Primary Health Clinic</v>
      </c>
      <c r="D54" s="28">
        <f>IFERROR(IF(COUNT(Raw_Data!D54:O54)=0,"",AVERAGE(Raw_Data!D54:O54)/100),"")</f>
        <v>1</v>
      </c>
      <c r="E54" s="28">
        <f>IFERROR(IF(COUNT(Raw_Data!P54:AA54)=0,"",AVERAGE(Raw_Data!P54:AA54)/100),"")</f>
        <v>1</v>
      </c>
      <c r="F54" s="30">
        <f>IFERROR(IF(COUNT(Raw_Data!AB54:AM54)=0,"",SUM(Raw_Data!AB54:AM54)),"")</f>
        <v>116</v>
      </c>
      <c r="G54" s="30">
        <f>IFERROR(IF(COUNT(Raw_Data!AN54:AY54)=0,"",SUM(Raw_Data!AN54:AY54)),"")</f>
        <v>118</v>
      </c>
      <c r="H54" s="30">
        <f>IFERROR(IF(COUNT(Raw_Data!AZ54:BK54)=0,"",SUM(Raw_Data!AZ54:BK54)),"")</f>
        <v>62</v>
      </c>
      <c r="I54" s="30">
        <f>IFERROR(IF(COUNT(Raw_Data!BL54:BW54)=0,"",SUM(Raw_Data!BL54:BW54)),"")</f>
        <v>9</v>
      </c>
      <c r="J54" s="30" t="str">
        <f>IFERROR(IF(COUNT(Raw_Data!BX54:CI54)=0,"",SUM(Raw_Data!BX54:CI54)),"")</f>
        <v/>
      </c>
      <c r="K54" s="28">
        <f t="shared" si="0"/>
        <v>1.0172413793103448</v>
      </c>
      <c r="L54" s="28">
        <f t="shared" si="1"/>
        <v>-1.7241379310344827E-2</v>
      </c>
      <c r="M54" s="28">
        <f t="shared" si="2"/>
        <v>0.14516129032258066</v>
      </c>
      <c r="N54" s="28" t="str">
        <f t="shared" si="3"/>
        <v/>
      </c>
      <c r="O54" s="7" t="str">
        <f t="shared" si="4"/>
        <v>Invalid</v>
      </c>
      <c r="P54" s="13" t="str">
        <f t="shared" si="5"/>
        <v>Incomplete</v>
      </c>
      <c r="Q54" s="7" t="str">
        <f t="shared" si="6"/>
        <v>Incomplete</v>
      </c>
    </row>
    <row r="55" spans="1:17" ht="60">
      <c r="A55" s="7" t="str">
        <f>IF(Raw_Data!A55="","",TRIM(SUBSTITUTE(CLEAN(Raw_Data!A55),CHAR(160)," ")))</f>
        <v>Abuja Municipal Area Council</v>
      </c>
      <c r="B55" s="7" t="str">
        <f>IF(Raw_Data!B55="","",TRIM(SUBSTITUTE(CLEAN(Raw_Data!B55),CHAR(160)," ")))</f>
        <v>Wuse Ward</v>
      </c>
      <c r="C55" s="7" t="str">
        <f>IF(Raw_Data!C55="","",TRIM(SUBSTITUTE(CLEAN(Raw_Data!C55),CHAR(160)," ")))</f>
        <v>Children Care and Wellness Clinic</v>
      </c>
      <c r="D55" s="28" t="str">
        <f>IFERROR(IF(COUNT(Raw_Data!D55:O55)=0,"",AVERAGE(Raw_Data!D55:O55)/100),"")</f>
        <v/>
      </c>
      <c r="E55" s="28" t="str">
        <f>IFERROR(IF(COUNT(Raw_Data!P55:AA55)=0,"",AVERAGE(Raw_Data!P55:AA55)/100),"")</f>
        <v/>
      </c>
      <c r="F55" s="30">
        <f>IFERROR(IF(COUNT(Raw_Data!AB55:AM55)=0,"",SUM(Raw_Data!AB55:AM55)),"")</f>
        <v>82</v>
      </c>
      <c r="G55" s="30">
        <f>IFERROR(IF(COUNT(Raw_Data!AN55:AY55)=0,"",SUM(Raw_Data!AN55:AY55)),"")</f>
        <v>100</v>
      </c>
      <c r="H55" s="30">
        <f>IFERROR(IF(COUNT(Raw_Data!AZ55:BK55)=0,"",SUM(Raw_Data!AZ55:BK55)),"")</f>
        <v>26</v>
      </c>
      <c r="I55" s="30" t="str">
        <f>IFERROR(IF(COUNT(Raw_Data!BL55:BW55)=0,"",SUM(Raw_Data!BL55:BW55)),"")</f>
        <v/>
      </c>
      <c r="J55" s="30" t="str">
        <f>IFERROR(IF(COUNT(Raw_Data!BX55:CI55)=0,"",SUM(Raw_Data!BX55:CI55)),"")</f>
        <v/>
      </c>
      <c r="K55" s="28">
        <f t="shared" si="0"/>
        <v>1.2195121951219512</v>
      </c>
      <c r="L55" s="28">
        <f t="shared" si="1"/>
        <v>-0.21951219512195122</v>
      </c>
      <c r="M55" s="28" t="str">
        <f t="shared" si="2"/>
        <v/>
      </c>
      <c r="N55" s="28" t="str">
        <f t="shared" si="3"/>
        <v/>
      </c>
      <c r="O55" s="7" t="str">
        <f t="shared" si="4"/>
        <v>Invalid</v>
      </c>
      <c r="P55" s="13" t="str">
        <f t="shared" si="5"/>
        <v>Incomplete</v>
      </c>
      <c r="Q55" s="7" t="str">
        <f t="shared" si="6"/>
        <v>Incomplete</v>
      </c>
    </row>
    <row r="56" spans="1:17" ht="60">
      <c r="A56" s="7" t="str">
        <f>IF(Raw_Data!A56="","",TRIM(SUBSTITUTE(CLEAN(Raw_Data!A56),CHAR(160)," ")))</f>
        <v>Gwagwalada Local Government Area</v>
      </c>
      <c r="B56" s="7" t="str">
        <f>IF(Raw_Data!B56="","",TRIM(SUBSTITUTE(CLEAN(Raw_Data!B56),CHAR(160)," ")))</f>
        <v>Ikwa Ward</v>
      </c>
      <c r="C56" s="7" t="str">
        <f>IF(Raw_Data!C56="","",TRIM(SUBSTITUTE(CLEAN(Raw_Data!C56),CHAR(160)," ")))</f>
        <v>Chitumu Primary Health Clinic</v>
      </c>
      <c r="D56" s="28">
        <f>IFERROR(IF(COUNT(Raw_Data!D56:O56)=0,"",AVERAGE(Raw_Data!D56:O56)/100),"")</f>
        <v>0.72727272727272729</v>
      </c>
      <c r="E56" s="28">
        <f>IFERROR(IF(COUNT(Raw_Data!P56:AA56)=0,"",AVERAGE(Raw_Data!P56:AA56)/100),"")</f>
        <v>0.5</v>
      </c>
      <c r="F56" s="30">
        <f>IFERROR(IF(COUNT(Raw_Data!AB56:AM56)=0,"",SUM(Raw_Data!AB56:AM56)),"")</f>
        <v>149</v>
      </c>
      <c r="G56" s="30">
        <f>IFERROR(IF(COUNT(Raw_Data!AN56:AY56)=0,"",SUM(Raw_Data!AN56:AY56)),"")</f>
        <v>178</v>
      </c>
      <c r="H56" s="30">
        <f>IFERROR(IF(COUNT(Raw_Data!AZ56:BK56)=0,"",SUM(Raw_Data!AZ56:BK56)),"")</f>
        <v>72</v>
      </c>
      <c r="I56" s="30">
        <f>IFERROR(IF(COUNT(Raw_Data!BL56:BW56)=0,"",SUM(Raw_Data!BL56:BW56)),"")</f>
        <v>94</v>
      </c>
      <c r="J56" s="30" t="str">
        <f>IFERROR(IF(COUNT(Raw_Data!BX56:CI56)=0,"",SUM(Raw_Data!BX56:CI56)),"")</f>
        <v/>
      </c>
      <c r="K56" s="28">
        <f t="shared" si="0"/>
        <v>1.1946308724832215</v>
      </c>
      <c r="L56" s="28">
        <f t="shared" si="1"/>
        <v>-0.19463087248322147</v>
      </c>
      <c r="M56" s="28">
        <f t="shared" si="2"/>
        <v>1.3055555555555556</v>
      </c>
      <c r="N56" s="28" t="str">
        <f t="shared" si="3"/>
        <v/>
      </c>
      <c r="O56" s="7" t="str">
        <f t="shared" si="4"/>
        <v>Invalid</v>
      </c>
      <c r="P56" s="13" t="str">
        <f t="shared" si="5"/>
        <v>Incomplete</v>
      </c>
      <c r="Q56" s="7" t="str">
        <f t="shared" si="6"/>
        <v>Incomplete</v>
      </c>
    </row>
    <row r="57" spans="1:17" ht="75">
      <c r="A57" s="7" t="str">
        <f>IF(Raw_Data!A57="","",TRIM(SUBSTITUTE(CLEAN(Raw_Data!A57),CHAR(160)," ")))</f>
        <v>Abuja Municipal Area Council</v>
      </c>
      <c r="B57" s="7" t="str">
        <f>IF(Raw_Data!B57="","",TRIM(SUBSTITUTE(CLEAN(Raw_Data!B57),CHAR(160)," ")))</f>
        <v>Orozo Ward</v>
      </c>
      <c r="C57" s="7" t="str">
        <f>IF(Raw_Data!C57="","",TRIM(SUBSTITUTE(CLEAN(Raw_Data!C57),CHAR(160)," ")))</f>
        <v>Chorin-Bisa Primary Health Centre</v>
      </c>
      <c r="D57" s="28">
        <f>IFERROR(IF(COUNT(Raw_Data!D57:O57)=0,"",AVERAGE(Raw_Data!D57:O57)/100),"")</f>
        <v>0.93181818181818188</v>
      </c>
      <c r="E57" s="28" t="str">
        <f>IFERROR(IF(COUNT(Raw_Data!P57:AA57)=0,"",AVERAGE(Raw_Data!P57:AA57)/100),"")</f>
        <v/>
      </c>
      <c r="F57" s="30">
        <f>IFERROR(IF(COUNT(Raw_Data!AB57:AM57)=0,"",SUM(Raw_Data!AB57:AM57)),"")</f>
        <v>124</v>
      </c>
      <c r="G57" s="30">
        <f>IFERROR(IF(COUNT(Raw_Data!AN57:AY57)=0,"",SUM(Raw_Data!AN57:AY57)),"")</f>
        <v>143</v>
      </c>
      <c r="H57" s="30">
        <f>IFERROR(IF(COUNT(Raw_Data!AZ57:BK57)=0,"",SUM(Raw_Data!AZ57:BK57)),"")</f>
        <v>107</v>
      </c>
      <c r="I57" s="30">
        <f>IFERROR(IF(COUNT(Raw_Data!BL57:BW57)=0,"",SUM(Raw_Data!BL57:BW57)),"")</f>
        <v>18</v>
      </c>
      <c r="J57" s="30" t="str">
        <f>IFERROR(IF(COUNT(Raw_Data!BX57:CI57)=0,"",SUM(Raw_Data!BX57:CI57)),"")</f>
        <v/>
      </c>
      <c r="K57" s="28">
        <f t="shared" si="0"/>
        <v>1.153225806451613</v>
      </c>
      <c r="L57" s="28">
        <f t="shared" si="1"/>
        <v>-0.15322580645161291</v>
      </c>
      <c r="M57" s="28">
        <f t="shared" si="2"/>
        <v>0.16822429906542055</v>
      </c>
      <c r="N57" s="28" t="str">
        <f t="shared" si="3"/>
        <v/>
      </c>
      <c r="O57" s="7" t="str">
        <f t="shared" si="4"/>
        <v>Invalid</v>
      </c>
      <c r="P57" s="13" t="str">
        <f t="shared" si="5"/>
        <v>Incomplete</v>
      </c>
      <c r="Q57" s="7" t="str">
        <f t="shared" si="6"/>
        <v>Incomplete</v>
      </c>
    </row>
    <row r="58" spans="1:17" ht="60">
      <c r="A58" s="7" t="str">
        <f>IF(Raw_Data!A58="","",TRIM(SUBSTITUTE(CLEAN(Raw_Data!A58),CHAR(160)," ")))</f>
        <v>Kuje Local Government Area</v>
      </c>
      <c r="B58" s="7" t="str">
        <f>IF(Raw_Data!B58="","",TRIM(SUBSTITUTE(CLEAN(Raw_Data!B58),CHAR(160)," ")))</f>
        <v>Chibiri Ward</v>
      </c>
      <c r="C58" s="7" t="str">
        <f>IF(Raw_Data!C58="","",TRIM(SUBSTITUTE(CLEAN(Raw_Data!C58),CHAR(160)," ")))</f>
        <v>Chukuku Primary Health Centre</v>
      </c>
      <c r="D58" s="28">
        <f>IFERROR(IF(COUNT(Raw_Data!D58:O58)=0,"",AVERAGE(Raw_Data!D58:O58)/100),"")</f>
        <v>0.97499999999999998</v>
      </c>
      <c r="E58" s="28">
        <f>IFERROR(IF(COUNT(Raw_Data!P58:AA58)=0,"",AVERAGE(Raw_Data!P58:AA58)/100),"")</f>
        <v>1</v>
      </c>
      <c r="F58" s="30">
        <f>IFERROR(IF(COUNT(Raw_Data!AB58:AM58)=0,"",SUM(Raw_Data!AB58:AM58)),"")</f>
        <v>373</v>
      </c>
      <c r="G58" s="30">
        <f>IFERROR(IF(COUNT(Raw_Data!AN58:AY58)=0,"",SUM(Raw_Data!AN58:AY58)),"")</f>
        <v>419</v>
      </c>
      <c r="H58" s="30">
        <f>IFERROR(IF(COUNT(Raw_Data!AZ58:BK58)=0,"",SUM(Raw_Data!AZ58:BK58)),"")</f>
        <v>260</v>
      </c>
      <c r="I58" s="30">
        <f>IFERROR(IF(COUNT(Raw_Data!BL58:BW58)=0,"",SUM(Raw_Data!BL58:BW58)),"")</f>
        <v>134</v>
      </c>
      <c r="J58" s="30">
        <f>IFERROR(IF(COUNT(Raw_Data!BX58:CI58)=0,"",SUM(Raw_Data!BX58:CI58)),"")</f>
        <v>22</v>
      </c>
      <c r="K58" s="28">
        <f t="shared" si="0"/>
        <v>1.1233243967828419</v>
      </c>
      <c r="L58" s="28">
        <f t="shared" si="1"/>
        <v>-0.12332439678284182</v>
      </c>
      <c r="M58" s="28">
        <f t="shared" si="2"/>
        <v>0.51538461538461533</v>
      </c>
      <c r="N58" s="28">
        <f t="shared" si="3"/>
        <v>8.461538461538462E-2</v>
      </c>
      <c r="O58" s="7" t="str">
        <f t="shared" si="4"/>
        <v>Invalid</v>
      </c>
      <c r="P58" s="13" t="str">
        <f t="shared" si="5"/>
        <v>Valid</v>
      </c>
      <c r="Q58" s="7" t="str">
        <f t="shared" si="6"/>
        <v>Invalid</v>
      </c>
    </row>
    <row r="59" spans="1:17" ht="75">
      <c r="A59" s="7" t="str">
        <f>IF(Raw_Data!A59="","",TRIM(SUBSTITUTE(CLEAN(Raw_Data!A59),CHAR(160)," ")))</f>
        <v>Kwali Local Government Area</v>
      </c>
      <c r="B59" s="7" t="str">
        <f>IF(Raw_Data!B59="","",TRIM(SUBSTITUTE(CLEAN(Raw_Data!B59),CHAR(160)," ")))</f>
        <v>Kilankwa Ward</v>
      </c>
      <c r="C59" s="7" t="str">
        <f>IF(Raw_Data!C59="","",TRIM(SUBSTITUTE(CLEAN(Raw_Data!C59),CHAR(160)," ")))</f>
        <v>Chukuku Tsoho Primary Health Entre</v>
      </c>
      <c r="D59" s="28">
        <f>IFERROR(IF(COUNT(Raw_Data!D59:O59)=0,"",AVERAGE(Raw_Data!D59:O59)/100),"")</f>
        <v>1</v>
      </c>
      <c r="E59" s="28">
        <f>IFERROR(IF(COUNT(Raw_Data!P59:AA59)=0,"",AVERAGE(Raw_Data!P59:AA59)/100),"")</f>
        <v>1</v>
      </c>
      <c r="F59" s="30">
        <f>IFERROR(IF(COUNT(Raw_Data!AB59:AM59)=0,"",SUM(Raw_Data!AB59:AM59)),"")</f>
        <v>197</v>
      </c>
      <c r="G59" s="30">
        <f>IFERROR(IF(COUNT(Raw_Data!AN59:AY59)=0,"",SUM(Raw_Data!AN59:AY59)),"")</f>
        <v>190</v>
      </c>
      <c r="H59" s="30">
        <f>IFERROR(IF(COUNT(Raw_Data!AZ59:BK59)=0,"",SUM(Raw_Data!AZ59:BK59)),"")</f>
        <v>28</v>
      </c>
      <c r="I59" s="30">
        <f>IFERROR(IF(COUNT(Raw_Data!BL59:BW59)=0,"",SUM(Raw_Data!BL59:BW59)),"")</f>
        <v>33</v>
      </c>
      <c r="J59" s="30">
        <f>IFERROR(IF(COUNT(Raw_Data!BX59:CI59)=0,"",SUM(Raw_Data!BX59:CI59)),"")</f>
        <v>19</v>
      </c>
      <c r="K59" s="28">
        <f t="shared" si="0"/>
        <v>0.96446700507614214</v>
      </c>
      <c r="L59" s="28">
        <f t="shared" si="1"/>
        <v>3.553299492385787E-2</v>
      </c>
      <c r="M59" s="28">
        <f t="shared" si="2"/>
        <v>1.1785714285714286</v>
      </c>
      <c r="N59" s="28">
        <f t="shared" si="3"/>
        <v>0.6785714285714286</v>
      </c>
      <c r="O59" s="7" t="str">
        <f t="shared" si="4"/>
        <v>Valid</v>
      </c>
      <c r="P59" s="13" t="str">
        <f t="shared" si="5"/>
        <v>Invalid</v>
      </c>
      <c r="Q59" s="7" t="str">
        <f t="shared" si="6"/>
        <v>Invalid</v>
      </c>
    </row>
    <row r="60" spans="1:17" ht="75">
      <c r="A60" s="7" t="str">
        <f>IF(Raw_Data!A60="","",TRIM(SUBSTITUTE(CLEAN(Raw_Data!A60),CHAR(160)," ")))</f>
        <v>Abuja Municipal Area Council</v>
      </c>
      <c r="B60" s="7" t="str">
        <f>IF(Raw_Data!B60="","",TRIM(SUBSTITUTE(CLEAN(Raw_Data!B60),CHAR(160)," ")))</f>
        <v>Orozo Ward</v>
      </c>
      <c r="C60" s="7" t="str">
        <f>IF(Raw_Data!C60="","",TRIM(SUBSTITUTE(CLEAN(Raw_Data!C60),CHAR(160)," ")))</f>
        <v>Cornelia Clinic and Maternity</v>
      </c>
      <c r="D60" s="28">
        <f>IFERROR(IF(COUNT(Raw_Data!D60:O60)=0,"",AVERAGE(Raw_Data!D60:O60)/100),"")</f>
        <v>1</v>
      </c>
      <c r="E60" s="28" t="str">
        <f>IFERROR(IF(COUNT(Raw_Data!P60:AA60)=0,"",AVERAGE(Raw_Data!P60:AA60)/100),"")</f>
        <v/>
      </c>
      <c r="F60" s="30">
        <f>IFERROR(IF(COUNT(Raw_Data!AB60:AM60)=0,"",SUM(Raw_Data!AB60:AM60)),"")</f>
        <v>111</v>
      </c>
      <c r="G60" s="30">
        <f>IFERROR(IF(COUNT(Raw_Data!AN60:AY60)=0,"",SUM(Raw_Data!AN60:AY60)),"")</f>
        <v>112</v>
      </c>
      <c r="H60" s="30">
        <f>IFERROR(IF(COUNT(Raw_Data!AZ60:BK60)=0,"",SUM(Raw_Data!AZ60:BK60)),"")</f>
        <v>133</v>
      </c>
      <c r="I60" s="30">
        <f>IFERROR(IF(COUNT(Raw_Data!BL60:BW60)=0,"",SUM(Raw_Data!BL60:BW60)),"")</f>
        <v>106</v>
      </c>
      <c r="J60" s="30">
        <f>IFERROR(IF(COUNT(Raw_Data!BX60:CI60)=0,"",SUM(Raw_Data!BX60:CI60)),"")</f>
        <v>185</v>
      </c>
      <c r="K60" s="28">
        <f t="shared" si="0"/>
        <v>1.0090090090090089</v>
      </c>
      <c r="L60" s="28">
        <f t="shared" si="1"/>
        <v>-9.0090090090090089E-3</v>
      </c>
      <c r="M60" s="28">
        <f t="shared" si="2"/>
        <v>0.79699248120300747</v>
      </c>
      <c r="N60" s="28">
        <f t="shared" si="3"/>
        <v>1.3909774436090225</v>
      </c>
      <c r="O60" s="7" t="str">
        <f t="shared" si="4"/>
        <v>Invalid</v>
      </c>
      <c r="P60" s="13" t="str">
        <f t="shared" si="5"/>
        <v>Invalid</v>
      </c>
      <c r="Q60" s="7" t="str">
        <f t="shared" si="6"/>
        <v>Invalid</v>
      </c>
    </row>
    <row r="61" spans="1:17" ht="60">
      <c r="A61" s="7" t="str">
        <f>IF(Raw_Data!A61="","",TRIM(SUBSTITUTE(CLEAN(Raw_Data!A61),CHAR(160)," ")))</f>
        <v>Abuja Municipal Area Council</v>
      </c>
      <c r="B61" s="7" t="str">
        <f>IF(Raw_Data!B61="","",TRIM(SUBSTITUTE(CLEAN(Raw_Data!B61),CHAR(160)," ")))</f>
        <v>Karu Ward</v>
      </c>
      <c r="C61" s="7" t="str">
        <f>IF(Raw_Data!C61="","",TRIM(SUBSTITUTE(CLEAN(Raw_Data!C61),CHAR(160)," ")))</f>
        <v>Cornelian Jubilee Hospital (Jikwoyi)</v>
      </c>
      <c r="D61" s="28" t="str">
        <f>IFERROR(IF(COUNT(Raw_Data!D61:O61)=0,"",AVERAGE(Raw_Data!D61:O61)/100),"")</f>
        <v/>
      </c>
      <c r="E61" s="28" t="str">
        <f>IFERROR(IF(COUNT(Raw_Data!P61:AA61)=0,"",AVERAGE(Raw_Data!P61:AA61)/100),"")</f>
        <v/>
      </c>
      <c r="F61" s="30">
        <f>IFERROR(IF(COUNT(Raw_Data!AB61:AM61)=0,"",SUM(Raw_Data!AB61:AM61)),"")</f>
        <v>11</v>
      </c>
      <c r="G61" s="30">
        <f>IFERROR(IF(COUNT(Raw_Data!AN61:AY61)=0,"",SUM(Raw_Data!AN61:AY61)),"")</f>
        <v>9</v>
      </c>
      <c r="H61" s="30">
        <f>IFERROR(IF(COUNT(Raw_Data!AZ61:BK61)=0,"",SUM(Raw_Data!AZ61:BK61)),"")</f>
        <v>9</v>
      </c>
      <c r="I61" s="30">
        <f>IFERROR(IF(COUNT(Raw_Data!BL61:BW61)=0,"",SUM(Raw_Data!BL61:BW61)),"")</f>
        <v>12</v>
      </c>
      <c r="J61" s="30">
        <f>IFERROR(IF(COUNT(Raw_Data!BX61:CI61)=0,"",SUM(Raw_Data!BX61:CI61)),"")</f>
        <v>3</v>
      </c>
      <c r="K61" s="28">
        <f t="shared" si="0"/>
        <v>0.81818181818181823</v>
      </c>
      <c r="L61" s="28">
        <f t="shared" si="1"/>
        <v>0.18181818181818182</v>
      </c>
      <c r="M61" s="28">
        <f t="shared" si="2"/>
        <v>1.3333333333333333</v>
      </c>
      <c r="N61" s="28">
        <f t="shared" si="3"/>
        <v>0.33333333333333331</v>
      </c>
      <c r="O61" s="7" t="str">
        <f t="shared" si="4"/>
        <v>Valid</v>
      </c>
      <c r="P61" s="13" t="str">
        <f t="shared" si="5"/>
        <v>Invalid</v>
      </c>
      <c r="Q61" s="7" t="str">
        <f t="shared" si="6"/>
        <v>Invalid</v>
      </c>
    </row>
    <row r="62" spans="1:17" ht="105">
      <c r="A62" s="7" t="str">
        <f>IF(Raw_Data!A62="","",TRIM(SUBSTITUTE(CLEAN(Raw_Data!A62),CHAR(160)," ")))</f>
        <v>Abuja Municipal Area Council</v>
      </c>
      <c r="B62" s="7" t="str">
        <f>IF(Raw_Data!B62="","",TRIM(SUBSTITUTE(CLEAN(Raw_Data!B62),CHAR(160)," ")))</f>
        <v>Gwagwa Ward</v>
      </c>
      <c r="C62" s="7" t="str">
        <f>IF(Raw_Data!C62="","",TRIM(SUBSTITUTE(CLEAN(Raw_Data!C62),CHAR(160)," ")))</f>
        <v>Cream Medics Clinic &amp; Maternity (Gwagwa)</v>
      </c>
      <c r="D62" s="28" t="str">
        <f>IFERROR(IF(COUNT(Raw_Data!D62:O62)=0,"",AVERAGE(Raw_Data!D62:O62)/100),"")</f>
        <v/>
      </c>
      <c r="E62" s="28" t="str">
        <f>IFERROR(IF(COUNT(Raw_Data!P62:AA62)=0,"",AVERAGE(Raw_Data!P62:AA62)/100),"")</f>
        <v/>
      </c>
      <c r="F62" s="30" t="str">
        <f>IFERROR(IF(COUNT(Raw_Data!AB62:AM62)=0,"",SUM(Raw_Data!AB62:AM62)),"")</f>
        <v/>
      </c>
      <c r="G62" s="30" t="str">
        <f>IFERROR(IF(COUNT(Raw_Data!AN62:AY62)=0,"",SUM(Raw_Data!AN62:AY62)),"")</f>
        <v/>
      </c>
      <c r="H62" s="30">
        <f>IFERROR(IF(COUNT(Raw_Data!AZ62:BK62)=0,"",SUM(Raw_Data!AZ62:BK62)),"")</f>
        <v>10</v>
      </c>
      <c r="I62" s="30">
        <f>IFERROR(IF(COUNT(Raw_Data!BL62:BW62)=0,"",SUM(Raw_Data!BL62:BW62)),"")</f>
        <v>2</v>
      </c>
      <c r="J62" s="30" t="str">
        <f>IFERROR(IF(COUNT(Raw_Data!BX62:CI62)=0,"",SUM(Raw_Data!BX62:CI62)),"")</f>
        <v/>
      </c>
      <c r="K62" s="28" t="str">
        <f t="shared" si="0"/>
        <v/>
      </c>
      <c r="L62" s="28" t="str">
        <f t="shared" si="1"/>
        <v/>
      </c>
      <c r="M62" s="28">
        <f t="shared" si="2"/>
        <v>0.2</v>
      </c>
      <c r="N62" s="28" t="str">
        <f t="shared" si="3"/>
        <v/>
      </c>
      <c r="O62" s="7" t="str">
        <f t="shared" si="4"/>
        <v>No Data</v>
      </c>
      <c r="P62" s="13" t="str">
        <f t="shared" si="5"/>
        <v>Incomplete</v>
      </c>
      <c r="Q62" s="7" t="str">
        <f t="shared" si="6"/>
        <v>No Data</v>
      </c>
    </row>
    <row r="63" spans="1:17" ht="60">
      <c r="A63" s="7" t="str">
        <f>IF(Raw_Data!A63="","",TRIM(SUBSTITUTE(CLEAN(Raw_Data!A63),CHAR(160)," ")))</f>
        <v>Abuja Municipal Area Council</v>
      </c>
      <c r="B63" s="7" t="str">
        <f>IF(Raw_Data!B63="","",TRIM(SUBSTITUTE(CLEAN(Raw_Data!B63),CHAR(160)," ")))</f>
        <v>City Centre Ward</v>
      </c>
      <c r="C63" s="7" t="str">
        <f>IF(Raw_Data!C63="","",TRIM(SUBSTITUTE(CLEAN(Raw_Data!C63),CHAR(160)," ")))</f>
        <v>Crystal Paediatric Clinic</v>
      </c>
      <c r="D63" s="28">
        <f>IFERROR(IF(COUNT(Raw_Data!D63:O63)=0,"",AVERAGE(Raw_Data!D63:O63)/100),"")</f>
        <v>1</v>
      </c>
      <c r="E63" s="28" t="str">
        <f>IFERROR(IF(COUNT(Raw_Data!P63:AA63)=0,"",AVERAGE(Raw_Data!P63:AA63)/100),"")</f>
        <v/>
      </c>
      <c r="F63" s="30">
        <f>IFERROR(IF(COUNT(Raw_Data!AB63:AM63)=0,"",SUM(Raw_Data!AB63:AM63)),"")</f>
        <v>23</v>
      </c>
      <c r="G63" s="30">
        <f>IFERROR(IF(COUNT(Raw_Data!AN63:AY63)=0,"",SUM(Raw_Data!AN63:AY63)),"")</f>
        <v>20</v>
      </c>
      <c r="H63" s="30" t="str">
        <f>IFERROR(IF(COUNT(Raw_Data!AZ63:BK63)=0,"",SUM(Raw_Data!AZ63:BK63)),"")</f>
        <v/>
      </c>
      <c r="I63" s="30" t="str">
        <f>IFERROR(IF(COUNT(Raw_Data!BL63:BW63)=0,"",SUM(Raw_Data!BL63:BW63)),"")</f>
        <v/>
      </c>
      <c r="J63" s="30" t="str">
        <f>IFERROR(IF(COUNT(Raw_Data!BX63:CI63)=0,"",SUM(Raw_Data!BX63:CI63)),"")</f>
        <v/>
      </c>
      <c r="K63" s="28">
        <f t="shared" si="0"/>
        <v>0.86956521739130432</v>
      </c>
      <c r="L63" s="28">
        <f t="shared" si="1"/>
        <v>0.13043478260869565</v>
      </c>
      <c r="M63" s="28" t="str">
        <f t="shared" si="2"/>
        <v/>
      </c>
      <c r="N63" s="28" t="str">
        <f t="shared" si="3"/>
        <v/>
      </c>
      <c r="O63" s="7" t="str">
        <f t="shared" si="4"/>
        <v>Valid</v>
      </c>
      <c r="P63" s="13" t="str">
        <f t="shared" si="5"/>
        <v>No Data</v>
      </c>
      <c r="Q63" s="7" t="str">
        <f t="shared" si="6"/>
        <v>No Data</v>
      </c>
    </row>
    <row r="64" spans="1:17" ht="90">
      <c r="A64" s="7" t="str">
        <f>IF(Raw_Data!A64="","",TRIM(SUBSTITUTE(CLEAN(Raw_Data!A64),CHAR(160)," ")))</f>
        <v>Kwali Local Government Area</v>
      </c>
      <c r="B64" s="7" t="str">
        <f>IF(Raw_Data!B64="","",TRIM(SUBSTITUTE(CLEAN(Raw_Data!B64),CHAR(160)," ")))</f>
        <v>Pai Ward</v>
      </c>
      <c r="C64" s="7" t="str">
        <f>IF(Raw_Data!C64="","",TRIM(SUBSTITUTE(CLEAN(Raw_Data!C64),CHAR(160)," ")))</f>
        <v>Dabi/Bako Comprehensive Health Centre</v>
      </c>
      <c r="D64" s="28">
        <f>IFERROR(IF(COUNT(Raw_Data!D64:O64)=0,"",AVERAGE(Raw_Data!D64:O64)/100),"")</f>
        <v>1</v>
      </c>
      <c r="E64" s="28">
        <f>IFERROR(IF(COUNT(Raw_Data!P64:AA64)=0,"",AVERAGE(Raw_Data!P64:AA64)/100),"")</f>
        <v>0.94444444444444442</v>
      </c>
      <c r="F64" s="30">
        <f>IFERROR(IF(COUNT(Raw_Data!AB64:AM64)=0,"",SUM(Raw_Data!AB64:AM64)),"")</f>
        <v>783</v>
      </c>
      <c r="G64" s="30">
        <f>IFERROR(IF(COUNT(Raw_Data!AN64:AY64)=0,"",SUM(Raw_Data!AN64:AY64)),"")</f>
        <v>687</v>
      </c>
      <c r="H64" s="30">
        <f>IFERROR(IF(COUNT(Raw_Data!AZ64:BK64)=0,"",SUM(Raw_Data!AZ64:BK64)),"")</f>
        <v>434</v>
      </c>
      <c r="I64" s="30">
        <f>IFERROR(IF(COUNT(Raw_Data!BL64:BW64)=0,"",SUM(Raw_Data!BL64:BW64)),"")</f>
        <v>195</v>
      </c>
      <c r="J64" s="30">
        <f>IFERROR(IF(COUNT(Raw_Data!BX64:CI64)=0,"",SUM(Raw_Data!BX64:CI64)),"")</f>
        <v>19</v>
      </c>
      <c r="K64" s="28">
        <f t="shared" si="0"/>
        <v>0.87739463601532564</v>
      </c>
      <c r="L64" s="28">
        <f t="shared" si="1"/>
        <v>0.12260536398467432</v>
      </c>
      <c r="M64" s="28">
        <f t="shared" si="2"/>
        <v>0.44930875576036866</v>
      </c>
      <c r="N64" s="28">
        <f t="shared" si="3"/>
        <v>4.377880184331797E-2</v>
      </c>
      <c r="O64" s="7" t="str">
        <f t="shared" si="4"/>
        <v>Valid</v>
      </c>
      <c r="P64" s="13" t="str">
        <f t="shared" si="5"/>
        <v>Valid</v>
      </c>
      <c r="Q64" s="7" t="str">
        <f t="shared" si="6"/>
        <v>Valid</v>
      </c>
    </row>
    <row r="65" spans="1:17" ht="60">
      <c r="A65" s="7" t="str">
        <f>IF(Raw_Data!A65="","",TRIM(SUBSTITUTE(CLEAN(Raw_Data!A65),CHAR(160)," ")))</f>
        <v>Kwali Local Government Area</v>
      </c>
      <c r="B65" s="7" t="str">
        <f>IF(Raw_Data!B65="","",TRIM(SUBSTITUTE(CLEAN(Raw_Data!B65),CHAR(160)," ")))</f>
        <v>Dafa Ward</v>
      </c>
      <c r="C65" s="7" t="str">
        <f>IF(Raw_Data!C65="","",TRIM(SUBSTITUTE(CLEAN(Raw_Data!C65),CHAR(160)," ")))</f>
        <v>Dafa Health Clinic</v>
      </c>
      <c r="D65" s="28">
        <f>IFERROR(IF(COUNT(Raw_Data!D65:O65)=0,"",AVERAGE(Raw_Data!D65:O65)/100),"")</f>
        <v>0.97499999999999998</v>
      </c>
      <c r="E65" s="28">
        <f>IFERROR(IF(COUNT(Raw_Data!P65:AA65)=0,"",AVERAGE(Raw_Data!P65:AA65)/100),"")</f>
        <v>0.875</v>
      </c>
      <c r="F65" s="30">
        <f>IFERROR(IF(COUNT(Raw_Data!AB65:AM65)=0,"",SUM(Raw_Data!AB65:AM65)),"")</f>
        <v>437</v>
      </c>
      <c r="G65" s="30">
        <f>IFERROR(IF(COUNT(Raw_Data!AN65:AY65)=0,"",SUM(Raw_Data!AN65:AY65)),"")</f>
        <v>370</v>
      </c>
      <c r="H65" s="30">
        <f>IFERROR(IF(COUNT(Raw_Data!AZ65:BK65)=0,"",SUM(Raw_Data!AZ65:BK65)),"")</f>
        <v>294</v>
      </c>
      <c r="I65" s="30">
        <f>IFERROR(IF(COUNT(Raw_Data!BL65:BW65)=0,"",SUM(Raw_Data!BL65:BW65)),"")</f>
        <v>94</v>
      </c>
      <c r="J65" s="30">
        <f>IFERROR(IF(COUNT(Raw_Data!BX65:CI65)=0,"",SUM(Raw_Data!BX65:CI65)),"")</f>
        <v>8</v>
      </c>
      <c r="K65" s="28">
        <f t="shared" si="0"/>
        <v>0.84668192219679639</v>
      </c>
      <c r="L65" s="28">
        <f t="shared" si="1"/>
        <v>0.15331807780320367</v>
      </c>
      <c r="M65" s="28">
        <f t="shared" si="2"/>
        <v>0.31972789115646261</v>
      </c>
      <c r="N65" s="28">
        <f t="shared" si="3"/>
        <v>2.7210884353741496E-2</v>
      </c>
      <c r="O65" s="7" t="str">
        <f t="shared" si="4"/>
        <v>Valid</v>
      </c>
      <c r="P65" s="13" t="str">
        <f t="shared" si="5"/>
        <v>Valid</v>
      </c>
      <c r="Q65" s="7" t="str">
        <f t="shared" si="6"/>
        <v>Valid</v>
      </c>
    </row>
    <row r="66" spans="1:17" ht="60">
      <c r="A66" s="7" t="str">
        <f>IF(Raw_Data!A66="","",TRIM(SUBSTITUTE(CLEAN(Raw_Data!A66),CHAR(160)," ")))</f>
        <v>Kuje Local Government Area</v>
      </c>
      <c r="B66" s="7" t="str">
        <f>IF(Raw_Data!B66="","",TRIM(SUBSTITUTE(CLEAN(Raw_Data!B66),CHAR(160)," ")))</f>
        <v>Gaube Ward</v>
      </c>
      <c r="C66" s="7" t="str">
        <f>IF(Raw_Data!C66="","",TRIM(SUBSTITUTE(CLEAN(Raw_Data!C66),CHAR(160)," ")))</f>
        <v>Dafara Primary Health Centre</v>
      </c>
      <c r="D66" s="28">
        <f>IFERROR(IF(COUNT(Raw_Data!D66:O66)=0,"",AVERAGE(Raw_Data!D66:O66)/100),"")</f>
        <v>0.91666666666666674</v>
      </c>
      <c r="E66" s="28">
        <f>IFERROR(IF(COUNT(Raw_Data!P66:AA66)=0,"",AVERAGE(Raw_Data!P66:AA66)/100),"")</f>
        <v>1</v>
      </c>
      <c r="F66" s="30">
        <f>IFERROR(IF(COUNT(Raw_Data!AB66:AM66)=0,"",SUM(Raw_Data!AB66:AM66)),"")</f>
        <v>203</v>
      </c>
      <c r="G66" s="30">
        <f>IFERROR(IF(COUNT(Raw_Data!AN66:AY66)=0,"",SUM(Raw_Data!AN66:AY66)),"")</f>
        <v>209</v>
      </c>
      <c r="H66" s="30">
        <f>IFERROR(IF(COUNT(Raw_Data!AZ66:BK66)=0,"",SUM(Raw_Data!AZ66:BK66)),"")</f>
        <v>39</v>
      </c>
      <c r="I66" s="30">
        <f>IFERROR(IF(COUNT(Raw_Data!BL66:BW66)=0,"",SUM(Raw_Data!BL66:BW66)),"")</f>
        <v>4</v>
      </c>
      <c r="J66" s="30" t="str">
        <f>IFERROR(IF(COUNT(Raw_Data!BX66:CI66)=0,"",SUM(Raw_Data!BX66:CI66)),"")</f>
        <v/>
      </c>
      <c r="K66" s="28">
        <f t="shared" si="0"/>
        <v>1.0295566502463054</v>
      </c>
      <c r="L66" s="28">
        <f t="shared" si="1"/>
        <v>-2.9556650246305417E-2</v>
      </c>
      <c r="M66" s="28">
        <f t="shared" si="2"/>
        <v>0.10256410256410256</v>
      </c>
      <c r="N66" s="28" t="str">
        <f t="shared" si="3"/>
        <v/>
      </c>
      <c r="O66" s="7" t="str">
        <f t="shared" si="4"/>
        <v>Invalid</v>
      </c>
      <c r="P66" s="13" t="str">
        <f t="shared" si="5"/>
        <v>Incomplete</v>
      </c>
      <c r="Q66" s="7" t="str">
        <f t="shared" si="6"/>
        <v>Incomplete</v>
      </c>
    </row>
    <row r="67" spans="1:17" ht="60">
      <c r="A67" s="7" t="str">
        <f>IF(Raw_Data!A67="","",TRIM(SUBSTITUTE(CLEAN(Raw_Data!A67),CHAR(160)," ")))</f>
        <v>Gwagwalada Local Government Area</v>
      </c>
      <c r="B67" s="7" t="str">
        <f>IF(Raw_Data!B67="","",TRIM(SUBSTITUTE(CLEAN(Raw_Data!B67),CHAR(160)," ")))</f>
        <v>Central Ward</v>
      </c>
      <c r="C67" s="7" t="str">
        <f>IF(Raw_Data!C67="","",TRIM(SUBSTITUTE(CLEAN(Raw_Data!C67),CHAR(160)," ")))</f>
        <v>Dagiri Primary Health Clinic</v>
      </c>
      <c r="D67" s="28">
        <f>IFERROR(IF(COUNT(Raw_Data!D67:O67)=0,"",AVERAGE(Raw_Data!D67:O67)/100),"")</f>
        <v>0.91821111111111109</v>
      </c>
      <c r="E67" s="28">
        <f>IFERROR(IF(COUNT(Raw_Data!P67:AA67)=0,"",AVERAGE(Raw_Data!P67:AA67)/100),"")</f>
        <v>0.9375</v>
      </c>
      <c r="F67" s="30">
        <f>IFERROR(IF(COUNT(Raw_Data!AB67:AM67)=0,"",SUM(Raw_Data!AB67:AM67)),"")</f>
        <v>387</v>
      </c>
      <c r="G67" s="30">
        <f>IFERROR(IF(COUNT(Raw_Data!AN67:AY67)=0,"",SUM(Raw_Data!AN67:AY67)),"")</f>
        <v>3117</v>
      </c>
      <c r="H67" s="30">
        <f>IFERROR(IF(COUNT(Raw_Data!AZ67:BK67)=0,"",SUM(Raw_Data!AZ67:BK67)),"")</f>
        <v>203</v>
      </c>
      <c r="I67" s="30">
        <f>IFERROR(IF(COUNT(Raw_Data!BL67:BW67)=0,"",SUM(Raw_Data!BL67:BW67)),"")</f>
        <v>74</v>
      </c>
      <c r="J67" s="30">
        <f>IFERROR(IF(COUNT(Raw_Data!BX67:CI67)=0,"",SUM(Raw_Data!BX67:CI67)),"")</f>
        <v>34</v>
      </c>
      <c r="K67" s="28">
        <f t="shared" ref="K67:K130" si="7">IFERROR(IF(OR(F67="",G67="",F67&lt;=0),"",G67/F67),"")</f>
        <v>8.054263565891473</v>
      </c>
      <c r="L67" s="28">
        <f t="shared" ref="L67:L130" si="8">IFERROR(IF(OR(F67="",G67="",F67&lt;=0),"",(F67-G67)/F67),"")</f>
        <v>-7.054263565891473</v>
      </c>
      <c r="M67" s="28">
        <f t="shared" ref="M67:M130" si="9">IFERROR(IF(OR(H67="",I67="",H67&lt;=0),"",I67/H67),"")</f>
        <v>0.3645320197044335</v>
      </c>
      <c r="N67" s="28">
        <f t="shared" ref="N67:N130" si="10">IFERROR(IF(OR(H67="",J67="",H67&lt;=0),"",J67/H67),"")</f>
        <v>0.16748768472906403</v>
      </c>
      <c r="O67" s="7" t="str">
        <f t="shared" ref="O67:O130" si="11">IFERROR(IF(AND(F67="",G67=""),"No Data",IF(OR(F67="",G67="",F67&lt;=0),"Incomplete",IF(OR(G67&gt;F67,K67&lt;0,K67&gt;1,L67&lt;0,L67&gt;1),"Invalid","Valid"))),"Invalid")</f>
        <v>Invalid</v>
      </c>
      <c r="P67" s="13" t="str">
        <f t="shared" ref="P67:P130" si="12">IFERROR(IF(AND(H67="",I67="",J67=""),"No Data",IF(OR(H67="",I67="",J67="",H67&lt;=0),"Incomplete",IF(OR(I67&gt;H67,J67&gt;H67,J67&gt;I67,M67&lt;0,M67&gt;1,N67&lt;0,N67&gt;1),"Invalid","Valid"))),"Invalid")</f>
        <v>Valid</v>
      </c>
      <c r="Q67" s="7" t="str">
        <f t="shared" ref="Q67:Q130" si="13">IF(OR(O67="No Data",P67="No Data"),"No Data",IF(OR(O67="Incomplete",P67="Incomplete"),"Incomplete",IF(OR(O67="Invalid",P67="Invalid"),"Invalid","Valid")))</f>
        <v>Invalid</v>
      </c>
    </row>
    <row r="68" spans="1:17" ht="75">
      <c r="A68" s="7" t="str">
        <f>IF(Raw_Data!A68="","",TRIM(SUBSTITUTE(CLEAN(Raw_Data!A68),CHAR(160)," ")))</f>
        <v>Abuja Municipal Area Council</v>
      </c>
      <c r="B68" s="7" t="str">
        <f>IF(Raw_Data!B68="","",TRIM(SUBSTITUTE(CLEAN(Raw_Data!B68),CHAR(160)," ")))</f>
        <v>Jiwa Ward</v>
      </c>
      <c r="C68" s="7" t="str">
        <f>IF(Raw_Data!C68="","",TRIM(SUBSTITUTE(CLEAN(Raw_Data!C68),CHAR(160)," ")))</f>
        <v>Dakwa Dantata Primary Health Clinic</v>
      </c>
      <c r="D68" s="28">
        <f>IFERROR(IF(COUNT(Raw_Data!D68:O68)=0,"",AVERAGE(Raw_Data!D68:O68)/100),"")</f>
        <v>1.0833333333333333</v>
      </c>
      <c r="E68" s="28" t="str">
        <f>IFERROR(IF(COUNT(Raw_Data!P68:AA68)=0,"",AVERAGE(Raw_Data!P68:AA68)/100),"")</f>
        <v/>
      </c>
      <c r="F68" s="30">
        <f>IFERROR(IF(COUNT(Raw_Data!AB68:AM68)=0,"",SUM(Raw_Data!AB68:AM68)),"")</f>
        <v>287</v>
      </c>
      <c r="G68" s="30">
        <f>IFERROR(IF(COUNT(Raw_Data!AN68:AY68)=0,"",SUM(Raw_Data!AN68:AY68)),"")</f>
        <v>289</v>
      </c>
      <c r="H68" s="30">
        <f>IFERROR(IF(COUNT(Raw_Data!AZ68:BK68)=0,"",SUM(Raw_Data!AZ68:BK68)),"")</f>
        <v>130</v>
      </c>
      <c r="I68" s="30">
        <f>IFERROR(IF(COUNT(Raw_Data!BL68:BW68)=0,"",SUM(Raw_Data!BL68:BW68)),"")</f>
        <v>29</v>
      </c>
      <c r="J68" s="30">
        <f>IFERROR(IF(COUNT(Raw_Data!BX68:CI68)=0,"",SUM(Raw_Data!BX68:CI68)),"")</f>
        <v>1</v>
      </c>
      <c r="K68" s="28">
        <f t="shared" si="7"/>
        <v>1.0069686411149825</v>
      </c>
      <c r="L68" s="28">
        <f t="shared" si="8"/>
        <v>-6.9686411149825784E-3</v>
      </c>
      <c r="M68" s="28">
        <f t="shared" si="9"/>
        <v>0.22307692307692309</v>
      </c>
      <c r="N68" s="28">
        <f t="shared" si="10"/>
        <v>7.6923076923076927E-3</v>
      </c>
      <c r="O68" s="7" t="str">
        <f t="shared" si="11"/>
        <v>Invalid</v>
      </c>
      <c r="P68" s="13" t="str">
        <f t="shared" si="12"/>
        <v>Valid</v>
      </c>
      <c r="Q68" s="7" t="str">
        <f t="shared" si="13"/>
        <v>Invalid</v>
      </c>
    </row>
    <row r="69" spans="1:17" ht="60">
      <c r="A69" s="7" t="str">
        <f>IF(Raw_Data!A69="","",TRIM(SUBSTITUTE(CLEAN(Raw_Data!A69),CHAR(160)," ")))</f>
        <v>Bwari Local Government Area</v>
      </c>
      <c r="B69" s="7" t="str">
        <f>IF(Raw_Data!B69="","",TRIM(SUBSTITUTE(CLEAN(Raw_Data!B69),CHAR(160)," ")))</f>
        <v>Kubwa Ward</v>
      </c>
      <c r="C69" s="7" t="str">
        <f>IF(Raw_Data!C69="","",TRIM(SUBSTITUTE(CLEAN(Raw_Data!C69),CHAR(160)," ")))</f>
        <v>Dakwa Primary Health Clinic</v>
      </c>
      <c r="D69" s="28">
        <f>IFERROR(IF(COUNT(Raw_Data!D69:O69)=0,"",AVERAGE(Raw_Data!D69:O69)/100),"")</f>
        <v>0.88181818181818183</v>
      </c>
      <c r="E69" s="28">
        <f>IFERROR(IF(COUNT(Raw_Data!P69:AA69)=0,"",AVERAGE(Raw_Data!P69:AA69)/100),"")</f>
        <v>0.84090909090909094</v>
      </c>
      <c r="F69" s="30">
        <f>IFERROR(IF(COUNT(Raw_Data!AB69:AM69)=0,"",SUM(Raw_Data!AB69:AM69)),"")</f>
        <v>1371</v>
      </c>
      <c r="G69" s="30">
        <f>IFERROR(IF(COUNT(Raw_Data!AN69:AY69)=0,"",SUM(Raw_Data!AN69:AY69)),"")</f>
        <v>1611</v>
      </c>
      <c r="H69" s="30">
        <f>IFERROR(IF(COUNT(Raw_Data!AZ69:BK69)=0,"",SUM(Raw_Data!AZ69:BK69)),"")</f>
        <v>218</v>
      </c>
      <c r="I69" s="30">
        <f>IFERROR(IF(COUNT(Raw_Data!BL69:BW69)=0,"",SUM(Raw_Data!BL69:BW69)),"")</f>
        <v>47</v>
      </c>
      <c r="J69" s="30">
        <f>IFERROR(IF(COUNT(Raw_Data!BX69:CI69)=0,"",SUM(Raw_Data!BX69:CI69)),"")</f>
        <v>3</v>
      </c>
      <c r="K69" s="28">
        <f t="shared" si="7"/>
        <v>1.175054704595186</v>
      </c>
      <c r="L69" s="28">
        <f t="shared" si="8"/>
        <v>-0.17505470459518599</v>
      </c>
      <c r="M69" s="28">
        <f t="shared" si="9"/>
        <v>0.21559633027522937</v>
      </c>
      <c r="N69" s="28">
        <f t="shared" si="10"/>
        <v>1.3761467889908258E-2</v>
      </c>
      <c r="O69" s="7" t="str">
        <f t="shared" si="11"/>
        <v>Invalid</v>
      </c>
      <c r="P69" s="13" t="str">
        <f t="shared" si="12"/>
        <v>Valid</v>
      </c>
      <c r="Q69" s="7" t="str">
        <f t="shared" si="13"/>
        <v>Invalid</v>
      </c>
    </row>
    <row r="70" spans="1:17" ht="75">
      <c r="A70" s="7" t="str">
        <f>IF(Raw_Data!A70="","",TRIM(SUBSTITUTE(CLEAN(Raw_Data!A70),CHAR(160)," ")))</f>
        <v>Abuja Municipal Area Council</v>
      </c>
      <c r="B70" s="7" t="str">
        <f>IF(Raw_Data!B70="","",TRIM(SUBSTITUTE(CLEAN(Raw_Data!B70),CHAR(160)," ")))</f>
        <v>Garki Ward</v>
      </c>
      <c r="C70" s="7" t="str">
        <f>IF(Raw_Data!C70="","",TRIM(SUBSTITUTE(CLEAN(Raw_Data!C70),CHAR(160)," ")))</f>
        <v>Damagaza Primary Health Centre</v>
      </c>
      <c r="D70" s="28">
        <f>IFERROR(IF(COUNT(Raw_Data!D70:O70)=0,"",AVERAGE(Raw_Data!D70:O70)/100),"")</f>
        <v>0.97222222222222232</v>
      </c>
      <c r="E70" s="28">
        <f>IFERROR(IF(COUNT(Raw_Data!P70:AA70)=0,"",AVERAGE(Raw_Data!P70:AA70)/100),"")</f>
        <v>0.7</v>
      </c>
      <c r="F70" s="30">
        <f>IFERROR(IF(COUNT(Raw_Data!AB70:AM70)=0,"",SUM(Raw_Data!AB70:AM70)),"")</f>
        <v>233</v>
      </c>
      <c r="G70" s="30">
        <f>IFERROR(IF(COUNT(Raw_Data!AN70:AY70)=0,"",SUM(Raw_Data!AN70:AY70)),"")</f>
        <v>203</v>
      </c>
      <c r="H70" s="30">
        <f>IFERROR(IF(COUNT(Raw_Data!AZ70:BK70)=0,"",SUM(Raw_Data!AZ70:BK70)),"")</f>
        <v>115</v>
      </c>
      <c r="I70" s="30">
        <f>IFERROR(IF(COUNT(Raw_Data!BL70:BW70)=0,"",SUM(Raw_Data!BL70:BW70)),"")</f>
        <v>26</v>
      </c>
      <c r="J70" s="30">
        <f>IFERROR(IF(COUNT(Raw_Data!BX70:CI70)=0,"",SUM(Raw_Data!BX70:CI70)),"")</f>
        <v>4</v>
      </c>
      <c r="K70" s="28">
        <f t="shared" si="7"/>
        <v>0.871244635193133</v>
      </c>
      <c r="L70" s="28">
        <f t="shared" si="8"/>
        <v>0.12875536480686695</v>
      </c>
      <c r="M70" s="28">
        <f t="shared" si="9"/>
        <v>0.22608695652173913</v>
      </c>
      <c r="N70" s="28">
        <f t="shared" si="10"/>
        <v>3.4782608695652174E-2</v>
      </c>
      <c r="O70" s="7" t="str">
        <f t="shared" si="11"/>
        <v>Valid</v>
      </c>
      <c r="P70" s="13" t="str">
        <f t="shared" si="12"/>
        <v>Valid</v>
      </c>
      <c r="Q70" s="7" t="str">
        <f t="shared" si="13"/>
        <v>Valid</v>
      </c>
    </row>
    <row r="71" spans="1:17" ht="75">
      <c r="A71" s="7" t="str">
        <f>IF(Raw_Data!A71="","",TRIM(SUBSTITUTE(CLEAN(Raw_Data!A71),CHAR(160)," ")))</f>
        <v>Kwali Local Government Area</v>
      </c>
      <c r="B71" s="7" t="str">
        <f>IF(Raw_Data!B71="","",TRIM(SUBSTITUTE(CLEAN(Raw_Data!B71),CHAR(160)," ")))</f>
        <v>Kundu Ward</v>
      </c>
      <c r="C71" s="7" t="str">
        <f>IF(Raw_Data!C71="","",TRIM(SUBSTITUTE(CLEAN(Raw_Data!C71),CHAR(160)," ")))</f>
        <v>Damakusa Primary Health Clinic</v>
      </c>
      <c r="D71" s="28">
        <f>IFERROR(IF(COUNT(Raw_Data!D71:O71)=0,"",AVERAGE(Raw_Data!D71:O71)/100),"")</f>
        <v>1</v>
      </c>
      <c r="E71" s="28">
        <f>IFERROR(IF(COUNT(Raw_Data!P71:AA71)=0,"",AVERAGE(Raw_Data!P71:AA71)/100),"")</f>
        <v>1</v>
      </c>
      <c r="F71" s="30">
        <f>IFERROR(IF(COUNT(Raw_Data!AB71:AM71)=0,"",SUM(Raw_Data!AB71:AM71)),"")</f>
        <v>197</v>
      </c>
      <c r="G71" s="30">
        <f>IFERROR(IF(COUNT(Raw_Data!AN71:AY71)=0,"",SUM(Raw_Data!AN71:AY71)),"")</f>
        <v>321</v>
      </c>
      <c r="H71" s="30">
        <f>IFERROR(IF(COUNT(Raw_Data!AZ71:BK71)=0,"",SUM(Raw_Data!AZ71:BK71)),"")</f>
        <v>62</v>
      </c>
      <c r="I71" s="30">
        <f>IFERROR(IF(COUNT(Raw_Data!BL71:BW71)=0,"",SUM(Raw_Data!BL71:BW71)),"")</f>
        <v>102</v>
      </c>
      <c r="J71" s="30">
        <f>IFERROR(IF(COUNT(Raw_Data!BX71:CI71)=0,"",SUM(Raw_Data!BX71:CI71)),"")</f>
        <v>50</v>
      </c>
      <c r="K71" s="28">
        <f t="shared" si="7"/>
        <v>1.6294416243654823</v>
      </c>
      <c r="L71" s="28">
        <f t="shared" si="8"/>
        <v>-0.62944162436548223</v>
      </c>
      <c r="M71" s="28">
        <f t="shared" si="9"/>
        <v>1.6451612903225807</v>
      </c>
      <c r="N71" s="28">
        <f t="shared" si="10"/>
        <v>0.80645161290322576</v>
      </c>
      <c r="O71" s="7" t="str">
        <f t="shared" si="11"/>
        <v>Invalid</v>
      </c>
      <c r="P71" s="13" t="str">
        <f t="shared" si="12"/>
        <v>Invalid</v>
      </c>
      <c r="Q71" s="7" t="str">
        <f t="shared" si="13"/>
        <v>Invalid</v>
      </c>
    </row>
    <row r="72" spans="1:17" ht="60">
      <c r="A72" s="7" t="str">
        <f>IF(Raw_Data!A72="","",TRIM(SUBSTITUTE(CLEAN(Raw_Data!A72),CHAR(160)," ")))</f>
        <v>Kwali Local Government Area</v>
      </c>
      <c r="B72" s="7" t="str">
        <f>IF(Raw_Data!B72="","",TRIM(SUBSTITUTE(CLEAN(Raw_Data!B72),CHAR(160)," ")))</f>
        <v>Wako Ward</v>
      </c>
      <c r="C72" s="7" t="str">
        <f>IF(Raw_Data!C72="","",TRIM(SUBSTITUTE(CLEAN(Raw_Data!C72),CHAR(160)," ")))</f>
        <v>Dangara Health Clinic</v>
      </c>
      <c r="D72" s="28">
        <f>IFERROR(IF(COUNT(Raw_Data!D72:O72)=0,"",AVERAGE(Raw_Data!D72:O72)/100),"")</f>
        <v>1</v>
      </c>
      <c r="E72" s="28">
        <f>IFERROR(IF(COUNT(Raw_Data!P72:AA72)=0,"",AVERAGE(Raw_Data!P72:AA72)/100),"")</f>
        <v>0.9375</v>
      </c>
      <c r="F72" s="30">
        <f>IFERROR(IF(COUNT(Raw_Data!AB72:AM72)=0,"",SUM(Raw_Data!AB72:AM72)),"")</f>
        <v>317</v>
      </c>
      <c r="G72" s="30">
        <f>IFERROR(IF(COUNT(Raw_Data!AN72:AY72)=0,"",SUM(Raw_Data!AN72:AY72)),"")</f>
        <v>267</v>
      </c>
      <c r="H72" s="30">
        <f>IFERROR(IF(COUNT(Raw_Data!AZ72:BK72)=0,"",SUM(Raw_Data!AZ72:BK72)),"")</f>
        <v>31</v>
      </c>
      <c r="I72" s="30">
        <f>IFERROR(IF(COUNT(Raw_Data!BL72:BW72)=0,"",SUM(Raw_Data!BL72:BW72)),"")</f>
        <v>31</v>
      </c>
      <c r="J72" s="30">
        <f>IFERROR(IF(COUNT(Raw_Data!BX72:CI72)=0,"",SUM(Raw_Data!BX72:CI72)),"")</f>
        <v>22</v>
      </c>
      <c r="K72" s="28">
        <f t="shared" si="7"/>
        <v>0.8422712933753943</v>
      </c>
      <c r="L72" s="28">
        <f t="shared" si="8"/>
        <v>0.15772870662460567</v>
      </c>
      <c r="M72" s="28">
        <f t="shared" si="9"/>
        <v>1</v>
      </c>
      <c r="N72" s="28">
        <f t="shared" si="10"/>
        <v>0.70967741935483875</v>
      </c>
      <c r="O72" s="7" t="str">
        <f t="shared" si="11"/>
        <v>Valid</v>
      </c>
      <c r="P72" s="13" t="str">
        <f t="shared" si="12"/>
        <v>Valid</v>
      </c>
      <c r="Q72" s="7" t="str">
        <f t="shared" si="13"/>
        <v>Valid</v>
      </c>
    </row>
    <row r="73" spans="1:17" ht="60">
      <c r="A73" s="7" t="str">
        <f>IF(Raw_Data!A73="","",TRIM(SUBSTITUTE(CLEAN(Raw_Data!A73),CHAR(160)," ")))</f>
        <v>Kwali Local Government Area</v>
      </c>
      <c r="B73" s="7" t="str">
        <f>IF(Raw_Data!B73="","",TRIM(SUBSTITUTE(CLEAN(Raw_Data!B73),CHAR(160)," ")))</f>
        <v>Wako Ward</v>
      </c>
      <c r="C73" s="7" t="str">
        <f>IF(Raw_Data!C73="","",TRIM(SUBSTITUTE(CLEAN(Raw_Data!C73),CHAR(160)," ")))</f>
        <v>Dapa Primary Health Clinic</v>
      </c>
      <c r="D73" s="28">
        <f>IFERROR(IF(COUNT(Raw_Data!D73:O73)=0,"",AVERAGE(Raw_Data!D73:O73)/100),"")</f>
        <v>1</v>
      </c>
      <c r="E73" s="28">
        <f>IFERROR(IF(COUNT(Raw_Data!P73:AA73)=0,"",AVERAGE(Raw_Data!P73:AA73)/100),"")</f>
        <v>0.96667000000000003</v>
      </c>
      <c r="F73" s="30">
        <f>IFERROR(IF(COUNT(Raw_Data!AB73:AM73)=0,"",SUM(Raw_Data!AB73:AM73)),"")</f>
        <v>222</v>
      </c>
      <c r="G73" s="30">
        <f>IFERROR(IF(COUNT(Raw_Data!AN73:AY73)=0,"",SUM(Raw_Data!AN73:AY73)),"")</f>
        <v>222</v>
      </c>
      <c r="H73" s="30">
        <f>IFERROR(IF(COUNT(Raw_Data!AZ73:BK73)=0,"",SUM(Raw_Data!AZ73:BK73)),"")</f>
        <v>71</v>
      </c>
      <c r="I73" s="30">
        <f>IFERROR(IF(COUNT(Raw_Data!BL73:BW73)=0,"",SUM(Raw_Data!BL73:BW73)),"")</f>
        <v>50</v>
      </c>
      <c r="J73" s="30">
        <f>IFERROR(IF(COUNT(Raw_Data!BX73:CI73)=0,"",SUM(Raw_Data!BX73:CI73)),"")</f>
        <v>40</v>
      </c>
      <c r="K73" s="28">
        <f t="shared" si="7"/>
        <v>1</v>
      </c>
      <c r="L73" s="28">
        <f t="shared" si="8"/>
        <v>0</v>
      </c>
      <c r="M73" s="28">
        <f t="shared" si="9"/>
        <v>0.70422535211267601</v>
      </c>
      <c r="N73" s="28">
        <f t="shared" si="10"/>
        <v>0.56338028169014087</v>
      </c>
      <c r="O73" s="7" t="str">
        <f t="shared" si="11"/>
        <v>Valid</v>
      </c>
      <c r="P73" s="13" t="str">
        <f t="shared" si="12"/>
        <v>Valid</v>
      </c>
      <c r="Q73" s="7" t="str">
        <f t="shared" si="13"/>
        <v>Valid</v>
      </c>
    </row>
    <row r="74" spans="1:17" ht="60">
      <c r="A74" s="7" t="str">
        <f>IF(Raw_Data!A74="","",TRIM(SUBSTITUTE(CLEAN(Raw_Data!A74),CHAR(160)," ")))</f>
        <v>Kuje Local Government Area</v>
      </c>
      <c r="B74" s="7" t="str">
        <f>IF(Raw_Data!B74="","",TRIM(SUBSTITUTE(CLEAN(Raw_Data!B74),CHAR(160)," ")))</f>
        <v>Gudunkarya Ward</v>
      </c>
      <c r="C74" s="7" t="str">
        <f>IF(Raw_Data!C74="","",TRIM(SUBSTITUTE(CLEAN(Raw_Data!C74),CHAR(160)," ")))</f>
        <v>Darka Primary Health Clinic</v>
      </c>
      <c r="D74" s="28">
        <f>IFERROR(IF(COUNT(Raw_Data!D74:O74)=0,"",AVERAGE(Raw_Data!D74:O74)/100),"")</f>
        <v>1</v>
      </c>
      <c r="E74" s="28">
        <f>IFERROR(IF(COUNT(Raw_Data!P74:AA74)=0,"",AVERAGE(Raw_Data!P74:AA74)/100),"")</f>
        <v>0.97499999999999998</v>
      </c>
      <c r="F74" s="30">
        <f>IFERROR(IF(COUNT(Raw_Data!AB74:AM74)=0,"",SUM(Raw_Data!AB74:AM74)),"")</f>
        <v>241</v>
      </c>
      <c r="G74" s="30">
        <f>IFERROR(IF(COUNT(Raw_Data!AN74:AY74)=0,"",SUM(Raw_Data!AN74:AY74)),"")</f>
        <v>247</v>
      </c>
      <c r="H74" s="30">
        <f>IFERROR(IF(COUNT(Raw_Data!AZ74:BK74)=0,"",SUM(Raw_Data!AZ74:BK74)),"")</f>
        <v>50</v>
      </c>
      <c r="I74" s="30">
        <f>IFERROR(IF(COUNT(Raw_Data!BL74:BW74)=0,"",SUM(Raw_Data!BL74:BW74)),"")</f>
        <v>19</v>
      </c>
      <c r="J74" s="30">
        <f>IFERROR(IF(COUNT(Raw_Data!BX74:CI74)=0,"",SUM(Raw_Data!BX74:CI74)),"")</f>
        <v>12</v>
      </c>
      <c r="K74" s="28">
        <f t="shared" si="7"/>
        <v>1.0248962655601659</v>
      </c>
      <c r="L74" s="28">
        <f t="shared" si="8"/>
        <v>-2.4896265560165973E-2</v>
      </c>
      <c r="M74" s="28">
        <f t="shared" si="9"/>
        <v>0.38</v>
      </c>
      <c r="N74" s="28">
        <f t="shared" si="10"/>
        <v>0.24</v>
      </c>
      <c r="O74" s="7" t="str">
        <f t="shared" si="11"/>
        <v>Invalid</v>
      </c>
      <c r="P74" s="13" t="str">
        <f t="shared" si="12"/>
        <v>Valid</v>
      </c>
      <c r="Q74" s="7" t="str">
        <f t="shared" si="13"/>
        <v>Invalid</v>
      </c>
    </row>
    <row r="75" spans="1:17" ht="90">
      <c r="A75" s="7" t="str">
        <f>IF(Raw_Data!A75="","",TRIM(SUBSTITUTE(CLEAN(Raw_Data!A75),CHAR(160)," ")))</f>
        <v>Bwari Local Government Area</v>
      </c>
      <c r="B75" s="7" t="str">
        <f>IF(Raw_Data!B75="","",TRIM(SUBSTITUTE(CLEAN(Raw_Data!B75),CHAR(160)," ")))</f>
        <v>Usuma Ward</v>
      </c>
      <c r="C75" s="7" t="str">
        <f>IF(Raw_Data!C75="","",TRIM(SUBSTITUTE(CLEAN(Raw_Data!C75),CHAR(160)," ")))</f>
        <v>Daughters of Charity St Vincent Hospital</v>
      </c>
      <c r="D75" s="28">
        <f>IFERROR(IF(COUNT(Raw_Data!D75:O75)=0,"",AVERAGE(Raw_Data!D75:O75)/100),"")</f>
        <v>0.88749999999999996</v>
      </c>
      <c r="E75" s="28" t="str">
        <f>IFERROR(IF(COUNT(Raw_Data!P75:AA75)=0,"",AVERAGE(Raw_Data!P75:AA75)/100),"")</f>
        <v/>
      </c>
      <c r="F75" s="30">
        <f>IFERROR(IF(COUNT(Raw_Data!AB75:AM75)=0,"",SUM(Raw_Data!AB75:AM75)),"")</f>
        <v>304</v>
      </c>
      <c r="G75" s="30">
        <f>IFERROR(IF(COUNT(Raw_Data!AN75:AY75)=0,"",SUM(Raw_Data!AN75:AY75)),"")</f>
        <v>259</v>
      </c>
      <c r="H75" s="30">
        <f>IFERROR(IF(COUNT(Raw_Data!AZ75:BK75)=0,"",SUM(Raw_Data!AZ75:BK75)),"")</f>
        <v>559</v>
      </c>
      <c r="I75" s="30">
        <f>IFERROR(IF(COUNT(Raw_Data!BL75:BW75)=0,"",SUM(Raw_Data!BL75:BW75)),"")</f>
        <v>451</v>
      </c>
      <c r="J75" s="30">
        <f>IFERROR(IF(COUNT(Raw_Data!BX75:CI75)=0,"",SUM(Raw_Data!BX75:CI75)),"")</f>
        <v>286</v>
      </c>
      <c r="K75" s="28">
        <f t="shared" si="7"/>
        <v>0.85197368421052633</v>
      </c>
      <c r="L75" s="28">
        <f t="shared" si="8"/>
        <v>0.14802631578947367</v>
      </c>
      <c r="M75" s="28">
        <f t="shared" si="9"/>
        <v>0.80679785330948117</v>
      </c>
      <c r="N75" s="28">
        <f t="shared" si="10"/>
        <v>0.51162790697674421</v>
      </c>
      <c r="O75" s="7" t="str">
        <f t="shared" si="11"/>
        <v>Valid</v>
      </c>
      <c r="P75" s="13" t="str">
        <f t="shared" si="12"/>
        <v>Valid</v>
      </c>
      <c r="Q75" s="7" t="str">
        <f t="shared" si="13"/>
        <v>Valid</v>
      </c>
    </row>
    <row r="76" spans="1:17" ht="60">
      <c r="A76" s="7" t="str">
        <f>IF(Raw_Data!A76="","",TRIM(SUBSTITUTE(CLEAN(Raw_Data!A76),CHAR(160)," ")))</f>
        <v>Bwari Local Government Area</v>
      </c>
      <c r="B76" s="7" t="str">
        <f>IF(Raw_Data!B76="","",TRIM(SUBSTITUTE(CLEAN(Raw_Data!B76),CHAR(160)," ")))</f>
        <v>Dutse Ward</v>
      </c>
      <c r="C76" s="7" t="str">
        <f>IF(Raw_Data!C76="","",TRIM(SUBSTITUTE(CLEAN(Raw_Data!C76),CHAR(160)," ")))</f>
        <v>Dawaki Primary Health Centre</v>
      </c>
      <c r="D76" s="28">
        <f>IFERROR(IF(COUNT(Raw_Data!D76:O76)=0,"",AVERAGE(Raw_Data!D76:O76)/100),"")</f>
        <v>0.92222999999999999</v>
      </c>
      <c r="E76" s="28">
        <f>IFERROR(IF(COUNT(Raw_Data!P76:AA76)=0,"",AVERAGE(Raw_Data!P76:AA76)/100),"")</f>
        <v>2.1</v>
      </c>
      <c r="F76" s="30">
        <f>IFERROR(IF(COUNT(Raw_Data!AB76:AM76)=0,"",SUM(Raw_Data!AB76:AM76)),"")</f>
        <v>364</v>
      </c>
      <c r="G76" s="30">
        <f>IFERROR(IF(COUNT(Raw_Data!AN76:AY76)=0,"",SUM(Raw_Data!AN76:AY76)),"")</f>
        <v>456</v>
      </c>
      <c r="H76" s="30">
        <f>IFERROR(IF(COUNT(Raw_Data!AZ76:BK76)=0,"",SUM(Raw_Data!AZ76:BK76)),"")</f>
        <v>284</v>
      </c>
      <c r="I76" s="30">
        <f>IFERROR(IF(COUNT(Raw_Data!BL76:BW76)=0,"",SUM(Raw_Data!BL76:BW76)),"")</f>
        <v>106</v>
      </c>
      <c r="J76" s="30">
        <f>IFERROR(IF(COUNT(Raw_Data!BX76:CI76)=0,"",SUM(Raw_Data!BX76:CI76)),"")</f>
        <v>55</v>
      </c>
      <c r="K76" s="28">
        <f t="shared" si="7"/>
        <v>1.2527472527472527</v>
      </c>
      <c r="L76" s="28">
        <f t="shared" si="8"/>
        <v>-0.25274725274725274</v>
      </c>
      <c r="M76" s="28">
        <f t="shared" si="9"/>
        <v>0.37323943661971831</v>
      </c>
      <c r="N76" s="28">
        <f t="shared" si="10"/>
        <v>0.19366197183098591</v>
      </c>
      <c r="O76" s="7" t="str">
        <f t="shared" si="11"/>
        <v>Invalid</v>
      </c>
      <c r="P76" s="13" t="str">
        <f t="shared" si="12"/>
        <v>Valid</v>
      </c>
      <c r="Q76" s="7" t="str">
        <f t="shared" si="13"/>
        <v>Invalid</v>
      </c>
    </row>
    <row r="77" spans="1:17" ht="90">
      <c r="A77" s="7" t="str">
        <f>IF(Raw_Data!A77="","",TRIM(SUBSTITUTE(CLEAN(Raw_Data!A77),CHAR(160)," ")))</f>
        <v>Abuja Municipal Area Council</v>
      </c>
      <c r="B77" s="7" t="str">
        <f>IF(Raw_Data!B77="","",TRIM(SUBSTITUTE(CLEAN(Raw_Data!B77),CHAR(160)," ")))</f>
        <v>Gui Ward</v>
      </c>
      <c r="C77" s="7" t="str">
        <f>IF(Raw_Data!C77="","",TRIM(SUBSTITUTE(CLEAN(Raw_Data!C77),CHAR(160)," ")))</f>
        <v>Defense Headquarters Medical Centre Abuja</v>
      </c>
      <c r="D77" s="28">
        <f>IFERROR(IF(COUNT(Raw_Data!D77:O77)=0,"",AVERAGE(Raw_Data!D77:O77)/100),"")</f>
        <v>0.95833333333333326</v>
      </c>
      <c r="E77" s="28" t="str">
        <f>IFERROR(IF(COUNT(Raw_Data!P77:AA77)=0,"",AVERAGE(Raw_Data!P77:AA77)/100),"")</f>
        <v/>
      </c>
      <c r="F77" s="30">
        <f>IFERROR(IF(COUNT(Raw_Data!AB77:AM77)=0,"",SUM(Raw_Data!AB77:AM77)),"")</f>
        <v>190</v>
      </c>
      <c r="G77" s="30">
        <f>IFERROR(IF(COUNT(Raw_Data!AN77:AY77)=0,"",SUM(Raw_Data!AN77:AY77)),"")</f>
        <v>191</v>
      </c>
      <c r="H77" s="30">
        <f>IFERROR(IF(COUNT(Raw_Data!AZ77:BK77)=0,"",SUM(Raw_Data!AZ77:BK77)),"")</f>
        <v>186</v>
      </c>
      <c r="I77" s="30">
        <f>IFERROR(IF(COUNT(Raw_Data!BL77:BW77)=0,"",SUM(Raw_Data!BL77:BW77)),"")</f>
        <v>226</v>
      </c>
      <c r="J77" s="30">
        <f>IFERROR(IF(COUNT(Raw_Data!BX77:CI77)=0,"",SUM(Raw_Data!BX77:CI77)),"")</f>
        <v>183</v>
      </c>
      <c r="K77" s="28">
        <f t="shared" si="7"/>
        <v>1.0052631578947369</v>
      </c>
      <c r="L77" s="28">
        <f t="shared" si="8"/>
        <v>-5.263157894736842E-3</v>
      </c>
      <c r="M77" s="28">
        <f t="shared" si="9"/>
        <v>1.2150537634408602</v>
      </c>
      <c r="N77" s="28">
        <f t="shared" si="10"/>
        <v>0.9838709677419355</v>
      </c>
      <c r="O77" s="7" t="str">
        <f t="shared" si="11"/>
        <v>Invalid</v>
      </c>
      <c r="P77" s="13" t="str">
        <f t="shared" si="12"/>
        <v>Invalid</v>
      </c>
      <c r="Q77" s="7" t="str">
        <f t="shared" si="13"/>
        <v>Invalid</v>
      </c>
    </row>
    <row r="78" spans="1:17" ht="75">
      <c r="A78" s="7" t="str">
        <f>IF(Raw_Data!A78="","",TRIM(SUBSTITUTE(CLEAN(Raw_Data!A78),CHAR(160)," ")))</f>
        <v>Bwari Local Government Area</v>
      </c>
      <c r="B78" s="7" t="str">
        <f>IF(Raw_Data!B78="","",TRIM(SUBSTITUTE(CLEAN(Raw_Data!B78),CHAR(160)," ")))</f>
        <v>Kubwa Ward</v>
      </c>
      <c r="C78" s="7" t="str">
        <f>IF(Raw_Data!C78="","",TRIM(SUBSTITUTE(CLEAN(Raw_Data!C78),CHAR(160)," ")))</f>
        <v>Dei Dei Primary Health Care Center</v>
      </c>
      <c r="D78" s="28">
        <f>IFERROR(IF(COUNT(Raw_Data!D78:O78)=0,"",AVERAGE(Raw_Data!D78:O78)/100),"")</f>
        <v>0.98863636363636365</v>
      </c>
      <c r="E78" s="28">
        <f>IFERROR(IF(COUNT(Raw_Data!P78:AA78)=0,"",AVERAGE(Raw_Data!P78:AA78)/100),"")</f>
        <v>0.66664999999999996</v>
      </c>
      <c r="F78" s="30">
        <f>IFERROR(IF(COUNT(Raw_Data!AB78:AM78)=0,"",SUM(Raw_Data!AB78:AM78)),"")</f>
        <v>562</v>
      </c>
      <c r="G78" s="30">
        <f>IFERROR(IF(COUNT(Raw_Data!AN78:AY78)=0,"",SUM(Raw_Data!AN78:AY78)),"")</f>
        <v>474</v>
      </c>
      <c r="H78" s="30">
        <f>IFERROR(IF(COUNT(Raw_Data!AZ78:BK78)=0,"",SUM(Raw_Data!AZ78:BK78)),"")</f>
        <v>1122</v>
      </c>
      <c r="I78" s="30">
        <f>IFERROR(IF(COUNT(Raw_Data!BL78:BW78)=0,"",SUM(Raw_Data!BL78:BW78)),"")</f>
        <v>376</v>
      </c>
      <c r="J78" s="30">
        <f>IFERROR(IF(COUNT(Raw_Data!BX78:CI78)=0,"",SUM(Raw_Data!BX78:CI78)),"")</f>
        <v>30</v>
      </c>
      <c r="K78" s="28">
        <f t="shared" si="7"/>
        <v>0.84341637010676151</v>
      </c>
      <c r="L78" s="28">
        <f t="shared" si="8"/>
        <v>0.15658362989323843</v>
      </c>
      <c r="M78" s="28">
        <f t="shared" si="9"/>
        <v>0.33511586452762926</v>
      </c>
      <c r="N78" s="28">
        <f t="shared" si="10"/>
        <v>2.6737967914438502E-2</v>
      </c>
      <c r="O78" s="7" t="str">
        <f t="shared" si="11"/>
        <v>Valid</v>
      </c>
      <c r="P78" s="13" t="str">
        <f t="shared" si="12"/>
        <v>Valid</v>
      </c>
      <c r="Q78" s="7" t="str">
        <f t="shared" si="13"/>
        <v>Valid</v>
      </c>
    </row>
    <row r="79" spans="1:17" ht="60">
      <c r="A79" s="7" t="str">
        <f>IF(Raw_Data!A79="","",TRIM(SUBSTITUTE(CLEAN(Raw_Data!A79),CHAR(160)," ")))</f>
        <v>Abuja Municipal Area Council</v>
      </c>
      <c r="B79" s="7" t="str">
        <f>IF(Raw_Data!B79="","",TRIM(SUBSTITUTE(CLEAN(Raw_Data!B79),CHAR(160)," ")))</f>
        <v>Gwagwa Ward</v>
      </c>
      <c r="C79" s="7" t="str">
        <f>IF(Raw_Data!C79="","",TRIM(SUBSTITUTE(CLEAN(Raw_Data!C79),CHAR(160)," ")))</f>
        <v>Dei Dei Primary Health Centre</v>
      </c>
      <c r="D79" s="28">
        <f>IFERROR(IF(COUNT(Raw_Data!D79:O79)=0,"",AVERAGE(Raw_Data!D79:O79)/100),"")</f>
        <v>0.97382727272727276</v>
      </c>
      <c r="E79" s="28" t="str">
        <f>IFERROR(IF(COUNT(Raw_Data!P79:AA79)=0,"",AVERAGE(Raw_Data!P79:AA79)/100),"")</f>
        <v/>
      </c>
      <c r="F79" s="30">
        <f>IFERROR(IF(COUNT(Raw_Data!AB79:AM79)=0,"",SUM(Raw_Data!AB79:AM79)),"")</f>
        <v>454</v>
      </c>
      <c r="G79" s="30">
        <f>IFERROR(IF(COUNT(Raw_Data!AN79:AY79)=0,"",SUM(Raw_Data!AN79:AY79)),"")</f>
        <v>499</v>
      </c>
      <c r="H79" s="30">
        <f>IFERROR(IF(COUNT(Raw_Data!AZ79:BK79)=0,"",SUM(Raw_Data!AZ79:BK79)),"")</f>
        <v>52</v>
      </c>
      <c r="I79" s="30">
        <f>IFERROR(IF(COUNT(Raw_Data!BL79:BW79)=0,"",SUM(Raw_Data!BL79:BW79)),"")</f>
        <v>24</v>
      </c>
      <c r="J79" s="30">
        <f>IFERROR(IF(COUNT(Raw_Data!BX79:CI79)=0,"",SUM(Raw_Data!BX79:CI79)),"")</f>
        <v>7</v>
      </c>
      <c r="K79" s="28">
        <f t="shared" si="7"/>
        <v>1.0991189427312775</v>
      </c>
      <c r="L79" s="28">
        <f t="shared" si="8"/>
        <v>-9.9118942731277526E-2</v>
      </c>
      <c r="M79" s="28">
        <f t="shared" si="9"/>
        <v>0.46153846153846156</v>
      </c>
      <c r="N79" s="28">
        <f t="shared" si="10"/>
        <v>0.13461538461538461</v>
      </c>
      <c r="O79" s="7" t="str">
        <f t="shared" si="11"/>
        <v>Invalid</v>
      </c>
      <c r="P79" s="13" t="str">
        <f t="shared" si="12"/>
        <v>Valid</v>
      </c>
      <c r="Q79" s="7" t="str">
        <f t="shared" si="13"/>
        <v>Invalid</v>
      </c>
    </row>
    <row r="80" spans="1:17" ht="60">
      <c r="A80" s="7" t="str">
        <f>IF(Raw_Data!A80="","",TRIM(SUBSTITUTE(CLEAN(Raw_Data!A80),CHAR(160)," ")))</f>
        <v>Abuja Municipal Area Council</v>
      </c>
      <c r="B80" s="7" t="str">
        <f>IF(Raw_Data!B80="","",TRIM(SUBSTITUTE(CLEAN(Raw_Data!B80),CHAR(160)," ")))</f>
        <v>City Centre Ward</v>
      </c>
      <c r="C80" s="7" t="str">
        <f>IF(Raw_Data!C80="","",TRIM(SUBSTITUTE(CLEAN(Raw_Data!C80),CHAR(160)," ")))</f>
        <v>Dia Clinic</v>
      </c>
      <c r="D80" s="28" t="str">
        <f>IFERROR(IF(COUNT(Raw_Data!D80:O80)=0,"",AVERAGE(Raw_Data!D80:O80)/100),"")</f>
        <v/>
      </c>
      <c r="E80" s="28" t="str">
        <f>IFERROR(IF(COUNT(Raw_Data!P80:AA80)=0,"",AVERAGE(Raw_Data!P80:AA80)/100),"")</f>
        <v/>
      </c>
      <c r="F80" s="30">
        <f>IFERROR(IF(COUNT(Raw_Data!AB80:AM80)=0,"",SUM(Raw_Data!AB80:AM80)),"")</f>
        <v>36</v>
      </c>
      <c r="G80" s="30">
        <f>IFERROR(IF(COUNT(Raw_Data!AN80:AY80)=0,"",SUM(Raw_Data!AN80:AY80)),"")</f>
        <v>38</v>
      </c>
      <c r="H80" s="30">
        <f>IFERROR(IF(COUNT(Raw_Data!AZ80:BK80)=0,"",SUM(Raw_Data!AZ80:BK80)),"")</f>
        <v>5</v>
      </c>
      <c r="I80" s="30">
        <f>IFERROR(IF(COUNT(Raw_Data!BL80:BW80)=0,"",SUM(Raw_Data!BL80:BW80)),"")</f>
        <v>9</v>
      </c>
      <c r="J80" s="30">
        <f>IFERROR(IF(COUNT(Raw_Data!BX80:CI80)=0,"",SUM(Raw_Data!BX80:CI80)),"")</f>
        <v>2</v>
      </c>
      <c r="K80" s="28">
        <f t="shared" si="7"/>
        <v>1.0555555555555556</v>
      </c>
      <c r="L80" s="28">
        <f t="shared" si="8"/>
        <v>-5.5555555555555552E-2</v>
      </c>
      <c r="M80" s="28">
        <f t="shared" si="9"/>
        <v>1.8</v>
      </c>
      <c r="N80" s="28">
        <f t="shared" si="10"/>
        <v>0.4</v>
      </c>
      <c r="O80" s="7" t="str">
        <f t="shared" si="11"/>
        <v>Invalid</v>
      </c>
      <c r="P80" s="13" t="str">
        <f t="shared" si="12"/>
        <v>Invalid</v>
      </c>
      <c r="Q80" s="7" t="str">
        <f t="shared" si="13"/>
        <v>Invalid</v>
      </c>
    </row>
    <row r="81" spans="1:17" ht="60">
      <c r="A81" s="7" t="str">
        <f>IF(Raw_Data!A81="","",TRIM(SUBSTITUTE(CLEAN(Raw_Data!A81),CHAR(160)," ")))</f>
        <v>Abuja Municipal Area Council</v>
      </c>
      <c r="B81" s="7" t="str">
        <f>IF(Raw_Data!B81="","",TRIM(SUBSTITUTE(CLEAN(Raw_Data!B81),CHAR(160)," ")))</f>
        <v>City Centre Ward</v>
      </c>
      <c r="C81" s="7" t="str">
        <f>IF(Raw_Data!C81="","",TRIM(SUBSTITUTE(CLEAN(Raw_Data!C81),CHAR(160)," ")))</f>
        <v>Diff Hospital</v>
      </c>
      <c r="D81" s="28">
        <f>IFERROR(IF(COUNT(Raw_Data!D81:O81)=0,"",AVERAGE(Raw_Data!D81:O81)/100),"")</f>
        <v>1</v>
      </c>
      <c r="E81" s="28" t="str">
        <f>IFERROR(IF(COUNT(Raw_Data!P81:AA81)=0,"",AVERAGE(Raw_Data!P81:AA81)/100),"")</f>
        <v/>
      </c>
      <c r="F81" s="30">
        <f>IFERROR(IF(COUNT(Raw_Data!AB81:AM81)=0,"",SUM(Raw_Data!AB81:AM81)),"")</f>
        <v>230</v>
      </c>
      <c r="G81" s="30">
        <f>IFERROR(IF(COUNT(Raw_Data!AN81:AY81)=0,"",SUM(Raw_Data!AN81:AY81)),"")</f>
        <v>180</v>
      </c>
      <c r="H81" s="30">
        <f>IFERROR(IF(COUNT(Raw_Data!AZ81:BK81)=0,"",SUM(Raw_Data!AZ81:BK81)),"")</f>
        <v>333</v>
      </c>
      <c r="I81" s="30">
        <f>IFERROR(IF(COUNT(Raw_Data!BL81:BW81)=0,"",SUM(Raw_Data!BL81:BW81)),"")</f>
        <v>161</v>
      </c>
      <c r="J81" s="30">
        <f>IFERROR(IF(COUNT(Raw_Data!BX81:CI81)=0,"",SUM(Raw_Data!BX81:CI81)),"")</f>
        <v>182</v>
      </c>
      <c r="K81" s="28">
        <f t="shared" si="7"/>
        <v>0.78260869565217395</v>
      </c>
      <c r="L81" s="28">
        <f t="shared" si="8"/>
        <v>0.21739130434782608</v>
      </c>
      <c r="M81" s="28">
        <f t="shared" si="9"/>
        <v>0.48348348348348347</v>
      </c>
      <c r="N81" s="28">
        <f t="shared" si="10"/>
        <v>0.54654654654654655</v>
      </c>
      <c r="O81" s="7" t="str">
        <f t="shared" si="11"/>
        <v>Valid</v>
      </c>
      <c r="P81" s="13" t="str">
        <f t="shared" si="12"/>
        <v>Invalid</v>
      </c>
      <c r="Q81" s="7" t="str">
        <f t="shared" si="13"/>
        <v>Invalid</v>
      </c>
    </row>
    <row r="82" spans="1:17" ht="75">
      <c r="A82" s="7" t="str">
        <f>IF(Raw_Data!A82="","",TRIM(SUBSTITUTE(CLEAN(Raw_Data!A82),CHAR(160)," ")))</f>
        <v>Bwari Local Government Area</v>
      </c>
      <c r="B82" s="7" t="str">
        <f>IF(Raw_Data!B82="","",TRIM(SUBSTITUTE(CLEAN(Raw_Data!B82),CHAR(160)," ")))</f>
        <v>Usuma Ward</v>
      </c>
      <c r="C82" s="7" t="str">
        <f>IF(Raw_Data!C82="","",TRIM(SUBSTITUTE(CLEAN(Raw_Data!C82),CHAR(160)," ")))</f>
        <v>Diocese of Kubwa, Anglican Hospital</v>
      </c>
      <c r="D82" s="28" t="str">
        <f>IFERROR(IF(COUNT(Raw_Data!D82:O82)=0,"",AVERAGE(Raw_Data!D82:O82)/100),"")</f>
        <v/>
      </c>
      <c r="E82" s="28" t="str">
        <f>IFERROR(IF(COUNT(Raw_Data!P82:AA82)=0,"",AVERAGE(Raw_Data!P82:AA82)/100),"")</f>
        <v/>
      </c>
      <c r="F82" s="30" t="str">
        <f>IFERROR(IF(COUNT(Raw_Data!AB82:AM82)=0,"",SUM(Raw_Data!AB82:AM82)),"")</f>
        <v/>
      </c>
      <c r="G82" s="30" t="str">
        <f>IFERROR(IF(COUNT(Raw_Data!AN82:AY82)=0,"",SUM(Raw_Data!AN82:AY82)),"")</f>
        <v/>
      </c>
      <c r="H82" s="30">
        <f>IFERROR(IF(COUNT(Raw_Data!AZ82:BK82)=0,"",SUM(Raw_Data!AZ82:BK82)),"")</f>
        <v>34</v>
      </c>
      <c r="I82" s="30">
        <f>IFERROR(IF(COUNT(Raw_Data!BL82:BW82)=0,"",SUM(Raw_Data!BL82:BW82)),"")</f>
        <v>33</v>
      </c>
      <c r="J82" s="30">
        <f>IFERROR(IF(COUNT(Raw_Data!BX82:CI82)=0,"",SUM(Raw_Data!BX82:CI82)),"")</f>
        <v>17</v>
      </c>
      <c r="K82" s="28" t="str">
        <f t="shared" si="7"/>
        <v/>
      </c>
      <c r="L82" s="28" t="str">
        <f t="shared" si="8"/>
        <v/>
      </c>
      <c r="M82" s="28">
        <f t="shared" si="9"/>
        <v>0.97058823529411764</v>
      </c>
      <c r="N82" s="28">
        <f t="shared" si="10"/>
        <v>0.5</v>
      </c>
      <c r="O82" s="7" t="str">
        <f t="shared" si="11"/>
        <v>No Data</v>
      </c>
      <c r="P82" s="13" t="str">
        <f t="shared" si="12"/>
        <v>Valid</v>
      </c>
      <c r="Q82" s="7" t="str">
        <f t="shared" si="13"/>
        <v>No Data</v>
      </c>
    </row>
    <row r="83" spans="1:17" ht="90">
      <c r="A83" s="7" t="str">
        <f>IF(Raw_Data!A83="","",TRIM(SUBSTITUTE(CLEAN(Raw_Data!A83),CHAR(160)," ")))</f>
        <v>Bwari Local Government Area</v>
      </c>
      <c r="B83" s="7" t="str">
        <f>IF(Raw_Data!B83="","",TRIM(SUBSTITUTE(CLEAN(Raw_Data!B83),CHAR(160)," ")))</f>
        <v>Dutse Ward</v>
      </c>
      <c r="C83" s="7" t="str">
        <f>IF(Raw_Data!C83="","",TRIM(SUBSTITUTE(CLEAN(Raw_Data!C83),CHAR(160)," ")))</f>
        <v>Divine Winners Medical and Maternity Ltd</v>
      </c>
      <c r="D83" s="28">
        <f>IFERROR(IF(COUNT(Raw_Data!D83:O83)=0,"",AVERAGE(Raw_Data!D83:O83)/100),"")</f>
        <v>1</v>
      </c>
      <c r="E83" s="28" t="str">
        <f>IFERROR(IF(COUNT(Raw_Data!P83:AA83)=0,"",AVERAGE(Raw_Data!P83:AA83)/100),"")</f>
        <v/>
      </c>
      <c r="F83" s="30">
        <f>IFERROR(IF(COUNT(Raw_Data!AB83:AM83)=0,"",SUM(Raw_Data!AB83:AM83)),"")</f>
        <v>179</v>
      </c>
      <c r="G83" s="30">
        <f>IFERROR(IF(COUNT(Raw_Data!AN83:AY83)=0,"",SUM(Raw_Data!AN83:AY83)),"")</f>
        <v>155</v>
      </c>
      <c r="H83" s="30">
        <f>IFERROR(IF(COUNT(Raw_Data!AZ83:BK83)=0,"",SUM(Raw_Data!AZ83:BK83)),"")</f>
        <v>213</v>
      </c>
      <c r="I83" s="30">
        <f>IFERROR(IF(COUNT(Raw_Data!BL83:BW83)=0,"",SUM(Raw_Data!BL83:BW83)),"")</f>
        <v>211</v>
      </c>
      <c r="J83" s="30">
        <f>IFERROR(IF(COUNT(Raw_Data!BX83:CI83)=0,"",SUM(Raw_Data!BX83:CI83)),"")</f>
        <v>105</v>
      </c>
      <c r="K83" s="28">
        <f t="shared" si="7"/>
        <v>0.86592178770949724</v>
      </c>
      <c r="L83" s="28">
        <f t="shared" si="8"/>
        <v>0.13407821229050279</v>
      </c>
      <c r="M83" s="28">
        <f t="shared" si="9"/>
        <v>0.99061032863849763</v>
      </c>
      <c r="N83" s="28">
        <f t="shared" si="10"/>
        <v>0.49295774647887325</v>
      </c>
      <c r="O83" s="7" t="str">
        <f t="shared" si="11"/>
        <v>Valid</v>
      </c>
      <c r="P83" s="13" t="str">
        <f t="shared" si="12"/>
        <v>Valid</v>
      </c>
      <c r="Q83" s="7" t="str">
        <f t="shared" si="13"/>
        <v>Valid</v>
      </c>
    </row>
    <row r="84" spans="1:17" ht="60">
      <c r="A84" s="7" t="str">
        <f>IF(Raw_Data!A84="","",TRIM(SUBSTITUTE(CLEAN(Raw_Data!A84),CHAR(160)," ")))</f>
        <v>Abuja Municipal Area Council</v>
      </c>
      <c r="B84" s="7" t="str">
        <f>IF(Raw_Data!B84="","",TRIM(SUBSTITUTE(CLEAN(Raw_Data!B84),CHAR(160)," ")))</f>
        <v>Kabusa Ward</v>
      </c>
      <c r="C84" s="7" t="str">
        <f>IF(Raw_Data!C84="","",TRIM(SUBSTITUTE(CLEAN(Raw_Data!C84),CHAR(160)," ")))</f>
        <v>Dnakwo Primary Health Clinic</v>
      </c>
      <c r="D84" s="28">
        <f>IFERROR(IF(COUNT(Raw_Data!D84:O84)=0,"",AVERAGE(Raw_Data!D84:O84)/100),"")</f>
        <v>0.90500000000000003</v>
      </c>
      <c r="E84" s="28" t="str">
        <f>IFERROR(IF(COUNT(Raw_Data!P84:AA84)=0,"",AVERAGE(Raw_Data!P84:AA84)/100),"")</f>
        <v/>
      </c>
      <c r="F84" s="30">
        <f>IFERROR(IF(COUNT(Raw_Data!AB84:AM84)=0,"",SUM(Raw_Data!AB84:AM84)),"")</f>
        <v>178</v>
      </c>
      <c r="G84" s="30">
        <f>IFERROR(IF(COUNT(Raw_Data!AN84:AY84)=0,"",SUM(Raw_Data!AN84:AY84)),"")</f>
        <v>241</v>
      </c>
      <c r="H84" s="30">
        <f>IFERROR(IF(COUNT(Raw_Data!AZ84:BK84)=0,"",SUM(Raw_Data!AZ84:BK84)),"")</f>
        <v>34</v>
      </c>
      <c r="I84" s="30">
        <f>IFERROR(IF(COUNT(Raw_Data!BL84:BW84)=0,"",SUM(Raw_Data!BL84:BW84)),"")</f>
        <v>15</v>
      </c>
      <c r="J84" s="30" t="str">
        <f>IFERROR(IF(COUNT(Raw_Data!BX84:CI84)=0,"",SUM(Raw_Data!BX84:CI84)),"")</f>
        <v/>
      </c>
      <c r="K84" s="28">
        <f t="shared" si="7"/>
        <v>1.353932584269663</v>
      </c>
      <c r="L84" s="28">
        <f t="shared" si="8"/>
        <v>-0.3539325842696629</v>
      </c>
      <c r="M84" s="28">
        <f t="shared" si="9"/>
        <v>0.44117647058823528</v>
      </c>
      <c r="N84" s="28" t="str">
        <f t="shared" si="10"/>
        <v/>
      </c>
      <c r="O84" s="7" t="str">
        <f t="shared" si="11"/>
        <v>Invalid</v>
      </c>
      <c r="P84" s="13" t="str">
        <f t="shared" si="12"/>
        <v>Incomplete</v>
      </c>
      <c r="Q84" s="7" t="str">
        <f t="shared" si="13"/>
        <v>Incomplete</v>
      </c>
    </row>
    <row r="85" spans="1:17" ht="60">
      <c r="A85" s="7" t="str">
        <f>IF(Raw_Data!A85="","",TRIM(SUBSTITUTE(CLEAN(Raw_Data!A85),CHAR(160)," ")))</f>
        <v>Gwagwalada Local Government Area</v>
      </c>
      <c r="B85" s="7" t="str">
        <f>IF(Raw_Data!B85="","",TRIM(SUBSTITUTE(CLEAN(Raw_Data!B85),CHAR(160)," ")))</f>
        <v>Dobi Ward</v>
      </c>
      <c r="C85" s="7" t="str">
        <f>IF(Raw_Data!C85="","",TRIM(SUBSTITUTE(CLEAN(Raw_Data!C85),CHAR(160)," ")))</f>
        <v>Dobi Health Care Clinic</v>
      </c>
      <c r="D85" s="28">
        <f>IFERROR(IF(COUNT(Raw_Data!D85:O85)=0,"",AVERAGE(Raw_Data!D85:O85)/100),"")</f>
        <v>0.93181818181818188</v>
      </c>
      <c r="E85" s="28">
        <f>IFERROR(IF(COUNT(Raw_Data!P85:AA85)=0,"",AVERAGE(Raw_Data!P85:AA85)/100),"")</f>
        <v>0.75</v>
      </c>
      <c r="F85" s="30">
        <f>IFERROR(IF(COUNT(Raw_Data!AB85:AM85)=0,"",SUM(Raw_Data!AB85:AM85)),"")</f>
        <v>606</v>
      </c>
      <c r="G85" s="30">
        <f>IFERROR(IF(COUNT(Raw_Data!AN85:AY85)=0,"",SUM(Raw_Data!AN85:AY85)),"")</f>
        <v>818</v>
      </c>
      <c r="H85" s="30">
        <f>IFERROR(IF(COUNT(Raw_Data!AZ85:BK85)=0,"",SUM(Raw_Data!AZ85:BK85)),"")</f>
        <v>265</v>
      </c>
      <c r="I85" s="30">
        <f>IFERROR(IF(COUNT(Raw_Data!BL85:BW85)=0,"",SUM(Raw_Data!BL85:BW85)),"")</f>
        <v>87</v>
      </c>
      <c r="J85" s="30">
        <f>IFERROR(IF(COUNT(Raw_Data!BX85:CI85)=0,"",SUM(Raw_Data!BX85:CI85)),"")</f>
        <v>57</v>
      </c>
      <c r="K85" s="28">
        <f t="shared" si="7"/>
        <v>1.3498349834983498</v>
      </c>
      <c r="L85" s="28">
        <f t="shared" si="8"/>
        <v>-0.34983498349834985</v>
      </c>
      <c r="M85" s="28">
        <f t="shared" si="9"/>
        <v>0.32830188679245281</v>
      </c>
      <c r="N85" s="28">
        <f t="shared" si="10"/>
        <v>0.21509433962264152</v>
      </c>
      <c r="O85" s="7" t="str">
        <f t="shared" si="11"/>
        <v>Invalid</v>
      </c>
      <c r="P85" s="13" t="str">
        <f t="shared" si="12"/>
        <v>Valid</v>
      </c>
      <c r="Q85" s="7" t="str">
        <f t="shared" si="13"/>
        <v>Invalid</v>
      </c>
    </row>
    <row r="86" spans="1:17" ht="75">
      <c r="A86" s="7" t="str">
        <f>IF(Raw_Data!A86="","",TRIM(SUBSTITUTE(CLEAN(Raw_Data!A86),CHAR(160)," ")))</f>
        <v>Abaji Local Government Area</v>
      </c>
      <c r="B86" s="7" t="str">
        <f>IF(Raw_Data!B86="","",TRIM(SUBSTITUTE(CLEAN(Raw_Data!B86),CHAR(160)," ")))</f>
        <v>Gawu Ward</v>
      </c>
      <c r="C86" s="7" t="str">
        <f>IF(Raw_Data!C86="","",TRIM(SUBSTITUTE(CLEAN(Raw_Data!C86),CHAR(160)," ")))</f>
        <v>Dogonruwa Primary Health Clinic</v>
      </c>
      <c r="D86" s="28">
        <f>IFERROR(IF(COUNT(Raw_Data!D86:O86)=0,"",AVERAGE(Raw_Data!D86:O86)/100),"")</f>
        <v>0.9375</v>
      </c>
      <c r="E86" s="28">
        <f>IFERROR(IF(COUNT(Raw_Data!P86:AA86)=0,"",AVERAGE(Raw_Data!P86:AA86)/100),"")</f>
        <v>0.9375</v>
      </c>
      <c r="F86" s="30">
        <f>IFERROR(IF(COUNT(Raw_Data!AB86:AM86)=0,"",SUM(Raw_Data!AB86:AM86)),"")</f>
        <v>435</v>
      </c>
      <c r="G86" s="30">
        <f>IFERROR(IF(COUNT(Raw_Data!AN86:AY86)=0,"",SUM(Raw_Data!AN86:AY86)),"")</f>
        <v>441</v>
      </c>
      <c r="H86" s="30">
        <f>IFERROR(IF(COUNT(Raw_Data!AZ86:BK86)=0,"",SUM(Raw_Data!AZ86:BK86)),"")</f>
        <v>101</v>
      </c>
      <c r="I86" s="30">
        <f>IFERROR(IF(COUNT(Raw_Data!BL86:BW86)=0,"",SUM(Raw_Data!BL86:BW86)),"")</f>
        <v>69</v>
      </c>
      <c r="J86" s="30">
        <f>IFERROR(IF(COUNT(Raw_Data!BX86:CI86)=0,"",SUM(Raw_Data!BX86:CI86)),"")</f>
        <v>3</v>
      </c>
      <c r="K86" s="28">
        <f t="shared" si="7"/>
        <v>1.0137931034482759</v>
      </c>
      <c r="L86" s="28">
        <f t="shared" si="8"/>
        <v>-1.3793103448275862E-2</v>
      </c>
      <c r="M86" s="28">
        <f t="shared" si="9"/>
        <v>0.68316831683168322</v>
      </c>
      <c r="N86" s="28">
        <f t="shared" si="10"/>
        <v>2.9702970297029702E-2</v>
      </c>
      <c r="O86" s="7" t="str">
        <f t="shared" si="11"/>
        <v>Invalid</v>
      </c>
      <c r="P86" s="13" t="str">
        <f t="shared" si="12"/>
        <v>Valid</v>
      </c>
      <c r="Q86" s="7" t="str">
        <f t="shared" si="13"/>
        <v>Invalid</v>
      </c>
    </row>
    <row r="87" spans="1:17" ht="75">
      <c r="A87" s="7" t="str">
        <f>IF(Raw_Data!A87="","",TRIM(SUBSTITUTE(CLEAN(Raw_Data!A87),CHAR(160)," ")))</f>
        <v>Abuja Municipal Area Council</v>
      </c>
      <c r="B87" s="7" t="str">
        <f>IF(Raw_Data!B87="","",TRIM(SUBSTITUTE(CLEAN(Raw_Data!B87),CHAR(160)," ")))</f>
        <v>Wuse Ward</v>
      </c>
      <c r="C87" s="7" t="str">
        <f>IF(Raw_Data!C87="","",TRIM(SUBSTITUTE(CLEAN(Raw_Data!C87),CHAR(160)," ")))</f>
        <v>Dr. Hassan'S Clinic &amp; Diag. Centre</v>
      </c>
      <c r="D87" s="28" t="str">
        <f>IFERROR(IF(COUNT(Raw_Data!D87:O87)=0,"",AVERAGE(Raw_Data!D87:O87)/100),"")</f>
        <v/>
      </c>
      <c r="E87" s="28" t="str">
        <f>IFERROR(IF(COUNT(Raw_Data!P87:AA87)=0,"",AVERAGE(Raw_Data!P87:AA87)/100),"")</f>
        <v/>
      </c>
      <c r="F87" s="30">
        <f>IFERROR(IF(COUNT(Raw_Data!AB87:AM87)=0,"",SUM(Raw_Data!AB87:AM87)),"")</f>
        <v>3</v>
      </c>
      <c r="G87" s="30">
        <f>IFERROR(IF(COUNT(Raw_Data!AN87:AY87)=0,"",SUM(Raw_Data!AN87:AY87)),"")</f>
        <v>2</v>
      </c>
      <c r="H87" s="30">
        <f>IFERROR(IF(COUNT(Raw_Data!AZ87:BK87)=0,"",SUM(Raw_Data!AZ87:BK87)),"")</f>
        <v>17</v>
      </c>
      <c r="I87" s="30">
        <f>IFERROR(IF(COUNT(Raw_Data!BL87:BW87)=0,"",SUM(Raw_Data!BL87:BW87)),"")</f>
        <v>10</v>
      </c>
      <c r="J87" s="30">
        <f>IFERROR(IF(COUNT(Raw_Data!BX87:CI87)=0,"",SUM(Raw_Data!BX87:CI87)),"")</f>
        <v>6</v>
      </c>
      <c r="K87" s="28">
        <f t="shared" si="7"/>
        <v>0.66666666666666663</v>
      </c>
      <c r="L87" s="28">
        <f t="shared" si="8"/>
        <v>0.33333333333333331</v>
      </c>
      <c r="M87" s="28">
        <f t="shared" si="9"/>
        <v>0.58823529411764708</v>
      </c>
      <c r="N87" s="28">
        <f t="shared" si="10"/>
        <v>0.35294117647058826</v>
      </c>
      <c r="O87" s="7" t="str">
        <f t="shared" si="11"/>
        <v>Valid</v>
      </c>
      <c r="P87" s="13" t="str">
        <f t="shared" si="12"/>
        <v>Valid</v>
      </c>
      <c r="Q87" s="7" t="str">
        <f t="shared" si="13"/>
        <v>Valid</v>
      </c>
    </row>
    <row r="88" spans="1:17" ht="60">
      <c r="A88" s="7" t="str">
        <f>IF(Raw_Data!A88="","",TRIM(SUBSTITUTE(CLEAN(Raw_Data!A88),CHAR(160)," ")))</f>
        <v>Kuje Local Government Area</v>
      </c>
      <c r="B88" s="7" t="str">
        <f>IF(Raw_Data!B88="","",TRIM(SUBSTITUTE(CLEAN(Raw_Data!B88),CHAR(160)," ")))</f>
        <v>Kabi Ward</v>
      </c>
      <c r="C88" s="7" t="str">
        <f>IF(Raw_Data!C88="","",TRIM(SUBSTITUTE(CLEAN(Raw_Data!C88),CHAR(160)," ")))</f>
        <v>Duda Primary Health Centre</v>
      </c>
      <c r="D88" s="28">
        <f>IFERROR(IF(COUNT(Raw_Data!D88:O88)=0,"",AVERAGE(Raw_Data!D88:O88)/100),"")</f>
        <v>1</v>
      </c>
      <c r="E88" s="28">
        <f>IFERROR(IF(COUNT(Raw_Data!P88:AA88)=0,"",AVERAGE(Raw_Data!P88:AA88)/100),"")</f>
        <v>1</v>
      </c>
      <c r="F88" s="30">
        <f>IFERROR(IF(COUNT(Raw_Data!AB88:AM88)=0,"",SUM(Raw_Data!AB88:AM88)),"")</f>
        <v>265</v>
      </c>
      <c r="G88" s="30">
        <f>IFERROR(IF(COUNT(Raw_Data!AN88:AY88)=0,"",SUM(Raw_Data!AN88:AY88)),"")</f>
        <v>205</v>
      </c>
      <c r="H88" s="30">
        <f>IFERROR(IF(COUNT(Raw_Data!AZ88:BK88)=0,"",SUM(Raw_Data!AZ88:BK88)),"")</f>
        <v>105</v>
      </c>
      <c r="I88" s="30">
        <f>IFERROR(IF(COUNT(Raw_Data!BL88:BW88)=0,"",SUM(Raw_Data!BL88:BW88)),"")</f>
        <v>34</v>
      </c>
      <c r="J88" s="30">
        <f>IFERROR(IF(COUNT(Raw_Data!BX88:CI88)=0,"",SUM(Raw_Data!BX88:CI88)),"")</f>
        <v>12</v>
      </c>
      <c r="K88" s="28">
        <f t="shared" si="7"/>
        <v>0.77358490566037741</v>
      </c>
      <c r="L88" s="28">
        <f t="shared" si="8"/>
        <v>0.22641509433962265</v>
      </c>
      <c r="M88" s="28">
        <f t="shared" si="9"/>
        <v>0.32380952380952382</v>
      </c>
      <c r="N88" s="28">
        <f t="shared" si="10"/>
        <v>0.11428571428571428</v>
      </c>
      <c r="O88" s="7" t="str">
        <f t="shared" si="11"/>
        <v>Valid</v>
      </c>
      <c r="P88" s="13" t="str">
        <f t="shared" si="12"/>
        <v>Valid</v>
      </c>
      <c r="Q88" s="7" t="str">
        <f t="shared" si="13"/>
        <v>Valid</v>
      </c>
    </row>
    <row r="89" spans="1:17" ht="60">
      <c r="A89" s="7" t="str">
        <f>IF(Raw_Data!A89="","",TRIM(SUBSTITUTE(CLEAN(Raw_Data!A89),CHAR(160)," ")))</f>
        <v>Gwagwalada Local Government Area</v>
      </c>
      <c r="B89" s="7" t="str">
        <f>IF(Raw_Data!B89="","",TRIM(SUBSTITUTE(CLEAN(Raw_Data!B89),CHAR(160)," ")))</f>
        <v>Ibwa Ward</v>
      </c>
      <c r="C89" s="7" t="str">
        <f>IF(Raw_Data!C89="","",TRIM(SUBSTITUTE(CLEAN(Raw_Data!C89),CHAR(160)," ")))</f>
        <v>Dukwa Health Post</v>
      </c>
      <c r="D89" s="28">
        <f>IFERROR(IF(COUNT(Raw_Data!D89:O89)=0,"",AVERAGE(Raw_Data!D89:O89)/100),"")</f>
        <v>0.90832999999999997</v>
      </c>
      <c r="E89" s="28">
        <f>IFERROR(IF(COUNT(Raw_Data!P89:AA89)=0,"",AVERAGE(Raw_Data!P89:AA89)/100),"")</f>
        <v>0.85</v>
      </c>
      <c r="F89" s="30">
        <f>IFERROR(IF(COUNT(Raw_Data!AB89:AM89)=0,"",SUM(Raw_Data!AB89:AM89)),"")</f>
        <v>272</v>
      </c>
      <c r="G89" s="30">
        <f>IFERROR(IF(COUNT(Raw_Data!AN89:AY89)=0,"",SUM(Raw_Data!AN89:AY89)),"")</f>
        <v>258</v>
      </c>
      <c r="H89" s="30">
        <f>IFERROR(IF(COUNT(Raw_Data!AZ89:BK89)=0,"",SUM(Raw_Data!AZ89:BK89)),"")</f>
        <v>167</v>
      </c>
      <c r="I89" s="30">
        <f>IFERROR(IF(COUNT(Raw_Data!BL89:BW89)=0,"",SUM(Raw_Data!BL89:BW89)),"")</f>
        <v>104</v>
      </c>
      <c r="J89" s="30">
        <f>IFERROR(IF(COUNT(Raw_Data!BX89:CI89)=0,"",SUM(Raw_Data!BX89:CI89)),"")</f>
        <v>24</v>
      </c>
      <c r="K89" s="28">
        <f t="shared" si="7"/>
        <v>0.94852941176470584</v>
      </c>
      <c r="L89" s="28">
        <f t="shared" si="8"/>
        <v>5.1470588235294115E-2</v>
      </c>
      <c r="M89" s="28">
        <f t="shared" si="9"/>
        <v>0.6227544910179641</v>
      </c>
      <c r="N89" s="28">
        <f t="shared" si="10"/>
        <v>0.1437125748502994</v>
      </c>
      <c r="O89" s="7" t="str">
        <f t="shared" si="11"/>
        <v>Valid</v>
      </c>
      <c r="P89" s="13" t="str">
        <f t="shared" si="12"/>
        <v>Valid</v>
      </c>
      <c r="Q89" s="7" t="str">
        <f t="shared" si="13"/>
        <v>Valid</v>
      </c>
    </row>
    <row r="90" spans="1:17" ht="60">
      <c r="A90" s="7" t="str">
        <f>IF(Raw_Data!A90="","",TRIM(SUBSTITUTE(CLEAN(Raw_Data!A90),CHAR(160)," ")))</f>
        <v>Abuja Municipal Area Council</v>
      </c>
      <c r="B90" s="7" t="str">
        <f>IF(Raw_Data!B90="","",TRIM(SUBSTITUTE(CLEAN(Raw_Data!B90),CHAR(160)," ")))</f>
        <v>Garki Ward</v>
      </c>
      <c r="C90" s="7" t="str">
        <f>IF(Raw_Data!C90="","",TRIM(SUBSTITUTE(CLEAN(Raw_Data!C90),CHAR(160)," ")))</f>
        <v>Durumi II Primary Health Clinic</v>
      </c>
      <c r="D90" s="28">
        <f>IFERROR(IF(COUNT(Raw_Data!D90:O90)=0,"",AVERAGE(Raw_Data!D90:O90)/100),"")</f>
        <v>0.93827777777777788</v>
      </c>
      <c r="E90" s="28">
        <f>IFERROR(IF(COUNT(Raw_Data!P90:AA90)=0,"",AVERAGE(Raw_Data!P90:AA90)/100),"")</f>
        <v>1</v>
      </c>
      <c r="F90" s="30">
        <f>IFERROR(IF(COUNT(Raw_Data!AB90:AM90)=0,"",SUM(Raw_Data!AB90:AM90)),"")</f>
        <v>393</v>
      </c>
      <c r="G90" s="30">
        <f>IFERROR(IF(COUNT(Raw_Data!AN90:AY90)=0,"",SUM(Raw_Data!AN90:AY90)),"")</f>
        <v>530</v>
      </c>
      <c r="H90" s="30">
        <f>IFERROR(IF(COUNT(Raw_Data!AZ90:BK90)=0,"",SUM(Raw_Data!AZ90:BK90)),"")</f>
        <v>498</v>
      </c>
      <c r="I90" s="30">
        <f>IFERROR(IF(COUNT(Raw_Data!BL90:BW90)=0,"",SUM(Raw_Data!BL90:BW90)),"")</f>
        <v>173</v>
      </c>
      <c r="J90" s="30">
        <f>IFERROR(IF(COUNT(Raw_Data!BX90:CI90)=0,"",SUM(Raw_Data!BX90:CI90)),"")</f>
        <v>223</v>
      </c>
      <c r="K90" s="28">
        <f t="shared" si="7"/>
        <v>1.3486005089058524</v>
      </c>
      <c r="L90" s="28">
        <f t="shared" si="8"/>
        <v>-0.34860050890585242</v>
      </c>
      <c r="M90" s="28">
        <f t="shared" si="9"/>
        <v>0.34738955823293172</v>
      </c>
      <c r="N90" s="28">
        <f t="shared" si="10"/>
        <v>0.44779116465863456</v>
      </c>
      <c r="O90" s="7" t="str">
        <f t="shared" si="11"/>
        <v>Invalid</v>
      </c>
      <c r="P90" s="13" t="str">
        <f t="shared" si="12"/>
        <v>Invalid</v>
      </c>
      <c r="Q90" s="7" t="str">
        <f t="shared" si="13"/>
        <v>Invalid</v>
      </c>
    </row>
    <row r="91" spans="1:17" ht="60">
      <c r="A91" s="7" t="str">
        <f>IF(Raw_Data!A91="","",TRIM(SUBSTITUTE(CLEAN(Raw_Data!A91),CHAR(160)," ")))</f>
        <v>Bwari Local Government Area</v>
      </c>
      <c r="B91" s="7" t="str">
        <f>IF(Raw_Data!B91="","",TRIM(SUBSTITUTE(CLEAN(Raw_Data!B91),CHAR(160)," ")))</f>
        <v>Shere Ward</v>
      </c>
      <c r="C91" s="7" t="str">
        <f>IF(Raw_Data!C91="","",TRIM(SUBSTITUTE(CLEAN(Raw_Data!C91),CHAR(160)," ")))</f>
        <v>Durumi Primary Health Clinic</v>
      </c>
      <c r="D91" s="28">
        <f>IFERROR(IF(COUNT(Raw_Data!D91:O91)=0,"",AVERAGE(Raw_Data!D91:O91)/100),"")</f>
        <v>1</v>
      </c>
      <c r="E91" s="28">
        <f>IFERROR(IF(COUNT(Raw_Data!P91:AA91)=0,"",AVERAGE(Raw_Data!P91:AA91)/100),"")</f>
        <v>3</v>
      </c>
      <c r="F91" s="30">
        <f>IFERROR(IF(COUNT(Raw_Data!AB91:AM91)=0,"",SUM(Raw_Data!AB91:AM91)),"")</f>
        <v>208</v>
      </c>
      <c r="G91" s="30">
        <f>IFERROR(IF(COUNT(Raw_Data!AN91:AY91)=0,"",SUM(Raw_Data!AN91:AY91)),"")</f>
        <v>201</v>
      </c>
      <c r="H91" s="30">
        <f>IFERROR(IF(COUNT(Raw_Data!AZ91:BK91)=0,"",SUM(Raw_Data!AZ91:BK91)),"")</f>
        <v>85</v>
      </c>
      <c r="I91" s="30">
        <f>IFERROR(IF(COUNT(Raw_Data!BL91:BW91)=0,"",SUM(Raw_Data!BL91:BW91)),"")</f>
        <v>37</v>
      </c>
      <c r="J91" s="30">
        <f>IFERROR(IF(COUNT(Raw_Data!BX91:CI91)=0,"",SUM(Raw_Data!BX91:CI91)),"")</f>
        <v>15</v>
      </c>
      <c r="K91" s="28">
        <f t="shared" si="7"/>
        <v>0.96634615384615385</v>
      </c>
      <c r="L91" s="28">
        <f t="shared" si="8"/>
        <v>3.3653846153846152E-2</v>
      </c>
      <c r="M91" s="28">
        <f t="shared" si="9"/>
        <v>0.43529411764705883</v>
      </c>
      <c r="N91" s="28">
        <f t="shared" si="10"/>
        <v>0.17647058823529413</v>
      </c>
      <c r="O91" s="7" t="str">
        <f t="shared" si="11"/>
        <v>Valid</v>
      </c>
      <c r="P91" s="13" t="str">
        <f t="shared" si="12"/>
        <v>Valid</v>
      </c>
      <c r="Q91" s="7" t="str">
        <f t="shared" si="13"/>
        <v>Valid</v>
      </c>
    </row>
    <row r="92" spans="1:17" ht="75">
      <c r="A92" s="7" t="str">
        <f>IF(Raw_Data!A92="","",TRIM(SUBSTITUTE(CLEAN(Raw_Data!A92),CHAR(160)," ")))</f>
        <v>Bwari Local Government Area</v>
      </c>
      <c r="B92" s="7" t="str">
        <f>IF(Raw_Data!B92="","",TRIM(SUBSTITUTE(CLEAN(Raw_Data!B92),CHAR(160)," ")))</f>
        <v>Dutse Ward</v>
      </c>
      <c r="C92" s="7" t="str">
        <f>IF(Raw_Data!C92="","",TRIM(SUBSTITUTE(CLEAN(Raw_Data!C92),CHAR(160)," ")))</f>
        <v>Dutse Alhaji Primary Health Centre</v>
      </c>
      <c r="D92" s="28">
        <f>IFERROR(IF(COUNT(Raw_Data!D92:O92)=0,"",AVERAGE(Raw_Data!D92:O92)/100),"")</f>
        <v>0.86116000000000004</v>
      </c>
      <c r="E92" s="28">
        <f>IFERROR(IF(COUNT(Raw_Data!P92:AA92)=0,"",AVERAGE(Raw_Data!P92:AA92)/100),"")</f>
        <v>0.95238571428571428</v>
      </c>
      <c r="F92" s="30">
        <f>IFERROR(IF(COUNT(Raw_Data!AB92:AM92)=0,"",SUM(Raw_Data!AB92:AM92)),"")</f>
        <v>971</v>
      </c>
      <c r="G92" s="30">
        <f>IFERROR(IF(COUNT(Raw_Data!AN92:AY92)=0,"",SUM(Raw_Data!AN92:AY92)),"")</f>
        <v>852</v>
      </c>
      <c r="H92" s="30">
        <f>IFERROR(IF(COUNT(Raw_Data!AZ92:BK92)=0,"",SUM(Raw_Data!AZ92:BK92)),"")</f>
        <v>393</v>
      </c>
      <c r="I92" s="30">
        <f>IFERROR(IF(COUNT(Raw_Data!BL92:BW92)=0,"",SUM(Raw_Data!BL92:BW92)),"")</f>
        <v>164</v>
      </c>
      <c r="J92" s="30" t="str">
        <f>IFERROR(IF(COUNT(Raw_Data!BX92:CI92)=0,"",SUM(Raw_Data!BX92:CI92)),"")</f>
        <v/>
      </c>
      <c r="K92" s="28">
        <f t="shared" si="7"/>
        <v>0.87744593202883625</v>
      </c>
      <c r="L92" s="28">
        <f t="shared" si="8"/>
        <v>0.12255406797116375</v>
      </c>
      <c r="M92" s="28">
        <f t="shared" si="9"/>
        <v>0.41730279898218831</v>
      </c>
      <c r="N92" s="28" t="str">
        <f t="shared" si="10"/>
        <v/>
      </c>
      <c r="O92" s="7" t="str">
        <f t="shared" si="11"/>
        <v>Valid</v>
      </c>
      <c r="P92" s="13" t="str">
        <f t="shared" si="12"/>
        <v>Incomplete</v>
      </c>
      <c r="Q92" s="7" t="str">
        <f t="shared" si="13"/>
        <v>Incomplete</v>
      </c>
    </row>
    <row r="93" spans="1:17" ht="90">
      <c r="A93" s="7" t="str">
        <f>IF(Raw_Data!A93="","",TRIM(SUBSTITUTE(CLEAN(Raw_Data!A93),CHAR(160)," ")))</f>
        <v>Bwari Local Government Area</v>
      </c>
      <c r="B93" s="7" t="str">
        <f>IF(Raw_Data!B93="","",TRIM(SUBSTITUTE(CLEAN(Raw_Data!B93),CHAR(160)," ")))</f>
        <v>Dutse Ward</v>
      </c>
      <c r="C93" s="7" t="str">
        <f>IF(Raw_Data!C93="","",TRIM(SUBSTITUTE(CLEAN(Raw_Data!C93),CHAR(160)," ")))</f>
        <v>Dutse Makaranta Primary Health Centre</v>
      </c>
      <c r="D93" s="28">
        <f>IFERROR(IF(COUNT(Raw_Data!D93:O93)=0,"",AVERAGE(Raw_Data!D93:O93)/100),"")</f>
        <v>0.98333999999999988</v>
      </c>
      <c r="E93" s="28">
        <f>IFERROR(IF(COUNT(Raw_Data!P93:AA93)=0,"",AVERAGE(Raw_Data!P93:AA93)/100),"")</f>
        <v>0.94444444444444442</v>
      </c>
      <c r="F93" s="30">
        <f>IFERROR(IF(COUNT(Raw_Data!AB93:AM93)=0,"",SUM(Raw_Data!AB93:AM93)),"")</f>
        <v>1459</v>
      </c>
      <c r="G93" s="30">
        <f>IFERROR(IF(COUNT(Raw_Data!AN93:AY93)=0,"",SUM(Raw_Data!AN93:AY93)),"")</f>
        <v>1446</v>
      </c>
      <c r="H93" s="30">
        <f>IFERROR(IF(COUNT(Raw_Data!AZ93:BK93)=0,"",SUM(Raw_Data!AZ93:BK93)),"")</f>
        <v>680</v>
      </c>
      <c r="I93" s="30">
        <f>IFERROR(IF(COUNT(Raw_Data!BL93:BW93)=0,"",SUM(Raw_Data!BL93:BW93)),"")</f>
        <v>325</v>
      </c>
      <c r="J93" s="30">
        <f>IFERROR(IF(COUNT(Raw_Data!BX93:CI93)=0,"",SUM(Raw_Data!BX93:CI93)),"")</f>
        <v>20</v>
      </c>
      <c r="K93" s="28">
        <f t="shared" si="7"/>
        <v>0.99108978752570254</v>
      </c>
      <c r="L93" s="28">
        <f t="shared" si="8"/>
        <v>8.9102124742974648E-3</v>
      </c>
      <c r="M93" s="28">
        <f t="shared" si="9"/>
        <v>0.47794117647058826</v>
      </c>
      <c r="N93" s="28">
        <f t="shared" si="10"/>
        <v>2.9411764705882353E-2</v>
      </c>
      <c r="O93" s="7" t="str">
        <f t="shared" si="11"/>
        <v>Valid</v>
      </c>
      <c r="P93" s="13" t="str">
        <f t="shared" si="12"/>
        <v>Valid</v>
      </c>
      <c r="Q93" s="7" t="str">
        <f t="shared" si="13"/>
        <v>Valid</v>
      </c>
    </row>
    <row r="94" spans="1:17" ht="60">
      <c r="A94" s="7" t="str">
        <f>IF(Raw_Data!A94="","",TRIM(SUBSTITUTE(CLEAN(Raw_Data!A94),CHAR(160)," ")))</f>
        <v>Abuja Municipal Area Council</v>
      </c>
      <c r="B94" s="7" t="str">
        <f>IF(Raw_Data!B94="","",TRIM(SUBSTITUTE(CLEAN(Raw_Data!B94),CHAR(160)," ")))</f>
        <v>Garki Ward</v>
      </c>
      <c r="C94" s="7" t="str">
        <f>IF(Raw_Data!C94="","",TRIM(SUBSTITUTE(CLEAN(Raw_Data!C94),CHAR(160)," ")))</f>
        <v>Dutsen Garki Health Clinic</v>
      </c>
      <c r="D94" s="28">
        <f>IFERROR(IF(COUNT(Raw_Data!D94:O94)=0,"",AVERAGE(Raw_Data!D94:O94)/100),"")</f>
        <v>0.90417000000000003</v>
      </c>
      <c r="E94" s="28" t="str">
        <f>IFERROR(IF(COUNT(Raw_Data!P94:AA94)=0,"",AVERAGE(Raw_Data!P94:AA94)/100),"")</f>
        <v/>
      </c>
      <c r="F94" s="30">
        <f>IFERROR(IF(COUNT(Raw_Data!AB94:AM94)=0,"",SUM(Raw_Data!AB94:AM94)),"")</f>
        <v>505</v>
      </c>
      <c r="G94" s="30">
        <f>IFERROR(IF(COUNT(Raw_Data!AN94:AY94)=0,"",SUM(Raw_Data!AN94:AY94)),"")</f>
        <v>546</v>
      </c>
      <c r="H94" s="30">
        <f>IFERROR(IF(COUNT(Raw_Data!AZ94:BK94)=0,"",SUM(Raw_Data!AZ94:BK94)),"")</f>
        <v>218</v>
      </c>
      <c r="I94" s="30">
        <f>IFERROR(IF(COUNT(Raw_Data!BL94:BW94)=0,"",SUM(Raw_Data!BL94:BW94)),"")</f>
        <v>123</v>
      </c>
      <c r="J94" s="30">
        <f>IFERROR(IF(COUNT(Raw_Data!BX94:CI94)=0,"",SUM(Raw_Data!BX94:CI94)),"")</f>
        <v>20</v>
      </c>
      <c r="K94" s="28">
        <f t="shared" si="7"/>
        <v>1.0811881188118813</v>
      </c>
      <c r="L94" s="28">
        <f t="shared" si="8"/>
        <v>-8.1188118811881191E-2</v>
      </c>
      <c r="M94" s="28">
        <f t="shared" si="9"/>
        <v>0.56422018348623848</v>
      </c>
      <c r="N94" s="28">
        <f t="shared" si="10"/>
        <v>9.1743119266055051E-2</v>
      </c>
      <c r="O94" s="7" t="str">
        <f t="shared" si="11"/>
        <v>Invalid</v>
      </c>
      <c r="P94" s="13" t="str">
        <f t="shared" si="12"/>
        <v>Valid</v>
      </c>
      <c r="Q94" s="7" t="str">
        <f t="shared" si="13"/>
        <v>Invalid</v>
      </c>
    </row>
    <row r="95" spans="1:17" ht="60">
      <c r="A95" s="7" t="str">
        <f>IF(Raw_Data!A95="","",TRIM(SUBSTITUTE(CLEAN(Raw_Data!A95),CHAR(160)," ")))</f>
        <v>Abaji Local Government Area</v>
      </c>
      <c r="B95" s="7" t="str">
        <f>IF(Raw_Data!B95="","",TRIM(SUBSTITUTE(CLEAN(Raw_Data!B95),CHAR(160)," ")))</f>
        <v>Ebagi Rimba Ward</v>
      </c>
      <c r="C95" s="7" t="str">
        <f>IF(Raw_Data!C95="","",TRIM(SUBSTITUTE(CLEAN(Raw_Data!C95),CHAR(160)," ")))</f>
        <v>Ebagi Primary Health Clinic</v>
      </c>
      <c r="D95" s="28">
        <f>IFERROR(IF(COUNT(Raw_Data!D95:O95)=0,"",AVERAGE(Raw_Data!D95:O95)/100),"")</f>
        <v>0.91666666666666674</v>
      </c>
      <c r="E95" s="28">
        <f>IFERROR(IF(COUNT(Raw_Data!P95:AA95)=0,"",AVERAGE(Raw_Data!P95:AA95)/100),"")</f>
        <v>0.88888888888888884</v>
      </c>
      <c r="F95" s="30">
        <f>IFERROR(IF(COUNT(Raw_Data!AB95:AM95)=0,"",SUM(Raw_Data!AB95:AM95)),"")</f>
        <v>119</v>
      </c>
      <c r="G95" s="30">
        <f>IFERROR(IF(COUNT(Raw_Data!AN95:AY95)=0,"",SUM(Raw_Data!AN95:AY95)),"")</f>
        <v>112</v>
      </c>
      <c r="H95" s="30">
        <f>IFERROR(IF(COUNT(Raw_Data!AZ95:BK95)=0,"",SUM(Raw_Data!AZ95:BK95)),"")</f>
        <v>58</v>
      </c>
      <c r="I95" s="30" t="str">
        <f>IFERROR(IF(COUNT(Raw_Data!BL95:BW95)=0,"",SUM(Raw_Data!BL95:BW95)),"")</f>
        <v/>
      </c>
      <c r="J95" s="30" t="str">
        <f>IFERROR(IF(COUNT(Raw_Data!BX95:CI95)=0,"",SUM(Raw_Data!BX95:CI95)),"")</f>
        <v/>
      </c>
      <c r="K95" s="28">
        <f t="shared" si="7"/>
        <v>0.94117647058823528</v>
      </c>
      <c r="L95" s="28">
        <f t="shared" si="8"/>
        <v>5.8823529411764705E-2</v>
      </c>
      <c r="M95" s="28" t="str">
        <f t="shared" si="9"/>
        <v/>
      </c>
      <c r="N95" s="28" t="str">
        <f t="shared" si="10"/>
        <v/>
      </c>
      <c r="O95" s="7" t="str">
        <f t="shared" si="11"/>
        <v>Valid</v>
      </c>
      <c r="P95" s="13" t="str">
        <f t="shared" si="12"/>
        <v>Incomplete</v>
      </c>
      <c r="Q95" s="7" t="str">
        <f t="shared" si="13"/>
        <v>Incomplete</v>
      </c>
    </row>
    <row r="96" spans="1:17" ht="75">
      <c r="A96" s="7" t="str">
        <f>IF(Raw_Data!A96="","",TRIM(SUBSTITUTE(CLEAN(Raw_Data!A96),CHAR(160)," ")))</f>
        <v>Abuja Municipal Area Council</v>
      </c>
      <c r="B96" s="7" t="str">
        <f>IF(Raw_Data!B96="","",TRIM(SUBSTITUTE(CLEAN(Raw_Data!B96),CHAR(160)," ")))</f>
        <v>Gwarimpa Ward</v>
      </c>
      <c r="C96" s="7" t="str">
        <f>IF(Raw_Data!C96="","",TRIM(SUBSTITUTE(CLEAN(Raw_Data!C96),CHAR(160)," ")))</f>
        <v>EL-Rapha Hospital &amp; Diagnostic Centre</v>
      </c>
      <c r="D96" s="28">
        <f>IFERROR(IF(COUNT(Raw_Data!D96:O96)=0,"",AVERAGE(Raw_Data!D96:O96)/100),"")</f>
        <v>1</v>
      </c>
      <c r="E96" s="28" t="str">
        <f>IFERROR(IF(COUNT(Raw_Data!P96:AA96)=0,"",AVERAGE(Raw_Data!P96:AA96)/100),"")</f>
        <v/>
      </c>
      <c r="F96" s="30">
        <f>IFERROR(IF(COUNT(Raw_Data!AB96:AM96)=0,"",SUM(Raw_Data!AB96:AM96)),"")</f>
        <v>295</v>
      </c>
      <c r="G96" s="30">
        <f>IFERROR(IF(COUNT(Raw_Data!AN96:AY96)=0,"",SUM(Raw_Data!AN96:AY96)),"")</f>
        <v>275</v>
      </c>
      <c r="H96" s="30">
        <f>IFERROR(IF(COUNT(Raw_Data!AZ96:BK96)=0,"",SUM(Raw_Data!AZ96:BK96)),"")</f>
        <v>150</v>
      </c>
      <c r="I96" s="30">
        <f>IFERROR(IF(COUNT(Raw_Data!BL96:BW96)=0,"",SUM(Raw_Data!BL96:BW96)),"")</f>
        <v>86</v>
      </c>
      <c r="J96" s="30">
        <f>IFERROR(IF(COUNT(Raw_Data!BX96:CI96)=0,"",SUM(Raw_Data!BX96:CI96)),"")</f>
        <v>39</v>
      </c>
      <c r="K96" s="28">
        <f t="shared" si="7"/>
        <v>0.93220338983050843</v>
      </c>
      <c r="L96" s="28">
        <f t="shared" si="8"/>
        <v>6.7796610169491525E-2</v>
      </c>
      <c r="M96" s="28">
        <f t="shared" si="9"/>
        <v>0.57333333333333336</v>
      </c>
      <c r="N96" s="28">
        <f t="shared" si="10"/>
        <v>0.26</v>
      </c>
      <c r="O96" s="7" t="str">
        <f t="shared" si="11"/>
        <v>Valid</v>
      </c>
      <c r="P96" s="13" t="str">
        <f t="shared" si="12"/>
        <v>Valid</v>
      </c>
      <c r="Q96" s="7" t="str">
        <f t="shared" si="13"/>
        <v>Valid</v>
      </c>
    </row>
    <row r="97" spans="1:17" ht="90">
      <c r="A97" s="7" t="str">
        <f>IF(Raw_Data!A97="","",TRIM(SUBSTITUTE(CLEAN(Raw_Data!A97),CHAR(160)," ")))</f>
        <v>Abuja Municipal Area Council</v>
      </c>
      <c r="B97" s="7" t="str">
        <f>IF(Raw_Data!B97="","",TRIM(SUBSTITUTE(CLEAN(Raw_Data!B97),CHAR(160)," ")))</f>
        <v>Jiwa Ward</v>
      </c>
      <c r="C97" s="7" t="str">
        <f>IF(Raw_Data!C97="","",TRIM(SUBSTITUTE(CLEAN(Raw_Data!C97),CHAR(160)," ")))</f>
        <v>Ellan Clinic And Maternity (Karmo)</v>
      </c>
      <c r="D97" s="28" t="str">
        <f>IFERROR(IF(COUNT(Raw_Data!D97:O97)=0,"",AVERAGE(Raw_Data!D97:O97)/100),"")</f>
        <v/>
      </c>
      <c r="E97" s="28" t="str">
        <f>IFERROR(IF(COUNT(Raw_Data!P97:AA97)=0,"",AVERAGE(Raw_Data!P97:AA97)/100),"")</f>
        <v/>
      </c>
      <c r="F97" s="30">
        <f>IFERROR(IF(COUNT(Raw_Data!AB97:AM97)=0,"",SUM(Raw_Data!AB97:AM97)),"")</f>
        <v>13</v>
      </c>
      <c r="G97" s="30">
        <f>IFERROR(IF(COUNT(Raw_Data!AN97:AY97)=0,"",SUM(Raw_Data!AN97:AY97)),"")</f>
        <v>12</v>
      </c>
      <c r="H97" s="30">
        <f>IFERROR(IF(COUNT(Raw_Data!AZ97:BK97)=0,"",SUM(Raw_Data!AZ97:BK97)),"")</f>
        <v>44</v>
      </c>
      <c r="I97" s="30">
        <f>IFERROR(IF(COUNT(Raw_Data!BL97:BW97)=0,"",SUM(Raw_Data!BL97:BW97)),"")</f>
        <v>37</v>
      </c>
      <c r="J97" s="30">
        <f>IFERROR(IF(COUNT(Raw_Data!BX97:CI97)=0,"",SUM(Raw_Data!BX97:CI97)),"")</f>
        <v>30</v>
      </c>
      <c r="K97" s="28">
        <f t="shared" si="7"/>
        <v>0.92307692307692313</v>
      </c>
      <c r="L97" s="28">
        <f t="shared" si="8"/>
        <v>7.6923076923076927E-2</v>
      </c>
      <c r="M97" s="28">
        <f t="shared" si="9"/>
        <v>0.84090909090909094</v>
      </c>
      <c r="N97" s="28">
        <f t="shared" si="10"/>
        <v>0.68181818181818177</v>
      </c>
      <c r="O97" s="7" t="str">
        <f t="shared" si="11"/>
        <v>Valid</v>
      </c>
      <c r="P97" s="13" t="str">
        <f t="shared" si="12"/>
        <v>Valid</v>
      </c>
      <c r="Q97" s="7" t="str">
        <f t="shared" si="13"/>
        <v>Valid</v>
      </c>
    </row>
    <row r="98" spans="1:17" ht="75">
      <c r="A98" s="7" t="str">
        <f>IF(Raw_Data!A98="","",TRIM(SUBSTITUTE(CLEAN(Raw_Data!A98),CHAR(160)," ")))</f>
        <v>Kuje Local Government Area</v>
      </c>
      <c r="B98" s="7" t="str">
        <f>IF(Raw_Data!B98="","",TRIM(SUBSTITUTE(CLEAN(Raw_Data!B98),CHAR(160)," ")))</f>
        <v>Chibiri Ward</v>
      </c>
      <c r="C98" s="7" t="str">
        <f>IF(Raw_Data!C98="","",TRIM(SUBSTITUTE(CLEAN(Raw_Data!C98),CHAR(160)," ")))</f>
        <v>Epitome Hospital and Maternity</v>
      </c>
      <c r="D98" s="28" t="str">
        <f>IFERROR(IF(COUNT(Raw_Data!D98:O98)=0,"",AVERAGE(Raw_Data!D98:O98)/100),"")</f>
        <v/>
      </c>
      <c r="E98" s="28" t="str">
        <f>IFERROR(IF(COUNT(Raw_Data!P98:AA98)=0,"",AVERAGE(Raw_Data!P98:AA98)/100),"")</f>
        <v/>
      </c>
      <c r="F98" s="30" t="str">
        <f>IFERROR(IF(COUNT(Raw_Data!AB98:AM98)=0,"",SUM(Raw_Data!AB98:AM98)),"")</f>
        <v/>
      </c>
      <c r="G98" s="30" t="str">
        <f>IFERROR(IF(COUNT(Raw_Data!AN98:AY98)=0,"",SUM(Raw_Data!AN98:AY98)),"")</f>
        <v/>
      </c>
      <c r="H98" s="30">
        <f>IFERROR(IF(COUNT(Raw_Data!AZ98:BK98)=0,"",SUM(Raw_Data!AZ98:BK98)),"")</f>
        <v>34</v>
      </c>
      <c r="I98" s="30">
        <f>IFERROR(IF(COUNT(Raw_Data!BL98:BW98)=0,"",SUM(Raw_Data!BL98:BW98)),"")</f>
        <v>5</v>
      </c>
      <c r="J98" s="30">
        <f>IFERROR(IF(COUNT(Raw_Data!BX98:CI98)=0,"",SUM(Raw_Data!BX98:CI98)),"")</f>
        <v>24</v>
      </c>
      <c r="K98" s="28" t="str">
        <f t="shared" si="7"/>
        <v/>
      </c>
      <c r="L98" s="28" t="str">
        <f t="shared" si="8"/>
        <v/>
      </c>
      <c r="M98" s="28">
        <f t="shared" si="9"/>
        <v>0.14705882352941177</v>
      </c>
      <c r="N98" s="28">
        <f t="shared" si="10"/>
        <v>0.70588235294117652</v>
      </c>
      <c r="O98" s="7" t="str">
        <f t="shared" si="11"/>
        <v>No Data</v>
      </c>
      <c r="P98" s="13" t="str">
        <f t="shared" si="12"/>
        <v>Invalid</v>
      </c>
      <c r="Q98" s="7" t="str">
        <f t="shared" si="13"/>
        <v>No Data</v>
      </c>
    </row>
    <row r="99" spans="1:17" ht="120">
      <c r="A99" s="7" t="str">
        <f>IF(Raw_Data!A99="","",TRIM(SUBSTITUTE(CLEAN(Raw_Data!A99),CHAR(160)," ")))</f>
        <v>Abuja Municipal Area Council</v>
      </c>
      <c r="B99" s="7" t="str">
        <f>IF(Raw_Data!B99="","",TRIM(SUBSTITUTE(CLEAN(Raw_Data!B99),CHAR(160)," ")))</f>
        <v>Karu Ward</v>
      </c>
      <c r="C99" s="7" t="str">
        <f>IF(Raw_Data!C99="","",TRIM(SUBSTITUTE(CLEAN(Raw_Data!C99),CHAR(160)," ")))</f>
        <v>Evangelical Church of West Africa (Ecwa) Medical Center</v>
      </c>
      <c r="D99" s="28">
        <f>IFERROR(IF(COUNT(Raw_Data!D99:O99)=0,"",AVERAGE(Raw_Data!D99:O99)/100),"")</f>
        <v>1</v>
      </c>
      <c r="E99" s="28" t="str">
        <f>IFERROR(IF(COUNT(Raw_Data!P99:AA99)=0,"",AVERAGE(Raw_Data!P99:AA99)/100),"")</f>
        <v/>
      </c>
      <c r="F99" s="30">
        <f>IFERROR(IF(COUNT(Raw_Data!AB99:AM99)=0,"",SUM(Raw_Data!AB99:AM99)),"")</f>
        <v>229</v>
      </c>
      <c r="G99" s="30">
        <f>IFERROR(IF(COUNT(Raw_Data!AN99:AY99)=0,"",SUM(Raw_Data!AN99:AY99)),"")</f>
        <v>270</v>
      </c>
      <c r="H99" s="30">
        <f>IFERROR(IF(COUNT(Raw_Data!AZ99:BK99)=0,"",SUM(Raw_Data!AZ99:BK99)),"")</f>
        <v>204</v>
      </c>
      <c r="I99" s="30">
        <f>IFERROR(IF(COUNT(Raw_Data!BL99:BW99)=0,"",SUM(Raw_Data!BL99:BW99)),"")</f>
        <v>135</v>
      </c>
      <c r="J99" s="30">
        <f>IFERROR(IF(COUNT(Raw_Data!BX99:CI99)=0,"",SUM(Raw_Data!BX99:CI99)),"")</f>
        <v>49</v>
      </c>
      <c r="K99" s="28">
        <f t="shared" si="7"/>
        <v>1.1790393013100438</v>
      </c>
      <c r="L99" s="28">
        <f t="shared" si="8"/>
        <v>-0.17903930131004367</v>
      </c>
      <c r="M99" s="28">
        <f t="shared" si="9"/>
        <v>0.66176470588235292</v>
      </c>
      <c r="N99" s="28">
        <f t="shared" si="10"/>
        <v>0.24019607843137256</v>
      </c>
      <c r="O99" s="7" t="str">
        <f t="shared" si="11"/>
        <v>Invalid</v>
      </c>
      <c r="P99" s="13" t="str">
        <f t="shared" si="12"/>
        <v>Valid</v>
      </c>
      <c r="Q99" s="7" t="str">
        <f t="shared" si="13"/>
        <v>Invalid</v>
      </c>
    </row>
    <row r="100" spans="1:17" ht="60">
      <c r="A100" s="7" t="str">
        <f>IF(Raw_Data!A100="","",TRIM(SUBSTITUTE(CLEAN(Raw_Data!A100),CHAR(160)," ")))</f>
        <v>Abuja Municipal Area Council</v>
      </c>
      <c r="B100" s="7" t="str">
        <f>IF(Raw_Data!B100="","",TRIM(SUBSTITUTE(CLEAN(Raw_Data!B100),CHAR(160)," ")))</f>
        <v>City Centre Ward</v>
      </c>
      <c r="C100" s="7" t="str">
        <f>IF(Raw_Data!C100="","",TRIM(SUBSTITUTE(CLEAN(Raw_Data!C100),CHAR(160)," ")))</f>
        <v>Excel Fertility Centre</v>
      </c>
      <c r="D100" s="28">
        <f>IFERROR(IF(COUNT(Raw_Data!D100:O100)=0,"",AVERAGE(Raw_Data!D100:O100)/100),"")</f>
        <v>1</v>
      </c>
      <c r="E100" s="28" t="str">
        <f>IFERROR(IF(COUNT(Raw_Data!P100:AA100)=0,"",AVERAGE(Raw_Data!P100:AA100)/100),"")</f>
        <v/>
      </c>
      <c r="F100" s="30">
        <f>IFERROR(IF(COUNT(Raw_Data!AB100:AM100)=0,"",SUM(Raw_Data!AB100:AM100)),"")</f>
        <v>59</v>
      </c>
      <c r="G100" s="30">
        <f>IFERROR(IF(COUNT(Raw_Data!AN100:AY100)=0,"",SUM(Raw_Data!AN100:AY100)),"")</f>
        <v>47</v>
      </c>
      <c r="H100" s="30">
        <f>IFERROR(IF(COUNT(Raw_Data!AZ100:BK100)=0,"",SUM(Raw_Data!AZ100:BK100)),"")</f>
        <v>82</v>
      </c>
      <c r="I100" s="30">
        <f>IFERROR(IF(COUNT(Raw_Data!BL100:BW100)=0,"",SUM(Raw_Data!BL100:BW100)),"")</f>
        <v>42</v>
      </c>
      <c r="J100" s="30">
        <f>IFERROR(IF(COUNT(Raw_Data!BX100:CI100)=0,"",SUM(Raw_Data!BX100:CI100)),"")</f>
        <v>5</v>
      </c>
      <c r="K100" s="28">
        <f t="shared" si="7"/>
        <v>0.79661016949152541</v>
      </c>
      <c r="L100" s="28">
        <f t="shared" si="8"/>
        <v>0.20338983050847459</v>
      </c>
      <c r="M100" s="28">
        <f t="shared" si="9"/>
        <v>0.51219512195121952</v>
      </c>
      <c r="N100" s="28">
        <f t="shared" si="10"/>
        <v>6.097560975609756E-2</v>
      </c>
      <c r="O100" s="7" t="str">
        <f t="shared" si="11"/>
        <v>Valid</v>
      </c>
      <c r="P100" s="13" t="str">
        <f t="shared" si="12"/>
        <v>Valid</v>
      </c>
      <c r="Q100" s="7" t="str">
        <f t="shared" si="13"/>
        <v>Valid</v>
      </c>
    </row>
    <row r="101" spans="1:17" ht="60">
      <c r="A101" s="7" t="str">
        <f>IF(Raw_Data!A101="","",TRIM(SUBSTITUTE(CLEAN(Raw_Data!A101),CHAR(160)," ")))</f>
        <v>Bwari Local Government Area</v>
      </c>
      <c r="B101" s="7" t="str">
        <f>IF(Raw_Data!B101="","",TRIM(SUBSTITUTE(CLEAN(Raw_Data!B101),CHAR(160)," ")))</f>
        <v>Kubwa Ward</v>
      </c>
      <c r="C101" s="7" t="str">
        <f>IF(Raw_Data!C101="","",TRIM(SUBSTITUTE(CLEAN(Raw_Data!C101),CHAR(160)," ")))</f>
        <v>Express Hospital</v>
      </c>
      <c r="D101" s="28" t="str">
        <f>IFERROR(IF(COUNT(Raw_Data!D101:O101)=0,"",AVERAGE(Raw_Data!D101:O101)/100),"")</f>
        <v/>
      </c>
      <c r="E101" s="28" t="str">
        <f>IFERROR(IF(COUNT(Raw_Data!P101:AA101)=0,"",AVERAGE(Raw_Data!P101:AA101)/100),"")</f>
        <v/>
      </c>
      <c r="F101" s="30" t="str">
        <f>IFERROR(IF(COUNT(Raw_Data!AB101:AM101)=0,"",SUM(Raw_Data!AB101:AM101)),"")</f>
        <v/>
      </c>
      <c r="G101" s="30" t="str">
        <f>IFERROR(IF(COUNT(Raw_Data!AN101:AY101)=0,"",SUM(Raw_Data!AN101:AY101)),"")</f>
        <v/>
      </c>
      <c r="H101" s="30">
        <f>IFERROR(IF(COUNT(Raw_Data!AZ101:BK101)=0,"",SUM(Raw_Data!AZ101:BK101)),"")</f>
        <v>6</v>
      </c>
      <c r="I101" s="30">
        <f>IFERROR(IF(COUNT(Raw_Data!BL101:BW101)=0,"",SUM(Raw_Data!BL101:BW101)),"")</f>
        <v>5</v>
      </c>
      <c r="J101" s="30">
        <f>IFERROR(IF(COUNT(Raw_Data!BX101:CI101)=0,"",SUM(Raw_Data!BX101:CI101)),"")</f>
        <v>4</v>
      </c>
      <c r="K101" s="28" t="str">
        <f t="shared" si="7"/>
        <v/>
      </c>
      <c r="L101" s="28" t="str">
        <f t="shared" si="8"/>
        <v/>
      </c>
      <c r="M101" s="28">
        <f t="shared" si="9"/>
        <v>0.83333333333333337</v>
      </c>
      <c r="N101" s="28">
        <f t="shared" si="10"/>
        <v>0.66666666666666663</v>
      </c>
      <c r="O101" s="7" t="str">
        <f t="shared" si="11"/>
        <v>No Data</v>
      </c>
      <c r="P101" s="13" t="str">
        <f t="shared" si="12"/>
        <v>Valid</v>
      </c>
      <c r="Q101" s="7" t="str">
        <f t="shared" si="13"/>
        <v>No Data</v>
      </c>
    </row>
    <row r="102" spans="1:17" ht="60">
      <c r="A102" s="7" t="str">
        <f>IF(Raw_Data!A102="","",TRIM(SUBSTITUTE(CLEAN(Raw_Data!A102),CHAR(160)," ")))</f>
        <v>Abuja Municipal Area Council</v>
      </c>
      <c r="B102" s="7" t="str">
        <f>IF(Raw_Data!B102="","",TRIM(SUBSTITUTE(CLEAN(Raw_Data!B102),CHAR(160)," ")))</f>
        <v>Jiwa Ward</v>
      </c>
      <c r="C102" s="7" t="str">
        <f>IF(Raw_Data!C102="","",TRIM(SUBSTITUTE(CLEAN(Raw_Data!C102),CHAR(160)," ")))</f>
        <v>Faith Medical Centre (Karmo)</v>
      </c>
      <c r="D102" s="28">
        <f>IFERROR(IF(COUNT(Raw_Data!D102:O102)=0,"",AVERAGE(Raw_Data!D102:O102)/100),"")</f>
        <v>1</v>
      </c>
      <c r="E102" s="28" t="str">
        <f>IFERROR(IF(COUNT(Raw_Data!P102:AA102)=0,"",AVERAGE(Raw_Data!P102:AA102)/100),"")</f>
        <v/>
      </c>
      <c r="F102" s="30">
        <f>IFERROR(IF(COUNT(Raw_Data!AB102:AM102)=0,"",SUM(Raw_Data!AB102:AM102)),"")</f>
        <v>190</v>
      </c>
      <c r="G102" s="30">
        <f>IFERROR(IF(COUNT(Raw_Data!AN102:AY102)=0,"",SUM(Raw_Data!AN102:AY102)),"")</f>
        <v>210</v>
      </c>
      <c r="H102" s="30">
        <f>IFERROR(IF(COUNT(Raw_Data!AZ102:BK102)=0,"",SUM(Raw_Data!AZ102:BK102)),"")</f>
        <v>210</v>
      </c>
      <c r="I102" s="30">
        <f>IFERROR(IF(COUNT(Raw_Data!BL102:BW102)=0,"",SUM(Raw_Data!BL102:BW102)),"")</f>
        <v>26</v>
      </c>
      <c r="J102" s="30">
        <f>IFERROR(IF(COUNT(Raw_Data!BX102:CI102)=0,"",SUM(Raw_Data!BX102:CI102)),"")</f>
        <v>10</v>
      </c>
      <c r="K102" s="28">
        <f t="shared" si="7"/>
        <v>1.1052631578947369</v>
      </c>
      <c r="L102" s="28">
        <f t="shared" si="8"/>
        <v>-0.10526315789473684</v>
      </c>
      <c r="M102" s="28">
        <f t="shared" si="9"/>
        <v>0.12380952380952381</v>
      </c>
      <c r="N102" s="28">
        <f t="shared" si="10"/>
        <v>4.7619047619047616E-2</v>
      </c>
      <c r="O102" s="7" t="str">
        <f t="shared" si="11"/>
        <v>Invalid</v>
      </c>
      <c r="P102" s="13" t="str">
        <f t="shared" si="12"/>
        <v>Valid</v>
      </c>
      <c r="Q102" s="7" t="str">
        <f t="shared" si="13"/>
        <v>Invalid</v>
      </c>
    </row>
    <row r="103" spans="1:17" ht="60">
      <c r="A103" s="7" t="str">
        <f>IF(Raw_Data!A103="","",TRIM(SUBSTITUTE(CLEAN(Raw_Data!A103),CHAR(160)," ")))</f>
        <v>Abuja Municipal Area Council</v>
      </c>
      <c r="B103" s="7" t="str">
        <f>IF(Raw_Data!B103="","",TRIM(SUBSTITUTE(CLEAN(Raw_Data!B103),CHAR(160)," ")))</f>
        <v>City Centre Ward</v>
      </c>
      <c r="C103" s="7" t="str">
        <f>IF(Raw_Data!C103="","",TRIM(SUBSTITUTE(CLEAN(Raw_Data!C103),CHAR(160)," ")))</f>
        <v>Family Care Clinic</v>
      </c>
      <c r="D103" s="28">
        <f>IFERROR(IF(COUNT(Raw_Data!D103:O103)=0,"",AVERAGE(Raw_Data!D103:O103)/100),"")</f>
        <v>1</v>
      </c>
      <c r="E103" s="28" t="str">
        <f>IFERROR(IF(COUNT(Raw_Data!P103:AA103)=0,"",AVERAGE(Raw_Data!P103:AA103)/100),"")</f>
        <v/>
      </c>
      <c r="F103" s="30" t="str">
        <f>IFERROR(IF(COUNT(Raw_Data!AB103:AM103)=0,"",SUM(Raw_Data!AB103:AM103)),"")</f>
        <v/>
      </c>
      <c r="G103" s="30" t="str">
        <f>IFERROR(IF(COUNT(Raw_Data!AN103:AY103)=0,"",SUM(Raw_Data!AN103:AY103)),"")</f>
        <v/>
      </c>
      <c r="H103" s="30">
        <f>IFERROR(IF(COUNT(Raw_Data!AZ103:BK103)=0,"",SUM(Raw_Data!AZ103:BK103)),"")</f>
        <v>1</v>
      </c>
      <c r="I103" s="30">
        <f>IFERROR(IF(COUNT(Raw_Data!BL103:BW103)=0,"",SUM(Raw_Data!BL103:BW103)),"")</f>
        <v>2</v>
      </c>
      <c r="J103" s="30">
        <f>IFERROR(IF(COUNT(Raw_Data!BX103:CI103)=0,"",SUM(Raw_Data!BX103:CI103)),"")</f>
        <v>1</v>
      </c>
      <c r="K103" s="28" t="str">
        <f t="shared" si="7"/>
        <v/>
      </c>
      <c r="L103" s="28" t="str">
        <f t="shared" si="8"/>
        <v/>
      </c>
      <c r="M103" s="28">
        <f t="shared" si="9"/>
        <v>2</v>
      </c>
      <c r="N103" s="28">
        <f t="shared" si="10"/>
        <v>1</v>
      </c>
      <c r="O103" s="7" t="str">
        <f t="shared" si="11"/>
        <v>No Data</v>
      </c>
      <c r="P103" s="13" t="str">
        <f t="shared" si="12"/>
        <v>Invalid</v>
      </c>
      <c r="Q103" s="7" t="str">
        <f t="shared" si="13"/>
        <v>No Data</v>
      </c>
    </row>
    <row r="104" spans="1:17" ht="60">
      <c r="A104" s="7" t="str">
        <f>IF(Raw_Data!A104="","",TRIM(SUBSTITUTE(CLEAN(Raw_Data!A104),CHAR(160)," ")))</f>
        <v>Abuja Municipal Area Council</v>
      </c>
      <c r="B104" s="7" t="str">
        <f>IF(Raw_Data!B104="","",TRIM(SUBSTITUTE(CLEAN(Raw_Data!B104),CHAR(160)," ")))</f>
        <v>City Centre Ward</v>
      </c>
      <c r="C104" s="7" t="str">
        <f>IF(Raw_Data!C104="","",TRIM(SUBSTITUTE(CLEAN(Raw_Data!C104),CHAR(160)," ")))</f>
        <v>Family Health Center</v>
      </c>
      <c r="D104" s="28">
        <f>IFERROR(IF(COUNT(Raw_Data!D104:O104)=0,"",AVERAGE(Raw_Data!D104:O104)/100),"")</f>
        <v>0.94277500000000014</v>
      </c>
      <c r="E104" s="28">
        <f>IFERROR(IF(COUNT(Raw_Data!P104:AA104)=0,"",AVERAGE(Raw_Data!P104:AA104)/100),"")</f>
        <v>1</v>
      </c>
      <c r="F104" s="30">
        <f>IFERROR(IF(COUNT(Raw_Data!AB104:AM104)=0,"",SUM(Raw_Data!AB104:AM104)),"")</f>
        <v>1826</v>
      </c>
      <c r="G104" s="30">
        <f>IFERROR(IF(COUNT(Raw_Data!AN104:AY104)=0,"",SUM(Raw_Data!AN104:AY104)),"")</f>
        <v>2036</v>
      </c>
      <c r="H104" s="30">
        <f>IFERROR(IF(COUNT(Raw_Data!AZ104:BK104)=0,"",SUM(Raw_Data!AZ104:BK104)),"")</f>
        <v>215</v>
      </c>
      <c r="I104" s="30">
        <f>IFERROR(IF(COUNT(Raw_Data!BL104:BW104)=0,"",SUM(Raw_Data!BL104:BW104)),"")</f>
        <v>115</v>
      </c>
      <c r="J104" s="30">
        <f>IFERROR(IF(COUNT(Raw_Data!BX104:CI104)=0,"",SUM(Raw_Data!BX104:CI104)),"")</f>
        <v>19</v>
      </c>
      <c r="K104" s="28">
        <f t="shared" si="7"/>
        <v>1.1150054764512596</v>
      </c>
      <c r="L104" s="28">
        <f t="shared" si="8"/>
        <v>-0.11500547645125958</v>
      </c>
      <c r="M104" s="28">
        <f t="shared" si="9"/>
        <v>0.53488372093023251</v>
      </c>
      <c r="N104" s="28">
        <f t="shared" si="10"/>
        <v>8.8372093023255813E-2</v>
      </c>
      <c r="O104" s="7" t="str">
        <f t="shared" si="11"/>
        <v>Invalid</v>
      </c>
      <c r="P104" s="13" t="str">
        <f t="shared" si="12"/>
        <v>Valid</v>
      </c>
      <c r="Q104" s="7" t="str">
        <f t="shared" si="13"/>
        <v>Invalid</v>
      </c>
    </row>
    <row r="105" spans="1:17" ht="60">
      <c r="A105" s="7" t="str">
        <f>IF(Raw_Data!A105="","",TRIM(SUBSTITUTE(CLEAN(Raw_Data!A105),CHAR(160)," ")))</f>
        <v>Kwali Local Government Area</v>
      </c>
      <c r="B105" s="7" t="str">
        <f>IF(Raw_Data!B105="","",TRIM(SUBSTITUTE(CLEAN(Raw_Data!B105),CHAR(160)," ")))</f>
        <v>Yebu Ward</v>
      </c>
      <c r="C105" s="7" t="str">
        <f>IF(Raw_Data!C105="","",TRIM(SUBSTITUTE(CLEAN(Raw_Data!C105),CHAR(160)," ")))</f>
        <v>Farakuti Health Clinic</v>
      </c>
      <c r="D105" s="28">
        <f>IFERROR(IF(COUNT(Raw_Data!D105:O105)=0,"",AVERAGE(Raw_Data!D105:O105)/100),"")</f>
        <v>1</v>
      </c>
      <c r="E105" s="28">
        <f>IFERROR(IF(COUNT(Raw_Data!P105:AA105)=0,"",AVERAGE(Raw_Data!P105:AA105)/100),"")</f>
        <v>1</v>
      </c>
      <c r="F105" s="30">
        <f>IFERROR(IF(COUNT(Raw_Data!AB105:AM105)=0,"",SUM(Raw_Data!AB105:AM105)),"")</f>
        <v>91</v>
      </c>
      <c r="G105" s="30">
        <f>IFERROR(IF(COUNT(Raw_Data!AN105:AY105)=0,"",SUM(Raw_Data!AN105:AY105)),"")</f>
        <v>91</v>
      </c>
      <c r="H105" s="30">
        <f>IFERROR(IF(COUNT(Raw_Data!AZ105:BK105)=0,"",SUM(Raw_Data!AZ105:BK105)),"")</f>
        <v>36</v>
      </c>
      <c r="I105" s="30">
        <f>IFERROR(IF(COUNT(Raw_Data!BL105:BW105)=0,"",SUM(Raw_Data!BL105:BW105)),"")</f>
        <v>36</v>
      </c>
      <c r="J105" s="30">
        <f>IFERROR(IF(COUNT(Raw_Data!BX105:CI105)=0,"",SUM(Raw_Data!BX105:CI105)),"")</f>
        <v>15</v>
      </c>
      <c r="K105" s="28">
        <f t="shared" si="7"/>
        <v>1</v>
      </c>
      <c r="L105" s="28">
        <f t="shared" si="8"/>
        <v>0</v>
      </c>
      <c r="M105" s="28">
        <f t="shared" si="9"/>
        <v>1</v>
      </c>
      <c r="N105" s="28">
        <f t="shared" si="10"/>
        <v>0.41666666666666669</v>
      </c>
      <c r="O105" s="7" t="str">
        <f t="shared" si="11"/>
        <v>Valid</v>
      </c>
      <c r="P105" s="13" t="str">
        <f t="shared" si="12"/>
        <v>Valid</v>
      </c>
      <c r="Q105" s="7" t="str">
        <f t="shared" si="13"/>
        <v>Valid</v>
      </c>
    </row>
    <row r="106" spans="1:17" ht="60">
      <c r="A106" s="7" t="str">
        <f>IF(Raw_Data!A106="","",TRIM(SUBSTITUTE(CLEAN(Raw_Data!A106),CHAR(160)," ")))</f>
        <v>Abuja Municipal Area Council</v>
      </c>
      <c r="B106" s="7" t="str">
        <f>IF(Raw_Data!B106="","",TRIM(SUBSTITUTE(CLEAN(Raw_Data!B106),CHAR(160)," ")))</f>
        <v>Gwarimpa Ward</v>
      </c>
      <c r="C106" s="7" t="str">
        <f>IF(Raw_Data!C106="","",TRIM(SUBSTITUTE(CLEAN(Raw_Data!C106),CHAR(160)," ")))</f>
        <v>Federal Staff Hospital (Abuja)</v>
      </c>
      <c r="D106" s="28">
        <f>IFERROR(IF(COUNT(Raw_Data!D106:O106)=0,"",AVERAGE(Raw_Data!D106:O106)/100),"")</f>
        <v>1</v>
      </c>
      <c r="E106" s="28" t="str">
        <f>IFERROR(IF(COUNT(Raw_Data!P106:AA106)=0,"",AVERAGE(Raw_Data!P106:AA106)/100),"")</f>
        <v/>
      </c>
      <c r="F106" s="30">
        <f>IFERROR(IF(COUNT(Raw_Data!AB106:AM106)=0,"",SUM(Raw_Data!AB106:AM106)),"")</f>
        <v>194</v>
      </c>
      <c r="G106" s="30">
        <f>IFERROR(IF(COUNT(Raw_Data!AN106:AY106)=0,"",SUM(Raw_Data!AN106:AY106)),"")</f>
        <v>196</v>
      </c>
      <c r="H106" s="30" t="str">
        <f>IFERROR(IF(COUNT(Raw_Data!AZ106:BK106)=0,"",SUM(Raw_Data!AZ106:BK106)),"")</f>
        <v/>
      </c>
      <c r="I106" s="30">
        <f>IFERROR(IF(COUNT(Raw_Data!BL106:BW106)=0,"",SUM(Raw_Data!BL106:BW106)),"")</f>
        <v>26</v>
      </c>
      <c r="J106" s="30" t="str">
        <f>IFERROR(IF(COUNT(Raw_Data!BX106:CI106)=0,"",SUM(Raw_Data!BX106:CI106)),"")</f>
        <v/>
      </c>
      <c r="K106" s="28">
        <f t="shared" si="7"/>
        <v>1.0103092783505154</v>
      </c>
      <c r="L106" s="28">
        <f t="shared" si="8"/>
        <v>-1.0309278350515464E-2</v>
      </c>
      <c r="M106" s="28" t="str">
        <f t="shared" si="9"/>
        <v/>
      </c>
      <c r="N106" s="28" t="str">
        <f t="shared" si="10"/>
        <v/>
      </c>
      <c r="O106" s="7" t="str">
        <f t="shared" si="11"/>
        <v>Invalid</v>
      </c>
      <c r="P106" s="13" t="str">
        <f t="shared" si="12"/>
        <v>Incomplete</v>
      </c>
      <c r="Q106" s="7" t="str">
        <f t="shared" si="13"/>
        <v>Incomplete</v>
      </c>
    </row>
    <row r="107" spans="1:17" ht="75">
      <c r="A107" s="7" t="str">
        <f>IF(Raw_Data!A107="","",TRIM(SUBSTITUTE(CLEAN(Raw_Data!A107),CHAR(160)," ")))</f>
        <v>Abuja Municipal Area Council</v>
      </c>
      <c r="B107" s="7" t="str">
        <f>IF(Raw_Data!B107="","",TRIM(SUBSTITUTE(CLEAN(Raw_Data!B107),CHAR(160)," ")))</f>
        <v>Karu Ward</v>
      </c>
      <c r="C107" s="7" t="str">
        <f>IF(Raw_Data!C107="","",TRIM(SUBSTITUTE(CLEAN(Raw_Data!C107),CHAR(160)," ")))</f>
        <v>First Hospital &amp; Maternity</v>
      </c>
      <c r="D107" s="28">
        <f>IFERROR(IF(COUNT(Raw_Data!D107:O107)=0,"",AVERAGE(Raw_Data!D107:O107)/100),"")</f>
        <v>0.82499999999999996</v>
      </c>
      <c r="E107" s="28" t="str">
        <f>IFERROR(IF(COUNT(Raw_Data!P107:AA107)=0,"",AVERAGE(Raw_Data!P107:AA107)/100),"")</f>
        <v/>
      </c>
      <c r="F107" s="30">
        <f>IFERROR(IF(COUNT(Raw_Data!AB107:AM107)=0,"",SUM(Raw_Data!AB107:AM107)),"")</f>
        <v>13</v>
      </c>
      <c r="G107" s="30">
        <f>IFERROR(IF(COUNT(Raw_Data!AN107:AY107)=0,"",SUM(Raw_Data!AN107:AY107)),"")</f>
        <v>13</v>
      </c>
      <c r="H107" s="30">
        <f>IFERROR(IF(COUNT(Raw_Data!AZ107:BK107)=0,"",SUM(Raw_Data!AZ107:BK107)),"")</f>
        <v>34</v>
      </c>
      <c r="I107" s="30">
        <f>IFERROR(IF(COUNT(Raw_Data!BL107:BW107)=0,"",SUM(Raw_Data!BL107:BW107)),"")</f>
        <v>35</v>
      </c>
      <c r="J107" s="30">
        <f>IFERROR(IF(COUNT(Raw_Data!BX107:CI107)=0,"",SUM(Raw_Data!BX107:CI107)),"")</f>
        <v>10</v>
      </c>
      <c r="K107" s="28">
        <f t="shared" si="7"/>
        <v>1</v>
      </c>
      <c r="L107" s="28">
        <f t="shared" si="8"/>
        <v>0</v>
      </c>
      <c r="M107" s="28">
        <f t="shared" si="9"/>
        <v>1.0294117647058822</v>
      </c>
      <c r="N107" s="28">
        <f t="shared" si="10"/>
        <v>0.29411764705882354</v>
      </c>
      <c r="O107" s="7" t="str">
        <f t="shared" si="11"/>
        <v>Valid</v>
      </c>
      <c r="P107" s="13" t="str">
        <f t="shared" si="12"/>
        <v>Invalid</v>
      </c>
      <c r="Q107" s="7" t="str">
        <f t="shared" si="13"/>
        <v>Invalid</v>
      </c>
    </row>
    <row r="108" spans="1:17" ht="60">
      <c r="A108" s="7" t="str">
        <f>IF(Raw_Data!A108="","",TRIM(SUBSTITUTE(CLEAN(Raw_Data!A108),CHAR(160)," ")))</f>
        <v>Kwali Local Government Area</v>
      </c>
      <c r="B108" s="7" t="str">
        <f>IF(Raw_Data!B108="","",TRIM(SUBSTITUTE(CLEAN(Raw_Data!B108),CHAR(160)," ")))</f>
        <v>Ashara Ward</v>
      </c>
      <c r="C108" s="7" t="str">
        <f>IF(Raw_Data!C108="","",TRIM(SUBSTITUTE(CLEAN(Raw_Data!C108),CHAR(160)," ")))</f>
        <v>Fogbe Health Clinic</v>
      </c>
      <c r="D108" s="28">
        <f>IFERROR(IF(COUNT(Raw_Data!D108:O108)=0,"",AVERAGE(Raw_Data!D108:O108)/100),"")</f>
        <v>0.8</v>
      </c>
      <c r="E108" s="28">
        <f>IFERROR(IF(COUNT(Raw_Data!P108:AA108)=0,"",AVERAGE(Raw_Data!P108:AA108)/100),"")</f>
        <v>1.575</v>
      </c>
      <c r="F108" s="30">
        <f>IFERROR(IF(COUNT(Raw_Data!AB108:AM108)=0,"",SUM(Raw_Data!AB108:AM108)),"")</f>
        <v>273</v>
      </c>
      <c r="G108" s="30">
        <f>IFERROR(IF(COUNT(Raw_Data!AN108:AY108)=0,"",SUM(Raw_Data!AN108:AY108)),"")</f>
        <v>681</v>
      </c>
      <c r="H108" s="30">
        <f>IFERROR(IF(COUNT(Raw_Data!AZ108:BK108)=0,"",SUM(Raw_Data!AZ108:BK108)),"")</f>
        <v>171</v>
      </c>
      <c r="I108" s="30">
        <f>IFERROR(IF(COUNT(Raw_Data!BL108:BW108)=0,"",SUM(Raw_Data!BL108:BW108)),"")</f>
        <v>1</v>
      </c>
      <c r="J108" s="30" t="str">
        <f>IFERROR(IF(COUNT(Raw_Data!BX108:CI108)=0,"",SUM(Raw_Data!BX108:CI108)),"")</f>
        <v/>
      </c>
      <c r="K108" s="28">
        <f t="shared" si="7"/>
        <v>2.4945054945054945</v>
      </c>
      <c r="L108" s="28">
        <f t="shared" si="8"/>
        <v>-1.4945054945054945</v>
      </c>
      <c r="M108" s="28">
        <f t="shared" si="9"/>
        <v>5.8479532163742687E-3</v>
      </c>
      <c r="N108" s="28" t="str">
        <f t="shared" si="10"/>
        <v/>
      </c>
      <c r="O108" s="7" t="str">
        <f t="shared" si="11"/>
        <v>Invalid</v>
      </c>
      <c r="P108" s="13" t="str">
        <f t="shared" si="12"/>
        <v>Incomplete</v>
      </c>
      <c r="Q108" s="7" t="str">
        <f t="shared" si="13"/>
        <v>Incomplete</v>
      </c>
    </row>
    <row r="109" spans="1:17" ht="60">
      <c r="A109" s="7" t="str">
        <f>IF(Raw_Data!A109="","",TRIM(SUBSTITUTE(CLEAN(Raw_Data!A109),CHAR(160)," ")))</f>
        <v>Abuja Municipal Area Council</v>
      </c>
      <c r="B109" s="7" t="str">
        <f>IF(Raw_Data!B109="","",TRIM(SUBSTITUTE(CLEAN(Raw_Data!B109),CHAR(160)," ")))</f>
        <v>Gwarimpa Ward</v>
      </c>
      <c r="C109" s="7" t="str">
        <f>IF(Raw_Data!C109="","",TRIM(SUBSTITUTE(CLEAN(Raw_Data!C109),CHAR(160)," ")))</f>
        <v>Frameluk Hospital</v>
      </c>
      <c r="D109" s="28">
        <f>IFERROR(IF(COUNT(Raw_Data!D109:O109)=0,"",AVERAGE(Raw_Data!D109:O109)/100),"")</f>
        <v>1</v>
      </c>
      <c r="E109" s="28" t="str">
        <f>IFERROR(IF(COUNT(Raw_Data!P109:AA109)=0,"",AVERAGE(Raw_Data!P109:AA109)/100),"")</f>
        <v/>
      </c>
      <c r="F109" s="30">
        <f>IFERROR(IF(COUNT(Raw_Data!AB109:AM109)=0,"",SUM(Raw_Data!AB109:AM109)),"")</f>
        <v>266</v>
      </c>
      <c r="G109" s="30">
        <f>IFERROR(IF(COUNT(Raw_Data!AN109:AY109)=0,"",SUM(Raw_Data!AN109:AY109)),"")</f>
        <v>234</v>
      </c>
      <c r="H109" s="30">
        <f>IFERROR(IF(COUNT(Raw_Data!AZ109:BK109)=0,"",SUM(Raw_Data!AZ109:BK109)),"")</f>
        <v>413</v>
      </c>
      <c r="I109" s="30">
        <f>IFERROR(IF(COUNT(Raw_Data!BL109:BW109)=0,"",SUM(Raw_Data!BL109:BW109)),"")</f>
        <v>533</v>
      </c>
      <c r="J109" s="30">
        <f>IFERROR(IF(COUNT(Raw_Data!BX109:CI109)=0,"",SUM(Raw_Data!BX109:CI109)),"")</f>
        <v>410</v>
      </c>
      <c r="K109" s="28">
        <f t="shared" si="7"/>
        <v>0.87969924812030076</v>
      </c>
      <c r="L109" s="28">
        <f t="shared" si="8"/>
        <v>0.12030075187969924</v>
      </c>
      <c r="M109" s="28">
        <f t="shared" si="9"/>
        <v>1.2905569007263922</v>
      </c>
      <c r="N109" s="28">
        <f t="shared" si="10"/>
        <v>0.99273607748184023</v>
      </c>
      <c r="O109" s="7" t="str">
        <f t="shared" si="11"/>
        <v>Valid</v>
      </c>
      <c r="P109" s="13" t="str">
        <f t="shared" si="12"/>
        <v>Invalid</v>
      </c>
      <c r="Q109" s="7" t="str">
        <f t="shared" si="13"/>
        <v>Invalid</v>
      </c>
    </row>
    <row r="110" spans="1:17" ht="60">
      <c r="A110" s="7" t="str">
        <f>IF(Raw_Data!A110="","",TRIM(SUBSTITUTE(CLEAN(Raw_Data!A110),CHAR(160)," ")))</f>
        <v>Kwali Local Government Area</v>
      </c>
      <c r="B110" s="7" t="str">
        <f>IF(Raw_Data!B110="","",TRIM(SUBSTITUTE(CLEAN(Raw_Data!B110),CHAR(160)," ")))</f>
        <v>Dafa Ward</v>
      </c>
      <c r="C110" s="7" t="str">
        <f>IF(Raw_Data!C110="","",TRIM(SUBSTITUTE(CLEAN(Raw_Data!C110),CHAR(160)," ")))</f>
        <v>Fuka Primary Health Clinic</v>
      </c>
      <c r="D110" s="28">
        <f>IFERROR(IF(COUNT(Raw_Data!D110:O110)=0,"",AVERAGE(Raw_Data!D110:O110)/100),"")</f>
        <v>1</v>
      </c>
      <c r="E110" s="28">
        <f>IFERROR(IF(COUNT(Raw_Data!P110:AA110)=0,"",AVERAGE(Raw_Data!P110:AA110)/100),"")</f>
        <v>1</v>
      </c>
      <c r="F110" s="30">
        <f>IFERROR(IF(COUNT(Raw_Data!AB110:AM110)=0,"",SUM(Raw_Data!AB110:AM110)),"")</f>
        <v>82</v>
      </c>
      <c r="G110" s="30">
        <f>IFERROR(IF(COUNT(Raw_Data!AN110:AY110)=0,"",SUM(Raw_Data!AN110:AY110)),"")</f>
        <v>79</v>
      </c>
      <c r="H110" s="30">
        <f>IFERROR(IF(COUNT(Raw_Data!AZ110:BK110)=0,"",SUM(Raw_Data!AZ110:BK110)),"")</f>
        <v>72</v>
      </c>
      <c r="I110" s="30">
        <f>IFERROR(IF(COUNT(Raw_Data!BL110:BW110)=0,"",SUM(Raw_Data!BL110:BW110)),"")</f>
        <v>25</v>
      </c>
      <c r="J110" s="30" t="str">
        <f>IFERROR(IF(COUNT(Raw_Data!BX110:CI110)=0,"",SUM(Raw_Data!BX110:CI110)),"")</f>
        <v/>
      </c>
      <c r="K110" s="28">
        <f t="shared" si="7"/>
        <v>0.96341463414634143</v>
      </c>
      <c r="L110" s="28">
        <f t="shared" si="8"/>
        <v>3.6585365853658534E-2</v>
      </c>
      <c r="M110" s="28">
        <f t="shared" si="9"/>
        <v>0.34722222222222221</v>
      </c>
      <c r="N110" s="28" t="str">
        <f t="shared" si="10"/>
        <v/>
      </c>
      <c r="O110" s="7" t="str">
        <f t="shared" si="11"/>
        <v>Valid</v>
      </c>
      <c r="P110" s="13" t="str">
        <f t="shared" si="12"/>
        <v>Incomplete</v>
      </c>
      <c r="Q110" s="7" t="str">
        <f t="shared" si="13"/>
        <v>Incomplete</v>
      </c>
    </row>
    <row r="111" spans="1:17" ht="60">
      <c r="A111" s="7" t="str">
        <f>IF(Raw_Data!A111="","",TRIM(SUBSTITUTE(CLEAN(Raw_Data!A111),CHAR(160)," ")))</f>
        <v>Bwari Local Government Area</v>
      </c>
      <c r="B111" s="7" t="str">
        <f>IF(Raw_Data!B111="","",TRIM(SUBSTITUTE(CLEAN(Raw_Data!B111),CHAR(160)," ")))</f>
        <v>Bwari Central Ward</v>
      </c>
      <c r="C111" s="7" t="str">
        <f>IF(Raw_Data!C111="","",TRIM(SUBSTITUTE(CLEAN(Raw_Data!C111),CHAR(160)," ")))</f>
        <v>Gaba Primary Health Clinic</v>
      </c>
      <c r="D111" s="28">
        <f>IFERROR(IF(COUNT(Raw_Data!D111:O111)=0,"",AVERAGE(Raw_Data!D111:O111)/100),"")</f>
        <v>1.0227272727272727</v>
      </c>
      <c r="E111" s="28">
        <f>IFERROR(IF(COUNT(Raw_Data!P111:AA111)=0,"",AVERAGE(Raw_Data!P111:AA111)/100),"")</f>
        <v>0.55000000000000004</v>
      </c>
      <c r="F111" s="30">
        <f>IFERROR(IF(COUNT(Raw_Data!AB111:AM111)=0,"",SUM(Raw_Data!AB111:AM111)),"")</f>
        <v>176</v>
      </c>
      <c r="G111" s="30">
        <f>IFERROR(IF(COUNT(Raw_Data!AN111:AY111)=0,"",SUM(Raw_Data!AN111:AY111)),"")</f>
        <v>172</v>
      </c>
      <c r="H111" s="30">
        <f>IFERROR(IF(COUNT(Raw_Data!AZ111:BK111)=0,"",SUM(Raw_Data!AZ111:BK111)),"")</f>
        <v>94</v>
      </c>
      <c r="I111" s="30">
        <f>IFERROR(IF(COUNT(Raw_Data!BL111:BW111)=0,"",SUM(Raw_Data!BL111:BW111)),"")</f>
        <v>39</v>
      </c>
      <c r="J111" s="30">
        <f>IFERROR(IF(COUNT(Raw_Data!BX111:CI111)=0,"",SUM(Raw_Data!BX111:CI111)),"")</f>
        <v>3</v>
      </c>
      <c r="K111" s="28">
        <f t="shared" si="7"/>
        <v>0.97727272727272729</v>
      </c>
      <c r="L111" s="28">
        <f t="shared" si="8"/>
        <v>2.2727272727272728E-2</v>
      </c>
      <c r="M111" s="28">
        <f t="shared" si="9"/>
        <v>0.41489361702127658</v>
      </c>
      <c r="N111" s="28">
        <f t="shared" si="10"/>
        <v>3.1914893617021274E-2</v>
      </c>
      <c r="O111" s="7" t="str">
        <f t="shared" si="11"/>
        <v>Valid</v>
      </c>
      <c r="P111" s="13" t="str">
        <f t="shared" si="12"/>
        <v>Valid</v>
      </c>
      <c r="Q111" s="7" t="str">
        <f t="shared" si="13"/>
        <v>Valid</v>
      </c>
    </row>
    <row r="112" spans="1:17" ht="90">
      <c r="A112" s="7" t="str">
        <f>IF(Raw_Data!A112="","",TRIM(SUBSTITUTE(CLEAN(Raw_Data!A112),CHAR(160)," ")))</f>
        <v>Bwari Local Government Area</v>
      </c>
      <c r="B112" s="7" t="str">
        <f>IF(Raw_Data!B112="","",TRIM(SUBSTITUTE(CLEAN(Raw_Data!B112),CHAR(160)," ")))</f>
        <v>Kuduru Ward</v>
      </c>
      <c r="C112" s="7" t="str">
        <f>IF(Raw_Data!C112="","",TRIM(SUBSTITUTE(CLEAN(Raw_Data!C112),CHAR(160)," ")))</f>
        <v>Gabic Divine Clinic And Maternity</v>
      </c>
      <c r="D112" s="28" t="str">
        <f>IFERROR(IF(COUNT(Raw_Data!D112:O112)=0,"",AVERAGE(Raw_Data!D112:O112)/100),"")</f>
        <v/>
      </c>
      <c r="E112" s="28" t="str">
        <f>IFERROR(IF(COUNT(Raw_Data!P112:AA112)=0,"",AVERAGE(Raw_Data!P112:AA112)/100),"")</f>
        <v/>
      </c>
      <c r="F112" s="30" t="str">
        <f>IFERROR(IF(COUNT(Raw_Data!AB112:AM112)=0,"",SUM(Raw_Data!AB112:AM112)),"")</f>
        <v/>
      </c>
      <c r="G112" s="30" t="str">
        <f>IFERROR(IF(COUNT(Raw_Data!AN112:AY112)=0,"",SUM(Raw_Data!AN112:AY112)),"")</f>
        <v/>
      </c>
      <c r="H112" s="30">
        <f>IFERROR(IF(COUNT(Raw_Data!AZ112:BK112)=0,"",SUM(Raw_Data!AZ112:BK112)),"")</f>
        <v>66</v>
      </c>
      <c r="I112" s="30">
        <f>IFERROR(IF(COUNT(Raw_Data!BL112:BW112)=0,"",SUM(Raw_Data!BL112:BW112)),"")</f>
        <v>56</v>
      </c>
      <c r="J112" s="30">
        <f>IFERROR(IF(COUNT(Raw_Data!BX112:CI112)=0,"",SUM(Raw_Data!BX112:CI112)),"")</f>
        <v>45</v>
      </c>
      <c r="K112" s="28" t="str">
        <f t="shared" si="7"/>
        <v/>
      </c>
      <c r="L112" s="28" t="str">
        <f t="shared" si="8"/>
        <v/>
      </c>
      <c r="M112" s="28">
        <f t="shared" si="9"/>
        <v>0.84848484848484851</v>
      </c>
      <c r="N112" s="28">
        <f t="shared" si="10"/>
        <v>0.68181818181818177</v>
      </c>
      <c r="O112" s="7" t="str">
        <f t="shared" si="11"/>
        <v>No Data</v>
      </c>
      <c r="P112" s="13" t="str">
        <f t="shared" si="12"/>
        <v>Valid</v>
      </c>
      <c r="Q112" s="7" t="str">
        <f t="shared" si="13"/>
        <v>No Data</v>
      </c>
    </row>
    <row r="113" spans="1:17" ht="75">
      <c r="A113" s="7" t="str">
        <f>IF(Raw_Data!A113="","",TRIM(SUBSTITUTE(CLEAN(Raw_Data!A113),CHAR(160)," ")))</f>
        <v>Kuje Local Government Area</v>
      </c>
      <c r="B113" s="7" t="str">
        <f>IF(Raw_Data!B113="","",TRIM(SUBSTITUTE(CLEAN(Raw_Data!B113),CHAR(160)," ")))</f>
        <v>Kwaku Ward</v>
      </c>
      <c r="C113" s="7" t="str">
        <f>IF(Raw_Data!C113="","",TRIM(SUBSTITUTE(CLEAN(Raw_Data!C113),CHAR(160)," ")))</f>
        <v>Gadoro Primary Health Care Centre</v>
      </c>
      <c r="D113" s="28">
        <f>IFERROR(IF(COUNT(Raw_Data!D113:O113)=0,"",AVERAGE(Raw_Data!D113:O113)/100),"")</f>
        <v>1</v>
      </c>
      <c r="E113" s="28">
        <f>IFERROR(IF(COUNT(Raw_Data!P113:AA113)=0,"",AVERAGE(Raw_Data!P113:AA113)/100),"")</f>
        <v>1</v>
      </c>
      <c r="F113" s="30">
        <f>IFERROR(IF(COUNT(Raw_Data!AB113:AM113)=0,"",SUM(Raw_Data!AB113:AM113)),"")</f>
        <v>92</v>
      </c>
      <c r="G113" s="30">
        <f>IFERROR(IF(COUNT(Raw_Data!AN113:AY113)=0,"",SUM(Raw_Data!AN113:AY113)),"")</f>
        <v>86</v>
      </c>
      <c r="H113" s="30">
        <f>IFERROR(IF(COUNT(Raw_Data!AZ113:BK113)=0,"",SUM(Raw_Data!AZ113:BK113)),"")</f>
        <v>57</v>
      </c>
      <c r="I113" s="30">
        <f>IFERROR(IF(COUNT(Raw_Data!BL113:BW113)=0,"",SUM(Raw_Data!BL113:BW113)),"")</f>
        <v>27</v>
      </c>
      <c r="J113" s="30">
        <f>IFERROR(IF(COUNT(Raw_Data!BX113:CI113)=0,"",SUM(Raw_Data!BX113:CI113)),"")</f>
        <v>25</v>
      </c>
      <c r="K113" s="28">
        <f t="shared" si="7"/>
        <v>0.93478260869565222</v>
      </c>
      <c r="L113" s="28">
        <f t="shared" si="8"/>
        <v>6.5217391304347824E-2</v>
      </c>
      <c r="M113" s="28">
        <f t="shared" si="9"/>
        <v>0.47368421052631576</v>
      </c>
      <c r="N113" s="28">
        <f t="shared" si="10"/>
        <v>0.43859649122807015</v>
      </c>
      <c r="O113" s="7" t="str">
        <f t="shared" si="11"/>
        <v>Valid</v>
      </c>
      <c r="P113" s="13" t="str">
        <f t="shared" si="12"/>
        <v>Valid</v>
      </c>
      <c r="Q113" s="7" t="str">
        <f t="shared" si="13"/>
        <v>Valid</v>
      </c>
    </row>
    <row r="114" spans="1:17" ht="60">
      <c r="A114" s="7" t="str">
        <f>IF(Raw_Data!A114="","",TRIM(SUBSTITUTE(CLEAN(Raw_Data!A114),CHAR(160)," ")))</f>
        <v>Abuja Municipal Area Council</v>
      </c>
      <c r="B114" s="7" t="str">
        <f>IF(Raw_Data!B114="","",TRIM(SUBSTITUTE(CLEAN(Raw_Data!B114),CHAR(160)," ")))</f>
        <v>Kabusa Ward</v>
      </c>
      <c r="C114" s="7" t="str">
        <f>IF(Raw_Data!C114="","",TRIM(SUBSTITUTE(CLEAN(Raw_Data!C114),CHAR(160)," ")))</f>
        <v>Galadimawa Health Clinic</v>
      </c>
      <c r="D114" s="28">
        <f>IFERROR(IF(COUNT(Raw_Data!D114:O114)=0,"",AVERAGE(Raw_Data!D114:O114)/100),"")</f>
        <v>0.92272727272727262</v>
      </c>
      <c r="E114" s="28">
        <f>IFERROR(IF(COUNT(Raw_Data!P114:AA114)=0,"",AVERAGE(Raw_Data!P114:AA114)/100),"")</f>
        <v>0.5</v>
      </c>
      <c r="F114" s="30">
        <f>IFERROR(IF(COUNT(Raw_Data!AB114:AM114)=0,"",SUM(Raw_Data!AB114:AM114)),"")</f>
        <v>153</v>
      </c>
      <c r="G114" s="30">
        <f>IFERROR(IF(COUNT(Raw_Data!AN114:AY114)=0,"",SUM(Raw_Data!AN114:AY114)),"")</f>
        <v>163</v>
      </c>
      <c r="H114" s="30">
        <f>IFERROR(IF(COUNT(Raw_Data!AZ114:BK114)=0,"",SUM(Raw_Data!AZ114:BK114)),"")</f>
        <v>82</v>
      </c>
      <c r="I114" s="30">
        <f>IFERROR(IF(COUNT(Raw_Data!BL114:BW114)=0,"",SUM(Raw_Data!BL114:BW114)),"")</f>
        <v>12</v>
      </c>
      <c r="J114" s="30">
        <f>IFERROR(IF(COUNT(Raw_Data!BX114:CI114)=0,"",SUM(Raw_Data!BX114:CI114)),"")</f>
        <v>2</v>
      </c>
      <c r="K114" s="28">
        <f t="shared" si="7"/>
        <v>1.065359477124183</v>
      </c>
      <c r="L114" s="28">
        <f t="shared" si="8"/>
        <v>-6.535947712418301E-2</v>
      </c>
      <c r="M114" s="28">
        <f t="shared" si="9"/>
        <v>0.14634146341463414</v>
      </c>
      <c r="N114" s="28">
        <f t="shared" si="10"/>
        <v>2.4390243902439025E-2</v>
      </c>
      <c r="O114" s="7" t="str">
        <f t="shared" si="11"/>
        <v>Invalid</v>
      </c>
      <c r="P114" s="13" t="str">
        <f t="shared" si="12"/>
        <v>Valid</v>
      </c>
      <c r="Q114" s="7" t="str">
        <f t="shared" si="13"/>
        <v>Invalid</v>
      </c>
    </row>
    <row r="115" spans="1:17" ht="60">
      <c r="A115" s="7" t="str">
        <f>IF(Raw_Data!A115="","",TRIM(SUBSTITUTE(CLEAN(Raw_Data!A115),CHAR(160)," ")))</f>
        <v>Bwari Local Government Area</v>
      </c>
      <c r="B115" s="7" t="str">
        <f>IF(Raw_Data!B115="","",TRIM(SUBSTITUTE(CLEAN(Raw_Data!B115),CHAR(160)," ")))</f>
        <v>Shere Ward</v>
      </c>
      <c r="C115" s="7" t="str">
        <f>IF(Raw_Data!C115="","",TRIM(SUBSTITUTE(CLEAN(Raw_Data!C115),CHAR(160)," ")))</f>
        <v>Galuwyi Primary Health Clinic</v>
      </c>
      <c r="D115" s="28">
        <f>IFERROR(IF(COUNT(Raw_Data!D115:O115)=0,"",AVERAGE(Raw_Data!D115:O115)/100),"")</f>
        <v>0.52272727272727271</v>
      </c>
      <c r="E115" s="28">
        <f>IFERROR(IF(COUNT(Raw_Data!P115:AA115)=0,"",AVERAGE(Raw_Data!P115:AA115)/100),"")</f>
        <v>0.54166999999999998</v>
      </c>
      <c r="F115" s="30">
        <f>IFERROR(IF(COUNT(Raw_Data!AB115:AM115)=0,"",SUM(Raw_Data!AB115:AM115)),"")</f>
        <v>36</v>
      </c>
      <c r="G115" s="30">
        <f>IFERROR(IF(COUNT(Raw_Data!AN115:AY115)=0,"",SUM(Raw_Data!AN115:AY115)),"")</f>
        <v>37</v>
      </c>
      <c r="H115" s="30">
        <f>IFERROR(IF(COUNT(Raw_Data!AZ115:BK115)=0,"",SUM(Raw_Data!AZ115:BK115)),"")</f>
        <v>25</v>
      </c>
      <c r="I115" s="30">
        <f>IFERROR(IF(COUNT(Raw_Data!BL115:BW115)=0,"",SUM(Raw_Data!BL115:BW115)),"")</f>
        <v>18</v>
      </c>
      <c r="J115" s="30">
        <f>IFERROR(IF(COUNT(Raw_Data!BX115:CI115)=0,"",SUM(Raw_Data!BX115:CI115)),"")</f>
        <v>12</v>
      </c>
      <c r="K115" s="28">
        <f t="shared" si="7"/>
        <v>1.0277777777777777</v>
      </c>
      <c r="L115" s="28">
        <f t="shared" si="8"/>
        <v>-2.7777777777777776E-2</v>
      </c>
      <c r="M115" s="28">
        <f t="shared" si="9"/>
        <v>0.72</v>
      </c>
      <c r="N115" s="28">
        <f t="shared" si="10"/>
        <v>0.48</v>
      </c>
      <c r="O115" s="7" t="str">
        <f t="shared" si="11"/>
        <v>Invalid</v>
      </c>
      <c r="P115" s="13" t="str">
        <f t="shared" si="12"/>
        <v>Valid</v>
      </c>
      <c r="Q115" s="7" t="str">
        <f t="shared" si="13"/>
        <v>Invalid</v>
      </c>
    </row>
    <row r="116" spans="1:17" ht="60">
      <c r="A116" s="7" t="str">
        <f>IF(Raw_Data!A116="","",TRIM(SUBSTITUTE(CLEAN(Raw_Data!A116),CHAR(160)," ")))</f>
        <v>Abuja Municipal Area Council</v>
      </c>
      <c r="B116" s="7" t="str">
        <f>IF(Raw_Data!B116="","",TRIM(SUBSTITUTE(CLEAN(Raw_Data!B116),CHAR(160)," ")))</f>
        <v>City Centre Ward</v>
      </c>
      <c r="C116" s="7" t="str">
        <f>IF(Raw_Data!C116="","",TRIM(SUBSTITUTE(CLEAN(Raw_Data!C116),CHAR(160)," ")))</f>
        <v>Garki Hospital</v>
      </c>
      <c r="D116" s="28" t="str">
        <f>IFERROR(IF(COUNT(Raw_Data!D116:O116)=0,"",AVERAGE(Raw_Data!D116:O116)/100),"")</f>
        <v/>
      </c>
      <c r="E116" s="28" t="str">
        <f>IFERROR(IF(COUNT(Raw_Data!P116:AA116)=0,"",AVERAGE(Raw_Data!P116:AA116)/100),"")</f>
        <v/>
      </c>
      <c r="F116" s="30">
        <f>IFERROR(IF(COUNT(Raw_Data!AB116:AM116)=0,"",SUM(Raw_Data!AB116:AM116)),"")</f>
        <v>229</v>
      </c>
      <c r="G116" s="30">
        <f>IFERROR(IF(COUNT(Raw_Data!AN116:AY116)=0,"",SUM(Raw_Data!AN116:AY116)),"")</f>
        <v>195</v>
      </c>
      <c r="H116" s="30">
        <f>IFERROR(IF(COUNT(Raw_Data!AZ116:BK116)=0,"",SUM(Raw_Data!AZ116:BK116)),"")</f>
        <v>433</v>
      </c>
      <c r="I116" s="30">
        <f>IFERROR(IF(COUNT(Raw_Data!BL116:BW116)=0,"",SUM(Raw_Data!BL116:BW116)),"")</f>
        <v>153</v>
      </c>
      <c r="J116" s="30">
        <f>IFERROR(IF(COUNT(Raw_Data!BX116:CI116)=0,"",SUM(Raw_Data!BX116:CI116)),"")</f>
        <v>134</v>
      </c>
      <c r="K116" s="28">
        <f t="shared" si="7"/>
        <v>0.85152838427947597</v>
      </c>
      <c r="L116" s="28">
        <f t="shared" si="8"/>
        <v>0.14847161572052403</v>
      </c>
      <c r="M116" s="28">
        <f t="shared" si="9"/>
        <v>0.35334872979214782</v>
      </c>
      <c r="N116" s="28">
        <f t="shared" si="10"/>
        <v>0.30946882217090071</v>
      </c>
      <c r="O116" s="7" t="str">
        <f t="shared" si="11"/>
        <v>Valid</v>
      </c>
      <c r="P116" s="13" t="str">
        <f t="shared" si="12"/>
        <v>Valid</v>
      </c>
      <c r="Q116" s="7" t="str">
        <f t="shared" si="13"/>
        <v>Valid</v>
      </c>
    </row>
    <row r="117" spans="1:17" ht="75">
      <c r="A117" s="7" t="str">
        <f>IF(Raw_Data!A117="","",TRIM(SUBSTITUTE(CLEAN(Raw_Data!A117),CHAR(160)," ")))</f>
        <v>Abuja Municipal Area Council</v>
      </c>
      <c r="B117" s="7" t="str">
        <f>IF(Raw_Data!B117="","",TRIM(SUBSTITUTE(CLEAN(Raw_Data!B117),CHAR(160)," ")))</f>
        <v>Garki Ward</v>
      </c>
      <c r="C117" s="7" t="str">
        <f>IF(Raw_Data!C117="","",TRIM(SUBSTITUTE(CLEAN(Raw_Data!C117),CHAR(160)," ")))</f>
        <v>Garki Village Primary Health clinic</v>
      </c>
      <c r="D117" s="28">
        <f>IFERROR(IF(COUNT(Raw_Data!D117:O117)=0,"",AVERAGE(Raw_Data!D117:O117)/100),"")</f>
        <v>0.94444444444444442</v>
      </c>
      <c r="E117" s="28">
        <f>IFERROR(IF(COUNT(Raw_Data!P117:AA117)=0,"",AVERAGE(Raw_Data!P117:AA117)/100),"")</f>
        <v>0.80555555555555558</v>
      </c>
      <c r="F117" s="30">
        <f>IFERROR(IF(COUNT(Raw_Data!AB117:AM117)=0,"",SUM(Raw_Data!AB117:AM117)),"")</f>
        <v>289</v>
      </c>
      <c r="G117" s="30">
        <f>IFERROR(IF(COUNT(Raw_Data!AN117:AY117)=0,"",SUM(Raw_Data!AN117:AY117)),"")</f>
        <v>285</v>
      </c>
      <c r="H117" s="30">
        <f>IFERROR(IF(COUNT(Raw_Data!AZ117:BK117)=0,"",SUM(Raw_Data!AZ117:BK117)),"")</f>
        <v>318</v>
      </c>
      <c r="I117" s="30">
        <f>IFERROR(IF(COUNT(Raw_Data!BL117:BW117)=0,"",SUM(Raw_Data!BL117:BW117)),"")</f>
        <v>96</v>
      </c>
      <c r="J117" s="30">
        <f>IFERROR(IF(COUNT(Raw_Data!BX117:CI117)=0,"",SUM(Raw_Data!BX117:CI117)),"")</f>
        <v>18</v>
      </c>
      <c r="K117" s="28">
        <f t="shared" si="7"/>
        <v>0.98615916955017302</v>
      </c>
      <c r="L117" s="28">
        <f t="shared" si="8"/>
        <v>1.384083044982699E-2</v>
      </c>
      <c r="M117" s="28">
        <f t="shared" si="9"/>
        <v>0.30188679245283018</v>
      </c>
      <c r="N117" s="28">
        <f t="shared" si="10"/>
        <v>5.6603773584905662E-2</v>
      </c>
      <c r="O117" s="7" t="str">
        <f t="shared" si="11"/>
        <v>Valid</v>
      </c>
      <c r="P117" s="13" t="str">
        <f t="shared" si="12"/>
        <v>Valid</v>
      </c>
      <c r="Q117" s="7" t="str">
        <f t="shared" si="13"/>
        <v>Valid</v>
      </c>
    </row>
    <row r="118" spans="1:17" ht="60">
      <c r="A118" s="7" t="str">
        <f>IF(Raw_Data!A118="","",TRIM(SUBSTITUTE(CLEAN(Raw_Data!A118),CHAR(160)," ")))</f>
        <v>Abaji Local Government Area</v>
      </c>
      <c r="B118" s="7" t="str">
        <f>IF(Raw_Data!B118="","",TRIM(SUBSTITUTE(CLEAN(Raw_Data!B118),CHAR(160)," ")))</f>
        <v>Gawu Ward</v>
      </c>
      <c r="C118" s="7" t="str">
        <f>IF(Raw_Data!C118="","",TRIM(SUBSTITUTE(CLEAN(Raw_Data!C118),CHAR(160)," ")))</f>
        <v>Gasakpa Primary Health Clinic</v>
      </c>
      <c r="D118" s="28">
        <f>IFERROR(IF(COUNT(Raw_Data!D118:O118)=0,"",AVERAGE(Raw_Data!D118:O118)/100),"")</f>
        <v>1</v>
      </c>
      <c r="E118" s="28">
        <f>IFERROR(IF(COUNT(Raw_Data!P118:AA118)=0,"",AVERAGE(Raw_Data!P118:AA118)/100),"")</f>
        <v>0.59848181818181811</v>
      </c>
      <c r="F118" s="30">
        <f>IFERROR(IF(COUNT(Raw_Data!AB118:AM118)=0,"",SUM(Raw_Data!AB118:AM118)),"")</f>
        <v>588</v>
      </c>
      <c r="G118" s="30">
        <f>IFERROR(IF(COUNT(Raw_Data!AN118:AY118)=0,"",SUM(Raw_Data!AN118:AY118)),"")</f>
        <v>591</v>
      </c>
      <c r="H118" s="30">
        <f>IFERROR(IF(COUNT(Raw_Data!AZ118:BK118)=0,"",SUM(Raw_Data!AZ118:BK118)),"")</f>
        <v>108</v>
      </c>
      <c r="I118" s="30">
        <f>IFERROR(IF(COUNT(Raw_Data!BL118:BW118)=0,"",SUM(Raw_Data!BL118:BW118)),"")</f>
        <v>74</v>
      </c>
      <c r="J118" s="30">
        <f>IFERROR(IF(COUNT(Raw_Data!BX118:CI118)=0,"",SUM(Raw_Data!BX118:CI118)),"")</f>
        <v>12</v>
      </c>
      <c r="K118" s="28">
        <f t="shared" si="7"/>
        <v>1.0051020408163265</v>
      </c>
      <c r="L118" s="28">
        <f t="shared" si="8"/>
        <v>-5.1020408163265302E-3</v>
      </c>
      <c r="M118" s="28">
        <f t="shared" si="9"/>
        <v>0.68518518518518523</v>
      </c>
      <c r="N118" s="28">
        <f t="shared" si="10"/>
        <v>0.1111111111111111</v>
      </c>
      <c r="O118" s="7" t="str">
        <f t="shared" si="11"/>
        <v>Invalid</v>
      </c>
      <c r="P118" s="13" t="str">
        <f t="shared" si="12"/>
        <v>Valid</v>
      </c>
      <c r="Q118" s="7" t="str">
        <f t="shared" si="13"/>
        <v>Invalid</v>
      </c>
    </row>
    <row r="119" spans="1:17" ht="60">
      <c r="A119" s="7" t="str">
        <f>IF(Raw_Data!A119="","",TRIM(SUBSTITUTE(CLEAN(Raw_Data!A119),CHAR(160)," ")))</f>
        <v>Kuje Local Government Area</v>
      </c>
      <c r="B119" s="7" t="str">
        <f>IF(Raw_Data!B119="","",TRIM(SUBSTITUTE(CLEAN(Raw_Data!B119),CHAR(160)," ")))</f>
        <v>Gaube Ward</v>
      </c>
      <c r="C119" s="7" t="str">
        <f>IF(Raw_Data!C119="","",TRIM(SUBSTITUTE(CLEAN(Raw_Data!C119),CHAR(160)," ")))</f>
        <v>Gaube Primary Health Centre</v>
      </c>
      <c r="D119" s="28">
        <f>IFERROR(IF(COUNT(Raw_Data!D119:O119)=0,"",AVERAGE(Raw_Data!D119:O119)/100),"")</f>
        <v>1</v>
      </c>
      <c r="E119" s="28">
        <f>IFERROR(IF(COUNT(Raw_Data!P119:AA119)=0,"",AVERAGE(Raw_Data!P119:AA119)/100),"")</f>
        <v>1</v>
      </c>
      <c r="F119" s="30">
        <f>IFERROR(IF(COUNT(Raw_Data!AB119:AM119)=0,"",SUM(Raw_Data!AB119:AM119)),"")</f>
        <v>395</v>
      </c>
      <c r="G119" s="30">
        <f>IFERROR(IF(COUNT(Raw_Data!AN119:AY119)=0,"",SUM(Raw_Data!AN119:AY119)),"")</f>
        <v>539</v>
      </c>
      <c r="H119" s="30">
        <f>IFERROR(IF(COUNT(Raw_Data!AZ119:BK119)=0,"",SUM(Raw_Data!AZ119:BK119)),"")</f>
        <v>92</v>
      </c>
      <c r="I119" s="30">
        <f>IFERROR(IF(COUNT(Raw_Data!BL119:BW119)=0,"",SUM(Raw_Data!BL119:BW119)),"")</f>
        <v>49</v>
      </c>
      <c r="J119" s="30">
        <f>IFERROR(IF(COUNT(Raw_Data!BX119:CI119)=0,"",SUM(Raw_Data!BX119:CI119)),"")</f>
        <v>13</v>
      </c>
      <c r="K119" s="28">
        <f t="shared" si="7"/>
        <v>1.3645569620253164</v>
      </c>
      <c r="L119" s="28">
        <f t="shared" si="8"/>
        <v>-0.36455696202531646</v>
      </c>
      <c r="M119" s="28">
        <f t="shared" si="9"/>
        <v>0.53260869565217395</v>
      </c>
      <c r="N119" s="28">
        <f t="shared" si="10"/>
        <v>0.14130434782608695</v>
      </c>
      <c r="O119" s="7" t="str">
        <f t="shared" si="11"/>
        <v>Invalid</v>
      </c>
      <c r="P119" s="13" t="str">
        <f t="shared" si="12"/>
        <v>Valid</v>
      </c>
      <c r="Q119" s="7" t="str">
        <f t="shared" si="13"/>
        <v>Invalid</v>
      </c>
    </row>
    <row r="120" spans="1:17" ht="75">
      <c r="A120" s="7" t="str">
        <f>IF(Raw_Data!A120="","",TRIM(SUBSTITUTE(CLEAN(Raw_Data!A120),CHAR(160)," ")))</f>
        <v>Abaji Local Government Area</v>
      </c>
      <c r="B120" s="7" t="str">
        <f>IF(Raw_Data!B120="","",TRIM(SUBSTITUTE(CLEAN(Raw_Data!B120),CHAR(160)," ")))</f>
        <v>Gawu Ward</v>
      </c>
      <c r="C120" s="7" t="str">
        <f>IF(Raw_Data!C120="","",TRIM(SUBSTITUTE(CLEAN(Raw_Data!C120),CHAR(160)," ")))</f>
        <v>Gawu Comprehensive Health Centre</v>
      </c>
      <c r="D120" s="28">
        <f>IFERROR(IF(COUNT(Raw_Data!D120:O120)=0,"",AVERAGE(Raw_Data!D120:O120)/100),"")</f>
        <v>0.95454545454545459</v>
      </c>
      <c r="E120" s="28">
        <f>IFERROR(IF(COUNT(Raw_Data!P120:AA120)=0,"",AVERAGE(Raw_Data!P120:AA120)/100),"")</f>
        <v>0.95454545454545459</v>
      </c>
      <c r="F120" s="30">
        <f>IFERROR(IF(COUNT(Raw_Data!AB120:AM120)=0,"",SUM(Raw_Data!AB120:AM120)),"")</f>
        <v>748</v>
      </c>
      <c r="G120" s="30">
        <f>IFERROR(IF(COUNT(Raw_Data!AN120:AY120)=0,"",SUM(Raw_Data!AN120:AY120)),"")</f>
        <v>666</v>
      </c>
      <c r="H120" s="30">
        <f>IFERROR(IF(COUNT(Raw_Data!AZ120:BK120)=0,"",SUM(Raw_Data!AZ120:BK120)),"")</f>
        <v>189</v>
      </c>
      <c r="I120" s="30">
        <f>IFERROR(IF(COUNT(Raw_Data!BL120:BW120)=0,"",SUM(Raw_Data!BL120:BW120)),"")</f>
        <v>96</v>
      </c>
      <c r="J120" s="30">
        <f>IFERROR(IF(COUNT(Raw_Data!BX120:CI120)=0,"",SUM(Raw_Data!BX120:CI120)),"")</f>
        <v>8</v>
      </c>
      <c r="K120" s="28">
        <f t="shared" si="7"/>
        <v>0.89037433155080214</v>
      </c>
      <c r="L120" s="28">
        <f t="shared" si="8"/>
        <v>0.10962566844919786</v>
      </c>
      <c r="M120" s="28">
        <f t="shared" si="9"/>
        <v>0.50793650793650791</v>
      </c>
      <c r="N120" s="28">
        <f t="shared" si="10"/>
        <v>4.2328042328042326E-2</v>
      </c>
      <c r="O120" s="7" t="str">
        <f t="shared" si="11"/>
        <v>Valid</v>
      </c>
      <c r="P120" s="13" t="str">
        <f t="shared" si="12"/>
        <v>Valid</v>
      </c>
      <c r="Q120" s="7" t="str">
        <f t="shared" si="13"/>
        <v>Valid</v>
      </c>
    </row>
    <row r="121" spans="1:17" ht="60">
      <c r="A121" s="7" t="str">
        <f>IF(Raw_Data!A121="","",TRIM(SUBSTITUTE(CLEAN(Raw_Data!A121),CHAR(160)," ")))</f>
        <v>Kuje Local Government Area</v>
      </c>
      <c r="B121" s="7" t="str">
        <f>IF(Raw_Data!B121="","",TRIM(SUBSTITUTE(CLEAN(Raw_Data!B121),CHAR(160)," ")))</f>
        <v>Kwaku Ward</v>
      </c>
      <c r="C121" s="7" t="str">
        <f>IF(Raw_Data!C121="","",TRIM(SUBSTITUTE(CLEAN(Raw_Data!C121),CHAR(160)," ")))</f>
        <v>Gawu Primary Health Centre</v>
      </c>
      <c r="D121" s="28">
        <f>IFERROR(IF(COUNT(Raw_Data!D121:O121)=0,"",AVERAGE(Raw_Data!D121:O121)/100),"")</f>
        <v>1.0357142857142856</v>
      </c>
      <c r="E121" s="28">
        <f>IFERROR(IF(COUNT(Raw_Data!P121:AA121)=0,"",AVERAGE(Raw_Data!P121:AA121)/100),"")</f>
        <v>0.9642857142857143</v>
      </c>
      <c r="F121" s="30">
        <f>IFERROR(IF(COUNT(Raw_Data!AB121:AM121)=0,"",SUM(Raw_Data!AB121:AM121)),"")</f>
        <v>276</v>
      </c>
      <c r="G121" s="30">
        <f>IFERROR(IF(COUNT(Raw_Data!AN121:AY121)=0,"",SUM(Raw_Data!AN121:AY121)),"")</f>
        <v>219</v>
      </c>
      <c r="H121" s="30">
        <f>IFERROR(IF(COUNT(Raw_Data!AZ121:BK121)=0,"",SUM(Raw_Data!AZ121:BK121)),"")</f>
        <v>66</v>
      </c>
      <c r="I121" s="30">
        <f>IFERROR(IF(COUNT(Raw_Data!BL121:BW121)=0,"",SUM(Raw_Data!BL121:BW121)),"")</f>
        <v>9</v>
      </c>
      <c r="J121" s="30">
        <f>IFERROR(IF(COUNT(Raw_Data!BX121:CI121)=0,"",SUM(Raw_Data!BX121:CI121)),"")</f>
        <v>1</v>
      </c>
      <c r="K121" s="28">
        <f t="shared" si="7"/>
        <v>0.79347826086956519</v>
      </c>
      <c r="L121" s="28">
        <f t="shared" si="8"/>
        <v>0.20652173913043478</v>
      </c>
      <c r="M121" s="28">
        <f t="shared" si="9"/>
        <v>0.13636363636363635</v>
      </c>
      <c r="N121" s="28">
        <f t="shared" si="10"/>
        <v>1.5151515151515152E-2</v>
      </c>
      <c r="O121" s="7" t="str">
        <f t="shared" si="11"/>
        <v>Valid</v>
      </c>
      <c r="P121" s="13" t="str">
        <f t="shared" si="12"/>
        <v>Valid</v>
      </c>
      <c r="Q121" s="7" t="str">
        <f t="shared" si="13"/>
        <v>Valid</v>
      </c>
    </row>
    <row r="122" spans="1:17" ht="90">
      <c r="A122" s="7" t="str">
        <f>IF(Raw_Data!A122="","",TRIM(SUBSTITUTE(CLEAN(Raw_Data!A122),CHAR(160)," ")))</f>
        <v>Abuja Municipal Area Council</v>
      </c>
      <c r="B122" s="7" t="str">
        <f>IF(Raw_Data!B122="","",TRIM(SUBSTITUTE(CLEAN(Raw_Data!B122),CHAR(160)," ")))</f>
        <v>Nyanya Ward</v>
      </c>
      <c r="C122" s="7" t="str">
        <f>IF(Raw_Data!C122="","",TRIM(SUBSTITUTE(CLEAN(Raw_Data!C122),CHAR(160)," ")))</f>
        <v>Gbagarape Primary Health Care Centre</v>
      </c>
      <c r="D122" s="28">
        <f>IFERROR(IF(COUNT(Raw_Data!D122:O122)=0,"",AVERAGE(Raw_Data!D122:O122)/100),"")</f>
        <v>0.96595454545454518</v>
      </c>
      <c r="E122" s="28">
        <f>IFERROR(IF(COUNT(Raw_Data!P122:AA122)=0,"",AVERAGE(Raw_Data!P122:AA122)/100),"")</f>
        <v>0.81818181818181812</v>
      </c>
      <c r="F122" s="30">
        <f>IFERROR(IF(COUNT(Raw_Data!AB122:AM122)=0,"",SUM(Raw_Data!AB122:AM122)),"")</f>
        <v>690</v>
      </c>
      <c r="G122" s="30">
        <f>IFERROR(IF(COUNT(Raw_Data!AN122:AY122)=0,"",SUM(Raw_Data!AN122:AY122)),"")</f>
        <v>782</v>
      </c>
      <c r="H122" s="30">
        <f>IFERROR(IF(COUNT(Raw_Data!AZ122:BK122)=0,"",SUM(Raw_Data!AZ122:BK122)),"")</f>
        <v>555</v>
      </c>
      <c r="I122" s="30">
        <f>IFERROR(IF(COUNT(Raw_Data!BL122:BW122)=0,"",SUM(Raw_Data!BL122:BW122)),"")</f>
        <v>154</v>
      </c>
      <c r="J122" s="30">
        <f>IFERROR(IF(COUNT(Raw_Data!BX122:CI122)=0,"",SUM(Raw_Data!BX122:CI122)),"")</f>
        <v>14</v>
      </c>
      <c r="K122" s="28">
        <f t="shared" si="7"/>
        <v>1.1333333333333333</v>
      </c>
      <c r="L122" s="28">
        <f t="shared" si="8"/>
        <v>-0.13333333333333333</v>
      </c>
      <c r="M122" s="28">
        <f t="shared" si="9"/>
        <v>0.27747747747747747</v>
      </c>
      <c r="N122" s="28">
        <f t="shared" si="10"/>
        <v>2.5225225225225224E-2</v>
      </c>
      <c r="O122" s="7" t="str">
        <f t="shared" si="11"/>
        <v>Invalid</v>
      </c>
      <c r="P122" s="13" t="str">
        <f t="shared" si="12"/>
        <v>Valid</v>
      </c>
      <c r="Q122" s="7" t="str">
        <f t="shared" si="13"/>
        <v>Invalid</v>
      </c>
    </row>
    <row r="123" spans="1:17" ht="75">
      <c r="A123" s="7" t="str">
        <f>IF(Raw_Data!A123="","",TRIM(SUBSTITUTE(CLEAN(Raw_Data!A123),CHAR(160)," ")))</f>
        <v>Kuje Local Government Area</v>
      </c>
      <c r="B123" s="7" t="str">
        <f>IF(Raw_Data!B123="","",TRIM(SUBSTITUTE(CLEAN(Raw_Data!B123),CHAR(160)," ")))</f>
        <v>Gaube Ward</v>
      </c>
      <c r="C123" s="7" t="str">
        <f>IF(Raw_Data!C123="","",TRIM(SUBSTITUTE(CLEAN(Raw_Data!C123),CHAR(160)," ")))</f>
        <v>Gbaukuchi Primary Health Centre</v>
      </c>
      <c r="D123" s="28">
        <f>IFERROR(IF(COUNT(Raw_Data!D123:O123)=0,"",AVERAGE(Raw_Data!D123:O123)/100),"")</f>
        <v>1</v>
      </c>
      <c r="E123" s="28">
        <f>IFERROR(IF(COUNT(Raw_Data!P123:AA123)=0,"",AVERAGE(Raw_Data!P123:AA123)/100),"")</f>
        <v>0.91666666666666674</v>
      </c>
      <c r="F123" s="30">
        <f>IFERROR(IF(COUNT(Raw_Data!AB123:AM123)=0,"",SUM(Raw_Data!AB123:AM123)),"")</f>
        <v>79</v>
      </c>
      <c r="G123" s="30">
        <f>IFERROR(IF(COUNT(Raw_Data!AN123:AY123)=0,"",SUM(Raw_Data!AN123:AY123)),"")</f>
        <v>72</v>
      </c>
      <c r="H123" s="30">
        <f>IFERROR(IF(COUNT(Raw_Data!AZ123:BK123)=0,"",SUM(Raw_Data!AZ123:BK123)),"")</f>
        <v>13</v>
      </c>
      <c r="I123" s="30">
        <f>IFERROR(IF(COUNT(Raw_Data!BL123:BW123)=0,"",SUM(Raw_Data!BL123:BW123)),"")</f>
        <v>1</v>
      </c>
      <c r="J123" s="30">
        <f>IFERROR(IF(COUNT(Raw_Data!BX123:CI123)=0,"",SUM(Raw_Data!BX123:CI123)),"")</f>
        <v>7</v>
      </c>
      <c r="K123" s="28">
        <f t="shared" si="7"/>
        <v>0.91139240506329111</v>
      </c>
      <c r="L123" s="28">
        <f t="shared" si="8"/>
        <v>8.8607594936708861E-2</v>
      </c>
      <c r="M123" s="28">
        <f t="shared" si="9"/>
        <v>7.6923076923076927E-2</v>
      </c>
      <c r="N123" s="28">
        <f t="shared" si="10"/>
        <v>0.53846153846153844</v>
      </c>
      <c r="O123" s="7" t="str">
        <f t="shared" si="11"/>
        <v>Valid</v>
      </c>
      <c r="P123" s="13" t="str">
        <f t="shared" si="12"/>
        <v>Invalid</v>
      </c>
      <c r="Q123" s="7" t="str">
        <f t="shared" si="13"/>
        <v>Invalid</v>
      </c>
    </row>
    <row r="124" spans="1:17" ht="60">
      <c r="A124" s="7" t="str">
        <f>IF(Raw_Data!A124="","",TRIM(SUBSTITUTE(CLEAN(Raw_Data!A124),CHAR(160)," ")))</f>
        <v>Kuje Local Government Area</v>
      </c>
      <c r="B124" s="7" t="str">
        <f>IF(Raw_Data!B124="","",TRIM(SUBSTITUTE(CLEAN(Raw_Data!B124),CHAR(160)," ")))</f>
        <v>Gaube Ward</v>
      </c>
      <c r="C124" s="7" t="str">
        <f>IF(Raw_Data!C124="","",TRIM(SUBSTITUTE(CLEAN(Raw_Data!C124),CHAR(160)," ")))</f>
        <v>Gbaupe Primary Health Centre</v>
      </c>
      <c r="D124" s="28">
        <f>IFERROR(IF(COUNT(Raw_Data!D124:O124)=0,"",AVERAGE(Raw_Data!D124:O124)/100),"")</f>
        <v>0.875</v>
      </c>
      <c r="E124" s="28">
        <f>IFERROR(IF(COUNT(Raw_Data!P124:AA124)=0,"",AVERAGE(Raw_Data!P124:AA124)/100),"")</f>
        <v>1</v>
      </c>
      <c r="F124" s="30">
        <f>IFERROR(IF(COUNT(Raw_Data!AB124:AM124)=0,"",SUM(Raw_Data!AB124:AM124)),"")</f>
        <v>95</v>
      </c>
      <c r="G124" s="30">
        <f>IFERROR(IF(COUNT(Raw_Data!AN124:AY124)=0,"",SUM(Raw_Data!AN124:AY124)),"")</f>
        <v>101</v>
      </c>
      <c r="H124" s="30">
        <f>IFERROR(IF(COUNT(Raw_Data!AZ124:BK124)=0,"",SUM(Raw_Data!AZ124:BK124)),"")</f>
        <v>31</v>
      </c>
      <c r="I124" s="30">
        <f>IFERROR(IF(COUNT(Raw_Data!BL124:BW124)=0,"",SUM(Raw_Data!BL124:BW124)),"")</f>
        <v>7</v>
      </c>
      <c r="J124" s="30" t="str">
        <f>IFERROR(IF(COUNT(Raw_Data!BX124:CI124)=0,"",SUM(Raw_Data!BX124:CI124)),"")</f>
        <v/>
      </c>
      <c r="K124" s="28">
        <f t="shared" si="7"/>
        <v>1.0631578947368421</v>
      </c>
      <c r="L124" s="28">
        <f t="shared" si="8"/>
        <v>-6.3157894736842107E-2</v>
      </c>
      <c r="M124" s="28">
        <f t="shared" si="9"/>
        <v>0.22580645161290322</v>
      </c>
      <c r="N124" s="28" t="str">
        <f t="shared" si="10"/>
        <v/>
      </c>
      <c r="O124" s="7" t="str">
        <f t="shared" si="11"/>
        <v>Invalid</v>
      </c>
      <c r="P124" s="13" t="str">
        <f t="shared" si="12"/>
        <v>Incomplete</v>
      </c>
      <c r="Q124" s="7" t="str">
        <f t="shared" si="13"/>
        <v>Incomplete</v>
      </c>
    </row>
    <row r="125" spans="1:17" ht="75">
      <c r="A125" s="7" t="str">
        <f>IF(Raw_Data!A125="","",TRIM(SUBSTITUTE(CLEAN(Raw_Data!A125),CHAR(160)," ")))</f>
        <v>Abuja Municipal Area Council</v>
      </c>
      <c r="B125" s="7" t="str">
        <f>IF(Raw_Data!B125="","",TRIM(SUBSTITUTE(CLEAN(Raw_Data!B125),CHAR(160)," ")))</f>
        <v>Gwagwa Ward</v>
      </c>
      <c r="C125" s="7" t="str">
        <f>IF(Raw_Data!C125="","",TRIM(SUBSTITUTE(CLEAN(Raw_Data!C125),CHAR(160)," ")))</f>
        <v>Getwell Optimal Hospital (Gwagwa)</v>
      </c>
      <c r="D125" s="28">
        <f>IFERROR(IF(COUNT(Raw_Data!D125:O125)=0,"",AVERAGE(Raw_Data!D125:O125)/100),"")</f>
        <v>1</v>
      </c>
      <c r="E125" s="28" t="str">
        <f>IFERROR(IF(COUNT(Raw_Data!P125:AA125)=0,"",AVERAGE(Raw_Data!P125:AA125)/100),"")</f>
        <v/>
      </c>
      <c r="F125" s="30">
        <f>IFERROR(IF(COUNT(Raw_Data!AB125:AM125)=0,"",SUM(Raw_Data!AB125:AM125)),"")</f>
        <v>105</v>
      </c>
      <c r="G125" s="30">
        <f>IFERROR(IF(COUNT(Raw_Data!AN125:AY125)=0,"",SUM(Raw_Data!AN125:AY125)),"")</f>
        <v>134</v>
      </c>
      <c r="H125" s="30">
        <f>IFERROR(IF(COUNT(Raw_Data!AZ125:BK125)=0,"",SUM(Raw_Data!AZ125:BK125)),"")</f>
        <v>26</v>
      </c>
      <c r="I125" s="30">
        <f>IFERROR(IF(COUNT(Raw_Data!BL125:BW125)=0,"",SUM(Raw_Data!BL125:BW125)),"")</f>
        <v>9</v>
      </c>
      <c r="J125" s="30">
        <f>IFERROR(IF(COUNT(Raw_Data!BX125:CI125)=0,"",SUM(Raw_Data!BX125:CI125)),"")</f>
        <v>2</v>
      </c>
      <c r="K125" s="28">
        <f t="shared" si="7"/>
        <v>1.2761904761904761</v>
      </c>
      <c r="L125" s="28">
        <f t="shared" si="8"/>
        <v>-0.27619047619047621</v>
      </c>
      <c r="M125" s="28">
        <f t="shared" si="9"/>
        <v>0.34615384615384615</v>
      </c>
      <c r="N125" s="28">
        <f t="shared" si="10"/>
        <v>7.6923076923076927E-2</v>
      </c>
      <c r="O125" s="7" t="str">
        <f t="shared" si="11"/>
        <v>Invalid</v>
      </c>
      <c r="P125" s="13" t="str">
        <f t="shared" si="12"/>
        <v>Valid</v>
      </c>
      <c r="Q125" s="7" t="str">
        <f t="shared" si="13"/>
        <v>Invalid</v>
      </c>
    </row>
    <row r="126" spans="1:17" ht="75">
      <c r="A126" s="7" t="str">
        <f>IF(Raw_Data!A126="","",TRIM(SUBSTITUTE(CLEAN(Raw_Data!A126),CHAR(160)," ")))</f>
        <v>Abuja Municipal Area Council</v>
      </c>
      <c r="B126" s="7" t="str">
        <f>IF(Raw_Data!B126="","",TRIM(SUBSTITUTE(CLEAN(Raw_Data!B126),CHAR(160)," ")))</f>
        <v>Orozo Ward</v>
      </c>
      <c r="C126" s="7" t="str">
        <f>IF(Raw_Data!C126="","",TRIM(SUBSTITUTE(CLEAN(Raw_Data!C126),CHAR(160)," ")))</f>
        <v>Gidan Mangoro Primary Health Clinic</v>
      </c>
      <c r="D126" s="28">
        <f>IFERROR(IF(COUNT(Raw_Data!D126:O126)=0,"",AVERAGE(Raw_Data!D126:O126)/100),"")</f>
        <v>0.81949090909090916</v>
      </c>
      <c r="E126" s="28">
        <f>IFERROR(IF(COUNT(Raw_Data!P126:AA126)=0,"",AVERAGE(Raw_Data!P126:AA126)/100),"")</f>
        <v>1</v>
      </c>
      <c r="F126" s="30">
        <f>IFERROR(IF(COUNT(Raw_Data!AB126:AM126)=0,"",SUM(Raw_Data!AB126:AM126)),"")</f>
        <v>551</v>
      </c>
      <c r="G126" s="30">
        <f>IFERROR(IF(COUNT(Raw_Data!AN126:AY126)=0,"",SUM(Raw_Data!AN126:AY126)),"")</f>
        <v>656</v>
      </c>
      <c r="H126" s="30">
        <f>IFERROR(IF(COUNT(Raw_Data!AZ126:BK126)=0,"",SUM(Raw_Data!AZ126:BK126)),"")</f>
        <v>618</v>
      </c>
      <c r="I126" s="30">
        <f>IFERROR(IF(COUNT(Raw_Data!BL126:BW126)=0,"",SUM(Raw_Data!BL126:BW126)),"")</f>
        <v>374</v>
      </c>
      <c r="J126" s="30">
        <f>IFERROR(IF(COUNT(Raw_Data!BX126:CI126)=0,"",SUM(Raw_Data!BX126:CI126)),"")</f>
        <v>81</v>
      </c>
      <c r="K126" s="28">
        <f t="shared" si="7"/>
        <v>1.190562613430127</v>
      </c>
      <c r="L126" s="28">
        <f t="shared" si="8"/>
        <v>-0.19056261343012704</v>
      </c>
      <c r="M126" s="28">
        <f t="shared" si="9"/>
        <v>0.60517799352750812</v>
      </c>
      <c r="N126" s="28">
        <f t="shared" si="10"/>
        <v>0.13106796116504854</v>
      </c>
      <c r="O126" s="7" t="str">
        <f t="shared" si="11"/>
        <v>Invalid</v>
      </c>
      <c r="P126" s="13" t="str">
        <f t="shared" si="12"/>
        <v>Valid</v>
      </c>
      <c r="Q126" s="7" t="str">
        <f t="shared" si="13"/>
        <v>Invalid</v>
      </c>
    </row>
    <row r="127" spans="1:17" ht="75">
      <c r="A127" s="7" t="str">
        <f>IF(Raw_Data!A127="","",TRIM(SUBSTITUTE(CLEAN(Raw_Data!A127),CHAR(160)," ")))</f>
        <v>Kuje Local Government Area</v>
      </c>
      <c r="B127" s="7" t="str">
        <f>IF(Raw_Data!B127="","",TRIM(SUBSTITUTE(CLEAN(Raw_Data!B127),CHAR(160)," ")))</f>
        <v>Gaube Ward</v>
      </c>
      <c r="C127" s="7" t="str">
        <f>IF(Raw_Data!C127="","",TRIM(SUBSTITUTE(CLEAN(Raw_Data!C127),CHAR(160)," ")))</f>
        <v>Gidanbawa Primary Health Clinic</v>
      </c>
      <c r="D127" s="28">
        <f>IFERROR(IF(COUNT(Raw_Data!D127:O127)=0,"",AVERAGE(Raw_Data!D127:O127)/100),"")</f>
        <v>1</v>
      </c>
      <c r="E127" s="28">
        <f>IFERROR(IF(COUNT(Raw_Data!P127:AA127)=0,"",AVERAGE(Raw_Data!P127:AA127)/100),"")</f>
        <v>1</v>
      </c>
      <c r="F127" s="30">
        <f>IFERROR(IF(COUNT(Raw_Data!AB127:AM127)=0,"",SUM(Raw_Data!AB127:AM127)),"")</f>
        <v>34</v>
      </c>
      <c r="G127" s="30">
        <f>IFERROR(IF(COUNT(Raw_Data!AN127:AY127)=0,"",SUM(Raw_Data!AN127:AY127)),"")</f>
        <v>124</v>
      </c>
      <c r="H127" s="30">
        <f>IFERROR(IF(COUNT(Raw_Data!AZ127:BK127)=0,"",SUM(Raw_Data!AZ127:BK127)),"")</f>
        <v>30</v>
      </c>
      <c r="I127" s="30">
        <f>IFERROR(IF(COUNT(Raw_Data!BL127:BW127)=0,"",SUM(Raw_Data!BL127:BW127)),"")</f>
        <v>3</v>
      </c>
      <c r="J127" s="30" t="str">
        <f>IFERROR(IF(COUNT(Raw_Data!BX127:CI127)=0,"",SUM(Raw_Data!BX127:CI127)),"")</f>
        <v/>
      </c>
      <c r="K127" s="28">
        <f t="shared" si="7"/>
        <v>3.6470588235294117</v>
      </c>
      <c r="L127" s="28">
        <f t="shared" si="8"/>
        <v>-2.6470588235294117</v>
      </c>
      <c r="M127" s="28">
        <f t="shared" si="9"/>
        <v>0.1</v>
      </c>
      <c r="N127" s="28" t="str">
        <f t="shared" si="10"/>
        <v/>
      </c>
      <c r="O127" s="7" t="str">
        <f t="shared" si="11"/>
        <v>Invalid</v>
      </c>
      <c r="P127" s="13" t="str">
        <f t="shared" si="12"/>
        <v>Incomplete</v>
      </c>
      <c r="Q127" s="7" t="str">
        <f t="shared" si="13"/>
        <v>Incomplete</v>
      </c>
    </row>
    <row r="128" spans="1:17" ht="60">
      <c r="A128" s="7" t="str">
        <f>IF(Raw_Data!A128="","",TRIM(SUBSTITUTE(CLEAN(Raw_Data!A128),CHAR(160)," ")))</f>
        <v>Abaji Local Government Area</v>
      </c>
      <c r="B128" s="7" t="str">
        <f>IF(Raw_Data!B128="","",TRIM(SUBSTITUTE(CLEAN(Raw_Data!B128),CHAR(160)," ")))</f>
        <v>Gawu Ward</v>
      </c>
      <c r="C128" s="7" t="str">
        <f>IF(Raw_Data!C128="","",TRIM(SUBSTITUTE(CLEAN(Raw_Data!C128),CHAR(160)," ")))</f>
        <v>Gigbe Primary Health Clinic</v>
      </c>
      <c r="D128" s="28">
        <f>IFERROR(IF(COUNT(Raw_Data!D128:O128)=0,"",AVERAGE(Raw_Data!D128:O128)/100),"")</f>
        <v>1.05</v>
      </c>
      <c r="E128" s="28">
        <f>IFERROR(IF(COUNT(Raw_Data!P128:AA128)=0,"",AVERAGE(Raw_Data!P128:AA128)/100),"")</f>
        <v>0.81</v>
      </c>
      <c r="F128" s="30">
        <f>IFERROR(IF(COUNT(Raw_Data!AB128:AM128)=0,"",SUM(Raw_Data!AB128:AM128)),"")</f>
        <v>465</v>
      </c>
      <c r="G128" s="30">
        <f>IFERROR(IF(COUNT(Raw_Data!AN128:AY128)=0,"",SUM(Raw_Data!AN128:AY128)),"")</f>
        <v>435</v>
      </c>
      <c r="H128" s="30">
        <f>IFERROR(IF(COUNT(Raw_Data!AZ128:BK128)=0,"",SUM(Raw_Data!AZ128:BK128)),"")</f>
        <v>122</v>
      </c>
      <c r="I128" s="30">
        <f>IFERROR(IF(COUNT(Raw_Data!BL128:BW128)=0,"",SUM(Raw_Data!BL128:BW128)),"")</f>
        <v>14</v>
      </c>
      <c r="J128" s="30">
        <f>IFERROR(IF(COUNT(Raw_Data!BX128:CI128)=0,"",SUM(Raw_Data!BX128:CI128)),"")</f>
        <v>9</v>
      </c>
      <c r="K128" s="28">
        <f t="shared" si="7"/>
        <v>0.93548387096774188</v>
      </c>
      <c r="L128" s="28">
        <f t="shared" si="8"/>
        <v>6.4516129032258063E-2</v>
      </c>
      <c r="M128" s="28">
        <f t="shared" si="9"/>
        <v>0.11475409836065574</v>
      </c>
      <c r="N128" s="28">
        <f t="shared" si="10"/>
        <v>7.3770491803278687E-2</v>
      </c>
      <c r="O128" s="7" t="str">
        <f t="shared" si="11"/>
        <v>Valid</v>
      </c>
      <c r="P128" s="13" t="str">
        <f t="shared" si="12"/>
        <v>Valid</v>
      </c>
      <c r="Q128" s="7" t="str">
        <f t="shared" si="13"/>
        <v>Valid</v>
      </c>
    </row>
    <row r="129" spans="1:17" ht="60">
      <c r="A129" s="7" t="str">
        <f>IF(Raw_Data!A129="","",TRIM(SUBSTITUTE(CLEAN(Raw_Data!A129),CHAR(160)," ")))</f>
        <v>Gwagwalada Local Government Area</v>
      </c>
      <c r="B129" s="7" t="str">
        <f>IF(Raw_Data!B129="","",TRIM(SUBSTITUTE(CLEAN(Raw_Data!B129),CHAR(160)," ")))</f>
        <v>Gwako Ward</v>
      </c>
      <c r="C129" s="7" t="str">
        <f>IF(Raw_Data!C129="","",TRIM(SUBSTITUTE(CLEAN(Raw_Data!C129),CHAR(160)," ")))</f>
        <v>Giri Primary Health Clinic</v>
      </c>
      <c r="D129" s="28">
        <f>IFERROR(IF(COUNT(Raw_Data!D129:O129)=0,"",AVERAGE(Raw_Data!D129:O129)/100),"")</f>
        <v>0.86363636363636365</v>
      </c>
      <c r="E129" s="28">
        <f>IFERROR(IF(COUNT(Raw_Data!P129:AA129)=0,"",AVERAGE(Raw_Data!P129:AA129)/100),"")</f>
        <v>0.61665999999999999</v>
      </c>
      <c r="F129" s="30">
        <f>IFERROR(IF(COUNT(Raw_Data!AB129:AM129)=0,"",SUM(Raw_Data!AB129:AM129)),"")</f>
        <v>494</v>
      </c>
      <c r="G129" s="30">
        <f>IFERROR(IF(COUNT(Raw_Data!AN129:AY129)=0,"",SUM(Raw_Data!AN129:AY129)),"")</f>
        <v>644</v>
      </c>
      <c r="H129" s="30">
        <f>IFERROR(IF(COUNT(Raw_Data!AZ129:BK129)=0,"",SUM(Raw_Data!AZ129:BK129)),"")</f>
        <v>295</v>
      </c>
      <c r="I129" s="30">
        <f>IFERROR(IF(COUNT(Raw_Data!BL129:BW129)=0,"",SUM(Raw_Data!BL129:BW129)),"")</f>
        <v>146</v>
      </c>
      <c r="J129" s="30">
        <f>IFERROR(IF(COUNT(Raw_Data!BX129:CI129)=0,"",SUM(Raw_Data!BX129:CI129)),"")</f>
        <v>59</v>
      </c>
      <c r="K129" s="28">
        <f t="shared" si="7"/>
        <v>1.3036437246963564</v>
      </c>
      <c r="L129" s="28">
        <f t="shared" si="8"/>
        <v>-0.30364372469635625</v>
      </c>
      <c r="M129" s="28">
        <f t="shared" si="9"/>
        <v>0.49491525423728816</v>
      </c>
      <c r="N129" s="28">
        <f t="shared" si="10"/>
        <v>0.2</v>
      </c>
      <c r="O129" s="7" t="str">
        <f t="shared" si="11"/>
        <v>Invalid</v>
      </c>
      <c r="P129" s="13" t="str">
        <f t="shared" si="12"/>
        <v>Valid</v>
      </c>
      <c r="Q129" s="7" t="str">
        <f t="shared" si="13"/>
        <v>Invalid</v>
      </c>
    </row>
    <row r="130" spans="1:17" ht="60">
      <c r="A130" s="7" t="str">
        <f>IF(Raw_Data!A130="","",TRIM(SUBSTITUTE(CLEAN(Raw_Data!A130),CHAR(160)," ")))</f>
        <v>Abuja Municipal Area Council</v>
      </c>
      <c r="B130" s="7" t="str">
        <f>IF(Raw_Data!B130="","",TRIM(SUBSTITUTE(CLEAN(Raw_Data!B130),CHAR(160)," ")))</f>
        <v>Gwarimpa Ward</v>
      </c>
      <c r="C130" s="7" t="str">
        <f>IF(Raw_Data!C130="","",TRIM(SUBSTITUTE(CLEAN(Raw_Data!C130),CHAR(160)," ")))</f>
        <v>Gishiri Primary Health Clinic</v>
      </c>
      <c r="D130" s="28">
        <f>IFERROR(IF(COUNT(Raw_Data!D130:O130)=0,"",AVERAGE(Raw_Data!D130:O130)/100),"")</f>
        <v>0.95499999999999996</v>
      </c>
      <c r="E130" s="28">
        <f>IFERROR(IF(COUNT(Raw_Data!P130:AA130)=0,"",AVERAGE(Raw_Data!P130:AA130)/100),"")</f>
        <v>1</v>
      </c>
      <c r="F130" s="30">
        <f>IFERROR(IF(COUNT(Raw_Data!AB130:AM130)=0,"",SUM(Raw_Data!AB130:AM130)),"")</f>
        <v>163</v>
      </c>
      <c r="G130" s="30">
        <f>IFERROR(IF(COUNT(Raw_Data!AN130:AY130)=0,"",SUM(Raw_Data!AN130:AY130)),"")</f>
        <v>169</v>
      </c>
      <c r="H130" s="30">
        <f>IFERROR(IF(COUNT(Raw_Data!AZ130:BK130)=0,"",SUM(Raw_Data!AZ130:BK130)),"")</f>
        <v>79</v>
      </c>
      <c r="I130" s="30">
        <f>IFERROR(IF(COUNT(Raw_Data!BL130:BW130)=0,"",SUM(Raw_Data!BL130:BW130)),"")</f>
        <v>23</v>
      </c>
      <c r="J130" s="30">
        <f>IFERROR(IF(COUNT(Raw_Data!BX130:CI130)=0,"",SUM(Raw_Data!BX130:CI130)),"")</f>
        <v>21</v>
      </c>
      <c r="K130" s="28">
        <f t="shared" si="7"/>
        <v>1.0368098159509203</v>
      </c>
      <c r="L130" s="28">
        <f t="shared" si="8"/>
        <v>-3.6809815950920248E-2</v>
      </c>
      <c r="M130" s="28">
        <f t="shared" si="9"/>
        <v>0.29113924050632911</v>
      </c>
      <c r="N130" s="28">
        <f t="shared" si="10"/>
        <v>0.26582278481012656</v>
      </c>
      <c r="O130" s="7" t="str">
        <f t="shared" si="11"/>
        <v>Invalid</v>
      </c>
      <c r="P130" s="13" t="str">
        <f t="shared" si="12"/>
        <v>Valid</v>
      </c>
      <c r="Q130" s="7" t="str">
        <f t="shared" si="13"/>
        <v>Invalid</v>
      </c>
    </row>
    <row r="131" spans="1:17" ht="90">
      <c r="A131" s="7" t="str">
        <f>IF(Raw_Data!A131="","",TRIM(SUBSTITUTE(CLEAN(Raw_Data!A131),CHAR(160)," ")))</f>
        <v>Abuja Municipal Area Council</v>
      </c>
      <c r="B131" s="7" t="str">
        <f>IF(Raw_Data!B131="","",TRIM(SUBSTITUTE(CLEAN(Raw_Data!B131),CHAR(160)," ")))</f>
        <v>Gwagwa Ward</v>
      </c>
      <c r="C131" s="7" t="str">
        <f>IF(Raw_Data!C131="","",TRIM(SUBSTITUTE(CLEAN(Raw_Data!C131),CHAR(160)," ")))</f>
        <v>God's Time Clinic and Maternity</v>
      </c>
      <c r="D131" s="28" t="str">
        <f>IFERROR(IF(COUNT(Raw_Data!D131:O131)=0,"",AVERAGE(Raw_Data!D131:O131)/100),"")</f>
        <v/>
      </c>
      <c r="E131" s="28" t="str">
        <f>IFERROR(IF(COUNT(Raw_Data!P131:AA131)=0,"",AVERAGE(Raw_Data!P131:AA131)/100),"")</f>
        <v/>
      </c>
      <c r="F131" s="30" t="str">
        <f>IFERROR(IF(COUNT(Raw_Data!AB131:AM131)=0,"",SUM(Raw_Data!AB131:AM131)),"")</f>
        <v/>
      </c>
      <c r="G131" s="30" t="str">
        <f>IFERROR(IF(COUNT(Raw_Data!AN131:AY131)=0,"",SUM(Raw_Data!AN131:AY131)),"")</f>
        <v/>
      </c>
      <c r="H131" s="30">
        <f>IFERROR(IF(COUNT(Raw_Data!AZ131:BK131)=0,"",SUM(Raw_Data!AZ131:BK131)),"")</f>
        <v>18</v>
      </c>
      <c r="I131" s="30">
        <f>IFERROR(IF(COUNT(Raw_Data!BL131:BW131)=0,"",SUM(Raw_Data!BL131:BW131)),"")</f>
        <v>13</v>
      </c>
      <c r="J131" s="30">
        <f>IFERROR(IF(COUNT(Raw_Data!BX131:CI131)=0,"",SUM(Raw_Data!BX131:CI131)),"")</f>
        <v>32</v>
      </c>
      <c r="K131" s="28" t="str">
        <f t="shared" ref="K131:K194" si="14">IFERROR(IF(OR(F131="",G131="",F131&lt;=0),"",G131/F131),"")</f>
        <v/>
      </c>
      <c r="L131" s="28" t="str">
        <f t="shared" ref="L131:L194" si="15">IFERROR(IF(OR(F131="",G131="",F131&lt;=0),"",(F131-G131)/F131),"")</f>
        <v/>
      </c>
      <c r="M131" s="28">
        <f t="shared" ref="M131:M194" si="16">IFERROR(IF(OR(H131="",I131="",H131&lt;=0),"",I131/H131),"")</f>
        <v>0.72222222222222221</v>
      </c>
      <c r="N131" s="28">
        <f t="shared" ref="N131:N194" si="17">IFERROR(IF(OR(H131="",J131="",H131&lt;=0),"",J131/H131),"")</f>
        <v>1.7777777777777777</v>
      </c>
      <c r="O131" s="7" t="str">
        <f t="shared" ref="O131:O194" si="18">IFERROR(IF(AND(F131="",G131=""),"No Data",IF(OR(F131="",G131="",F131&lt;=0),"Incomplete",IF(OR(G131&gt;F131,K131&lt;0,K131&gt;1,L131&lt;0,L131&gt;1),"Invalid","Valid"))),"Invalid")</f>
        <v>No Data</v>
      </c>
      <c r="P131" s="13" t="str">
        <f t="shared" ref="P131:P194" si="19">IFERROR(IF(AND(H131="",I131="",J131=""),"No Data",IF(OR(H131="",I131="",J131="",H131&lt;=0),"Incomplete",IF(OR(I131&gt;H131,J131&gt;H131,J131&gt;I131,M131&lt;0,M131&gt;1,N131&lt;0,N131&gt;1),"Invalid","Valid"))),"Invalid")</f>
        <v>Invalid</v>
      </c>
      <c r="Q131" s="7" t="str">
        <f t="shared" ref="Q131:Q194" si="20">IF(OR(O131="No Data",P131="No Data"),"No Data",IF(OR(O131="Incomplete",P131="Incomplete"),"Incomplete",IF(OR(O131="Invalid",P131="Invalid"),"Invalid","Valid")))</f>
        <v>No Data</v>
      </c>
    </row>
    <row r="132" spans="1:17" ht="60">
      <c r="A132" s="7" t="str">
        <f>IF(Raw_Data!A132="","",TRIM(SUBSTITUTE(CLEAN(Raw_Data!A132),CHAR(160)," ")))</f>
        <v>Gwagwalada Local Government Area</v>
      </c>
      <c r="B132" s="7" t="str">
        <f>IF(Raw_Data!B132="","",TRIM(SUBSTITUTE(CLEAN(Raw_Data!B132),CHAR(160)," ")))</f>
        <v>Ikwa Ward</v>
      </c>
      <c r="C132" s="7" t="str">
        <f>IF(Raw_Data!C132="","",TRIM(SUBSTITUTE(CLEAN(Raw_Data!C132),CHAR(160)," ")))</f>
        <v>Godhealer Hospital</v>
      </c>
      <c r="D132" s="28" t="str">
        <f>IFERROR(IF(COUNT(Raw_Data!D132:O132)=0,"",AVERAGE(Raw_Data!D132:O132)/100),"")</f>
        <v/>
      </c>
      <c r="E132" s="28" t="str">
        <f>IFERROR(IF(COUNT(Raw_Data!P132:AA132)=0,"",AVERAGE(Raw_Data!P132:AA132)/100),"")</f>
        <v/>
      </c>
      <c r="F132" s="30" t="str">
        <f>IFERROR(IF(COUNT(Raw_Data!AB132:AM132)=0,"",SUM(Raw_Data!AB132:AM132)),"")</f>
        <v/>
      </c>
      <c r="G132" s="30" t="str">
        <f>IFERROR(IF(COUNT(Raw_Data!AN132:AY132)=0,"",SUM(Raw_Data!AN132:AY132)),"")</f>
        <v/>
      </c>
      <c r="H132" s="30">
        <f>IFERROR(IF(COUNT(Raw_Data!AZ132:BK132)=0,"",SUM(Raw_Data!AZ132:BK132)),"")</f>
        <v>6</v>
      </c>
      <c r="I132" s="30">
        <f>IFERROR(IF(COUNT(Raw_Data!BL132:BW132)=0,"",SUM(Raw_Data!BL132:BW132)),"")</f>
        <v>4</v>
      </c>
      <c r="J132" s="30" t="str">
        <f>IFERROR(IF(COUNT(Raw_Data!BX132:CI132)=0,"",SUM(Raw_Data!BX132:CI132)),"")</f>
        <v/>
      </c>
      <c r="K132" s="28" t="str">
        <f t="shared" si="14"/>
        <v/>
      </c>
      <c r="L132" s="28" t="str">
        <f t="shared" si="15"/>
        <v/>
      </c>
      <c r="M132" s="28">
        <f t="shared" si="16"/>
        <v>0.66666666666666663</v>
      </c>
      <c r="N132" s="28" t="str">
        <f t="shared" si="17"/>
        <v/>
      </c>
      <c r="O132" s="7" t="str">
        <f t="shared" si="18"/>
        <v>No Data</v>
      </c>
      <c r="P132" s="13" t="str">
        <f t="shared" si="19"/>
        <v>Incomplete</v>
      </c>
      <c r="Q132" s="7" t="str">
        <f t="shared" si="20"/>
        <v>No Data</v>
      </c>
    </row>
    <row r="133" spans="1:17" ht="60">
      <c r="A133" s="7" t="str">
        <f>IF(Raw_Data!A133="","",TRIM(SUBSTITUTE(CLEAN(Raw_Data!A133),CHAR(160)," ")))</f>
        <v>Kwali Local Government Area</v>
      </c>
      <c r="B133" s="7" t="str">
        <f>IF(Raw_Data!B133="","",TRIM(SUBSTITUTE(CLEAN(Raw_Data!B133),CHAR(160)," ")))</f>
        <v>Kundu Ward</v>
      </c>
      <c r="C133" s="7" t="str">
        <f>IF(Raw_Data!C133="","",TRIM(SUBSTITUTE(CLEAN(Raw_Data!C133),CHAR(160)," ")))</f>
        <v>Gomani Primary Health Clinic</v>
      </c>
      <c r="D133" s="28">
        <f>IFERROR(IF(COUNT(Raw_Data!D133:O133)=0,"",AVERAGE(Raw_Data!D133:O133)/100),"")</f>
        <v>0.86363636363636365</v>
      </c>
      <c r="E133" s="28">
        <f>IFERROR(IF(COUNT(Raw_Data!P133:AA133)=0,"",AVERAGE(Raw_Data!P133:AA133)/100),"")</f>
        <v>0.96212727272727294</v>
      </c>
      <c r="F133" s="30">
        <f>IFERROR(IF(COUNT(Raw_Data!AB133:AM133)=0,"",SUM(Raw_Data!AB133:AM133)),"")</f>
        <v>177</v>
      </c>
      <c r="G133" s="30">
        <f>IFERROR(IF(COUNT(Raw_Data!AN133:AY133)=0,"",SUM(Raw_Data!AN133:AY133)),"")</f>
        <v>280</v>
      </c>
      <c r="H133" s="30">
        <f>IFERROR(IF(COUNT(Raw_Data!AZ133:BK133)=0,"",SUM(Raw_Data!AZ133:BK133)),"")</f>
        <v>76</v>
      </c>
      <c r="I133" s="30">
        <f>IFERROR(IF(COUNT(Raw_Data!BL133:BW133)=0,"",SUM(Raw_Data!BL133:BW133)),"")</f>
        <v>46</v>
      </c>
      <c r="J133" s="30">
        <f>IFERROR(IF(COUNT(Raw_Data!BX133:CI133)=0,"",SUM(Raw_Data!BX133:CI133)),"")</f>
        <v>1</v>
      </c>
      <c r="K133" s="28">
        <f t="shared" si="14"/>
        <v>1.5819209039548023</v>
      </c>
      <c r="L133" s="28">
        <f t="shared" si="15"/>
        <v>-0.58192090395480223</v>
      </c>
      <c r="M133" s="28">
        <f t="shared" si="16"/>
        <v>0.60526315789473684</v>
      </c>
      <c r="N133" s="28">
        <f t="shared" si="17"/>
        <v>1.3157894736842105E-2</v>
      </c>
      <c r="O133" s="7" t="str">
        <f t="shared" si="18"/>
        <v>Invalid</v>
      </c>
      <c r="P133" s="13" t="str">
        <f t="shared" si="19"/>
        <v>Valid</v>
      </c>
      <c r="Q133" s="7" t="str">
        <f t="shared" si="20"/>
        <v>Invalid</v>
      </c>
    </row>
    <row r="134" spans="1:17" ht="60">
      <c r="A134" s="7" t="str">
        <f>IF(Raw_Data!A134="","",TRIM(SUBSTITUTE(CLEAN(Raw_Data!A134),CHAR(160)," ")))</f>
        <v>Kuje Local Government Area</v>
      </c>
      <c r="B134" s="7" t="str">
        <f>IF(Raw_Data!B134="","",TRIM(SUBSTITUTE(CLEAN(Raw_Data!B134),CHAR(160)," ")))</f>
        <v>Gwargwada Ward</v>
      </c>
      <c r="C134" s="7" t="str">
        <f>IF(Raw_Data!C134="","",TRIM(SUBSTITUTE(CLEAN(Raw_Data!C134),CHAR(160)," ")))</f>
        <v>Gombe Primary Health Centre</v>
      </c>
      <c r="D134" s="28">
        <f>IFERROR(IF(COUNT(Raw_Data!D134:O134)=0,"",AVERAGE(Raw_Data!D134:O134)/100),"")</f>
        <v>1</v>
      </c>
      <c r="E134" s="28">
        <f>IFERROR(IF(COUNT(Raw_Data!P134:AA134)=0,"",AVERAGE(Raw_Data!P134:AA134)/100),"")</f>
        <v>1</v>
      </c>
      <c r="F134" s="30">
        <f>IFERROR(IF(COUNT(Raw_Data!AB134:AM134)=0,"",SUM(Raw_Data!AB134:AM134)),"")</f>
        <v>85</v>
      </c>
      <c r="G134" s="30">
        <f>IFERROR(IF(COUNT(Raw_Data!AN134:AY134)=0,"",SUM(Raw_Data!AN134:AY134)),"")</f>
        <v>88</v>
      </c>
      <c r="H134" s="30">
        <f>IFERROR(IF(COUNT(Raw_Data!AZ134:BK134)=0,"",SUM(Raw_Data!AZ134:BK134)),"")</f>
        <v>66</v>
      </c>
      <c r="I134" s="30">
        <f>IFERROR(IF(COUNT(Raw_Data!BL134:BW134)=0,"",SUM(Raw_Data!BL134:BW134)),"")</f>
        <v>24</v>
      </c>
      <c r="J134" s="30">
        <f>IFERROR(IF(COUNT(Raw_Data!BX134:CI134)=0,"",SUM(Raw_Data!BX134:CI134)),"")</f>
        <v>12</v>
      </c>
      <c r="K134" s="28">
        <f t="shared" si="14"/>
        <v>1.0352941176470589</v>
      </c>
      <c r="L134" s="28">
        <f t="shared" si="15"/>
        <v>-3.5294117647058823E-2</v>
      </c>
      <c r="M134" s="28">
        <f t="shared" si="16"/>
        <v>0.36363636363636365</v>
      </c>
      <c r="N134" s="28">
        <f t="shared" si="17"/>
        <v>0.18181818181818182</v>
      </c>
      <c r="O134" s="7" t="str">
        <f t="shared" si="18"/>
        <v>Invalid</v>
      </c>
      <c r="P134" s="13" t="str">
        <f t="shared" si="19"/>
        <v>Valid</v>
      </c>
      <c r="Q134" s="7" t="str">
        <f t="shared" si="20"/>
        <v>Invalid</v>
      </c>
    </row>
    <row r="135" spans="1:17" ht="75">
      <c r="A135" s="7" t="str">
        <f>IF(Raw_Data!A135="","",TRIM(SUBSTITUTE(CLEAN(Raw_Data!A135),CHAR(160)," ")))</f>
        <v>Gwagwalada Local Government Area</v>
      </c>
      <c r="B135" s="7" t="str">
        <f>IF(Raw_Data!B135="","",TRIM(SUBSTITUTE(CLEAN(Raw_Data!B135),CHAR(160)," ")))</f>
        <v>Central Ward</v>
      </c>
      <c r="C135" s="7" t="str">
        <f>IF(Raw_Data!C135="","",TRIM(SUBSTITUTE(CLEAN(Raw_Data!C135),CHAR(160)," ")))</f>
        <v>Gonita Hospital &amp; Maternity</v>
      </c>
      <c r="D135" s="28" t="str">
        <f>IFERROR(IF(COUNT(Raw_Data!D135:O135)=0,"",AVERAGE(Raw_Data!D135:O135)/100),"")</f>
        <v/>
      </c>
      <c r="E135" s="28" t="str">
        <f>IFERROR(IF(COUNT(Raw_Data!P135:AA135)=0,"",AVERAGE(Raw_Data!P135:AA135)/100),"")</f>
        <v/>
      </c>
      <c r="F135" s="30" t="str">
        <f>IFERROR(IF(COUNT(Raw_Data!AB135:AM135)=0,"",SUM(Raw_Data!AB135:AM135)),"")</f>
        <v/>
      </c>
      <c r="G135" s="30" t="str">
        <f>IFERROR(IF(COUNT(Raw_Data!AN135:AY135)=0,"",SUM(Raw_Data!AN135:AY135)),"")</f>
        <v/>
      </c>
      <c r="H135" s="30">
        <f>IFERROR(IF(COUNT(Raw_Data!AZ135:BK135)=0,"",SUM(Raw_Data!AZ135:BK135)),"")</f>
        <v>7</v>
      </c>
      <c r="I135" s="30">
        <f>IFERROR(IF(COUNT(Raw_Data!BL135:BW135)=0,"",SUM(Raw_Data!BL135:BW135)),"")</f>
        <v>2</v>
      </c>
      <c r="J135" s="30" t="str">
        <f>IFERROR(IF(COUNT(Raw_Data!BX135:CI135)=0,"",SUM(Raw_Data!BX135:CI135)),"")</f>
        <v/>
      </c>
      <c r="K135" s="28" t="str">
        <f t="shared" si="14"/>
        <v/>
      </c>
      <c r="L135" s="28" t="str">
        <f t="shared" si="15"/>
        <v/>
      </c>
      <c r="M135" s="28">
        <f t="shared" si="16"/>
        <v>0.2857142857142857</v>
      </c>
      <c r="N135" s="28" t="str">
        <f t="shared" si="17"/>
        <v/>
      </c>
      <c r="O135" s="7" t="str">
        <f t="shared" si="18"/>
        <v>No Data</v>
      </c>
      <c r="P135" s="13" t="str">
        <f t="shared" si="19"/>
        <v>Incomplete</v>
      </c>
      <c r="Q135" s="7" t="str">
        <f t="shared" si="20"/>
        <v>No Data</v>
      </c>
    </row>
    <row r="136" spans="1:17" ht="75">
      <c r="A136" s="7" t="str">
        <f>IF(Raw_Data!A136="","",TRIM(SUBSTITUTE(CLEAN(Raw_Data!A136),CHAR(160)," ")))</f>
        <v>Abuja Municipal Area Council</v>
      </c>
      <c r="B136" s="7" t="str">
        <f>IF(Raw_Data!B136="","",TRIM(SUBSTITUTE(CLEAN(Raw_Data!B136),CHAR(160)," ")))</f>
        <v>Gui Ward</v>
      </c>
      <c r="C136" s="7" t="str">
        <f>IF(Raw_Data!C136="","",TRIM(SUBSTITUTE(CLEAN(Raw_Data!C136),CHAR(160)," ")))</f>
        <v>Gosa Primary Health Care Centre</v>
      </c>
      <c r="D136" s="28">
        <f>IFERROR(IF(COUNT(Raw_Data!D136:O136)=0,"",AVERAGE(Raw_Data!D136:O136)/100),"")</f>
        <v>1</v>
      </c>
      <c r="E136" s="28" t="str">
        <f>IFERROR(IF(COUNT(Raw_Data!P136:AA136)=0,"",AVERAGE(Raw_Data!P136:AA136)/100),"")</f>
        <v/>
      </c>
      <c r="F136" s="30">
        <f>IFERROR(IF(COUNT(Raw_Data!AB136:AM136)=0,"",SUM(Raw_Data!AB136:AM136)),"")</f>
        <v>749</v>
      </c>
      <c r="G136" s="30">
        <f>IFERROR(IF(COUNT(Raw_Data!AN136:AY136)=0,"",SUM(Raw_Data!AN136:AY136)),"")</f>
        <v>735</v>
      </c>
      <c r="H136" s="30">
        <f>IFERROR(IF(COUNT(Raw_Data!AZ136:BK136)=0,"",SUM(Raw_Data!AZ136:BK136)),"")</f>
        <v>365</v>
      </c>
      <c r="I136" s="30">
        <f>IFERROR(IF(COUNT(Raw_Data!BL136:BW136)=0,"",SUM(Raw_Data!BL136:BW136)),"")</f>
        <v>157</v>
      </c>
      <c r="J136" s="30">
        <f>IFERROR(IF(COUNT(Raw_Data!BX136:CI136)=0,"",SUM(Raw_Data!BX136:CI136)),"")</f>
        <v>18</v>
      </c>
      <c r="K136" s="28">
        <f t="shared" si="14"/>
        <v>0.98130841121495327</v>
      </c>
      <c r="L136" s="28">
        <f t="shared" si="15"/>
        <v>1.8691588785046728E-2</v>
      </c>
      <c r="M136" s="28">
        <f t="shared" si="16"/>
        <v>0.43013698630136987</v>
      </c>
      <c r="N136" s="28">
        <f t="shared" si="17"/>
        <v>4.9315068493150684E-2</v>
      </c>
      <c r="O136" s="7" t="str">
        <f t="shared" si="18"/>
        <v>Valid</v>
      </c>
      <c r="P136" s="13" t="str">
        <f t="shared" si="19"/>
        <v>Valid</v>
      </c>
      <c r="Q136" s="7" t="str">
        <f t="shared" si="20"/>
        <v>Valid</v>
      </c>
    </row>
    <row r="137" spans="1:17" ht="60">
      <c r="A137" s="7" t="str">
        <f>IF(Raw_Data!A137="","",TRIM(SUBSTITUTE(CLEAN(Raw_Data!A137),CHAR(160)," ")))</f>
        <v>Kuje Local Government Area</v>
      </c>
      <c r="B137" s="7" t="str">
        <f>IF(Raw_Data!B137="","",TRIM(SUBSTITUTE(CLEAN(Raw_Data!B137),CHAR(160)," ")))</f>
        <v>Gudunkarya Ward</v>
      </c>
      <c r="C137" s="7" t="str">
        <f>IF(Raw_Data!C137="","",TRIM(SUBSTITUTE(CLEAN(Raw_Data!C137),CHAR(160)," ")))</f>
        <v>Gova Primary Health Centre</v>
      </c>
      <c r="D137" s="28">
        <f>IFERROR(IF(COUNT(Raw_Data!D137:O137)=0,"",AVERAGE(Raw_Data!D137:O137)/100),"")</f>
        <v>0.95</v>
      </c>
      <c r="E137" s="28">
        <f>IFERROR(IF(COUNT(Raw_Data!P137:AA137)=0,"",AVERAGE(Raw_Data!P137:AA137)/100),"")</f>
        <v>0.95</v>
      </c>
      <c r="F137" s="30">
        <f>IFERROR(IF(COUNT(Raw_Data!AB137:AM137)=0,"",SUM(Raw_Data!AB137:AM137)),"")</f>
        <v>58</v>
      </c>
      <c r="G137" s="30">
        <f>IFERROR(IF(COUNT(Raw_Data!AN137:AY137)=0,"",SUM(Raw_Data!AN137:AY137)),"")</f>
        <v>101</v>
      </c>
      <c r="H137" s="30">
        <f>IFERROR(IF(COUNT(Raw_Data!AZ137:BK137)=0,"",SUM(Raw_Data!AZ137:BK137)),"")</f>
        <v>22</v>
      </c>
      <c r="I137" s="30">
        <f>IFERROR(IF(COUNT(Raw_Data!BL137:BW137)=0,"",SUM(Raw_Data!BL137:BW137)),"")</f>
        <v>17</v>
      </c>
      <c r="J137" s="30">
        <f>IFERROR(IF(COUNT(Raw_Data!BX137:CI137)=0,"",SUM(Raw_Data!BX137:CI137)),"")</f>
        <v>5</v>
      </c>
      <c r="K137" s="28">
        <f t="shared" si="14"/>
        <v>1.7413793103448276</v>
      </c>
      <c r="L137" s="28">
        <f t="shared" si="15"/>
        <v>-0.74137931034482762</v>
      </c>
      <c r="M137" s="28">
        <f t="shared" si="16"/>
        <v>0.77272727272727271</v>
      </c>
      <c r="N137" s="28">
        <f t="shared" si="17"/>
        <v>0.22727272727272727</v>
      </c>
      <c r="O137" s="7" t="str">
        <f t="shared" si="18"/>
        <v>Invalid</v>
      </c>
      <c r="P137" s="13" t="str">
        <f t="shared" si="19"/>
        <v>Valid</v>
      </c>
      <c r="Q137" s="7" t="str">
        <f t="shared" si="20"/>
        <v>Invalid</v>
      </c>
    </row>
    <row r="138" spans="1:17" ht="75">
      <c r="A138" s="7" t="str">
        <f>IF(Raw_Data!A138="","",TRIM(SUBSTITUTE(CLEAN(Raw_Data!A138),CHAR(160)," ")))</f>
        <v>Kuje Local Government Area</v>
      </c>
      <c r="B138" s="7" t="str">
        <f>IF(Raw_Data!B138="","",TRIM(SUBSTITUTE(CLEAN(Raw_Data!B138),CHAR(160)," ")))</f>
        <v>Gudunkarya Ward</v>
      </c>
      <c r="C138" s="7" t="str">
        <f>IF(Raw_Data!C138="","",TRIM(SUBSTITUTE(CLEAN(Raw_Data!C138),CHAR(160)," ")))</f>
        <v>Gudunkarya Primary Health Centre</v>
      </c>
      <c r="D138" s="28">
        <f>IFERROR(IF(COUNT(Raw_Data!D138:O138)=0,"",AVERAGE(Raw_Data!D138:O138)/100),"")</f>
        <v>0.81060909090909095</v>
      </c>
      <c r="E138" s="28">
        <f>IFERROR(IF(COUNT(Raw_Data!P138:AA138)=0,"",AVERAGE(Raw_Data!P138:AA138)/100),"")</f>
        <v>0.6969727272727273</v>
      </c>
      <c r="F138" s="30">
        <f>IFERROR(IF(COUNT(Raw_Data!AB138:AM138)=0,"",SUM(Raw_Data!AB138:AM138)),"")</f>
        <v>438</v>
      </c>
      <c r="G138" s="30">
        <f>IFERROR(IF(COUNT(Raw_Data!AN138:AY138)=0,"",SUM(Raw_Data!AN138:AY138)),"")</f>
        <v>504</v>
      </c>
      <c r="H138" s="30">
        <f>IFERROR(IF(COUNT(Raw_Data!AZ138:BK138)=0,"",SUM(Raw_Data!AZ138:BK138)),"")</f>
        <v>73</v>
      </c>
      <c r="I138" s="30">
        <f>IFERROR(IF(COUNT(Raw_Data!BL138:BW138)=0,"",SUM(Raw_Data!BL138:BW138)),"")</f>
        <v>67</v>
      </c>
      <c r="J138" s="30">
        <f>IFERROR(IF(COUNT(Raw_Data!BX138:CI138)=0,"",SUM(Raw_Data!BX138:CI138)),"")</f>
        <v>13</v>
      </c>
      <c r="K138" s="28">
        <f t="shared" si="14"/>
        <v>1.1506849315068493</v>
      </c>
      <c r="L138" s="28">
        <f t="shared" si="15"/>
        <v>-0.15068493150684931</v>
      </c>
      <c r="M138" s="28">
        <f t="shared" si="16"/>
        <v>0.9178082191780822</v>
      </c>
      <c r="N138" s="28">
        <f t="shared" si="17"/>
        <v>0.17808219178082191</v>
      </c>
      <c r="O138" s="7" t="str">
        <f t="shared" si="18"/>
        <v>Invalid</v>
      </c>
      <c r="P138" s="13" t="str">
        <f t="shared" si="19"/>
        <v>Valid</v>
      </c>
      <c r="Q138" s="7" t="str">
        <f t="shared" si="20"/>
        <v>Invalid</v>
      </c>
    </row>
    <row r="139" spans="1:17" ht="60">
      <c r="A139" s="7" t="str">
        <f>IF(Raw_Data!A139="","",TRIM(SUBSTITUTE(CLEAN(Raw_Data!A139),CHAR(160)," ")))</f>
        <v>Bwari Local Government Area</v>
      </c>
      <c r="B139" s="7" t="str">
        <f>IF(Raw_Data!B139="","",TRIM(SUBSTITUTE(CLEAN(Raw_Data!B139),CHAR(160)," ")))</f>
        <v>Shere Ward</v>
      </c>
      <c r="C139" s="7" t="str">
        <f>IF(Raw_Data!C139="","",TRIM(SUBSTITUTE(CLEAN(Raw_Data!C139),CHAR(160)," ")))</f>
        <v>Gudupe Primary Health Clinic</v>
      </c>
      <c r="D139" s="28">
        <f>IFERROR(IF(COUNT(Raw_Data!D139:O139)=0,"",AVERAGE(Raw_Data!D139:O139)/100),"")</f>
        <v>1</v>
      </c>
      <c r="E139" s="28">
        <f>IFERROR(IF(COUNT(Raw_Data!P139:AA139)=0,"",AVERAGE(Raw_Data!P139:AA139)/100),"")</f>
        <v>1</v>
      </c>
      <c r="F139" s="30">
        <f>IFERROR(IF(COUNT(Raw_Data!AB139:AM139)=0,"",SUM(Raw_Data!AB139:AM139)),"")</f>
        <v>45</v>
      </c>
      <c r="G139" s="30">
        <f>IFERROR(IF(COUNT(Raw_Data!AN139:AY139)=0,"",SUM(Raw_Data!AN139:AY139)),"")</f>
        <v>79</v>
      </c>
      <c r="H139" s="30">
        <f>IFERROR(IF(COUNT(Raw_Data!AZ139:BK139)=0,"",SUM(Raw_Data!AZ139:BK139)),"")</f>
        <v>76</v>
      </c>
      <c r="I139" s="30">
        <f>IFERROR(IF(COUNT(Raw_Data!BL139:BW139)=0,"",SUM(Raw_Data!BL139:BW139)),"")</f>
        <v>54</v>
      </c>
      <c r="J139" s="30">
        <f>IFERROR(IF(COUNT(Raw_Data!BX139:CI139)=0,"",SUM(Raw_Data!BX139:CI139)),"")</f>
        <v>28</v>
      </c>
      <c r="K139" s="28">
        <f t="shared" si="14"/>
        <v>1.7555555555555555</v>
      </c>
      <c r="L139" s="28">
        <f t="shared" si="15"/>
        <v>-0.75555555555555554</v>
      </c>
      <c r="M139" s="28">
        <f t="shared" si="16"/>
        <v>0.71052631578947367</v>
      </c>
      <c r="N139" s="28">
        <f t="shared" si="17"/>
        <v>0.36842105263157893</v>
      </c>
      <c r="O139" s="7" t="str">
        <f t="shared" si="18"/>
        <v>Invalid</v>
      </c>
      <c r="P139" s="13" t="str">
        <f t="shared" si="19"/>
        <v>Valid</v>
      </c>
      <c r="Q139" s="7" t="str">
        <f t="shared" si="20"/>
        <v>Invalid</v>
      </c>
    </row>
    <row r="140" spans="1:17" ht="60">
      <c r="A140" s="7" t="str">
        <f>IF(Raw_Data!A140="","",TRIM(SUBSTITUTE(CLEAN(Raw_Data!A140),CHAR(160)," ")))</f>
        <v>Abuja Municipal Area Council</v>
      </c>
      <c r="B140" s="7" t="str">
        <f>IF(Raw_Data!B140="","",TRIM(SUBSTITUTE(CLEAN(Raw_Data!B140),CHAR(160)," ")))</f>
        <v>Orozo Ward</v>
      </c>
      <c r="C140" s="7" t="str">
        <f>IF(Raw_Data!C140="","",TRIM(SUBSTITUTE(CLEAN(Raw_Data!C140),CHAR(160)," ")))</f>
        <v>Gugugu Primary Health Clinic</v>
      </c>
      <c r="D140" s="28">
        <f>IFERROR(IF(COUNT(Raw_Data!D140:O140)=0,"",AVERAGE(Raw_Data!D140:O140)/100),"")</f>
        <v>0.375</v>
      </c>
      <c r="E140" s="28">
        <f>IFERROR(IF(COUNT(Raw_Data!P140:AA140)=0,"",AVERAGE(Raw_Data!P140:AA140)/100),"")</f>
        <v>0.25</v>
      </c>
      <c r="F140" s="30">
        <f>IFERROR(IF(COUNT(Raw_Data!AB140:AM140)=0,"",SUM(Raw_Data!AB140:AM140)),"")</f>
        <v>12</v>
      </c>
      <c r="G140" s="30">
        <f>IFERROR(IF(COUNT(Raw_Data!AN140:AY140)=0,"",SUM(Raw_Data!AN140:AY140)),"")</f>
        <v>18</v>
      </c>
      <c r="H140" s="30">
        <f>IFERROR(IF(COUNT(Raw_Data!AZ140:BK140)=0,"",SUM(Raw_Data!AZ140:BK140)),"")</f>
        <v>21</v>
      </c>
      <c r="I140" s="30">
        <f>IFERROR(IF(COUNT(Raw_Data!BL140:BW140)=0,"",SUM(Raw_Data!BL140:BW140)),"")</f>
        <v>10</v>
      </c>
      <c r="J140" s="30">
        <f>IFERROR(IF(COUNT(Raw_Data!BX140:CI140)=0,"",SUM(Raw_Data!BX140:CI140)),"")</f>
        <v>5</v>
      </c>
      <c r="K140" s="28">
        <f t="shared" si="14"/>
        <v>1.5</v>
      </c>
      <c r="L140" s="28">
        <f t="shared" si="15"/>
        <v>-0.5</v>
      </c>
      <c r="M140" s="28">
        <f t="shared" si="16"/>
        <v>0.47619047619047616</v>
      </c>
      <c r="N140" s="28">
        <f t="shared" si="17"/>
        <v>0.23809523809523808</v>
      </c>
      <c r="O140" s="7" t="str">
        <f t="shared" si="18"/>
        <v>Invalid</v>
      </c>
      <c r="P140" s="13" t="str">
        <f t="shared" si="19"/>
        <v>Valid</v>
      </c>
      <c r="Q140" s="7" t="str">
        <f t="shared" si="20"/>
        <v>Invalid</v>
      </c>
    </row>
    <row r="141" spans="1:17" ht="75">
      <c r="A141" s="7" t="str">
        <f>IF(Raw_Data!A141="","",TRIM(SUBSTITUTE(CLEAN(Raw_Data!A141),CHAR(160)," ")))</f>
        <v>Abuja Municipal Area Council</v>
      </c>
      <c r="B141" s="7" t="str">
        <f>IF(Raw_Data!B141="","",TRIM(SUBSTITUTE(CLEAN(Raw_Data!B141),CHAR(160)," ")))</f>
        <v>Gui Ward</v>
      </c>
      <c r="C141" s="7" t="str">
        <f>IF(Raw_Data!C141="","",TRIM(SUBSTITUTE(CLEAN(Raw_Data!C141),CHAR(160)," ")))</f>
        <v>Gui Primary Health Care Centre</v>
      </c>
      <c r="D141" s="28">
        <f>IFERROR(IF(COUNT(Raw_Data!D141:O141)=0,"",AVERAGE(Raw_Data!D141:O141)/100),"")</f>
        <v>0.95454545454545459</v>
      </c>
      <c r="E141" s="28">
        <f>IFERROR(IF(COUNT(Raw_Data!P141:AA141)=0,"",AVERAGE(Raw_Data!P141:AA141)/100),"")</f>
        <v>1</v>
      </c>
      <c r="F141" s="30">
        <f>IFERROR(IF(COUNT(Raw_Data!AB141:AM141)=0,"",SUM(Raw_Data!AB141:AM141)),"")</f>
        <v>1232</v>
      </c>
      <c r="G141" s="30">
        <f>IFERROR(IF(COUNT(Raw_Data!AN141:AY141)=0,"",SUM(Raw_Data!AN141:AY141)),"")</f>
        <v>1102</v>
      </c>
      <c r="H141" s="30">
        <f>IFERROR(IF(COUNT(Raw_Data!AZ141:BK141)=0,"",SUM(Raw_Data!AZ141:BK141)),"")</f>
        <v>86</v>
      </c>
      <c r="I141" s="30">
        <f>IFERROR(IF(COUNT(Raw_Data!BL141:BW141)=0,"",SUM(Raw_Data!BL141:BW141)),"")</f>
        <v>40</v>
      </c>
      <c r="J141" s="30">
        <f>IFERROR(IF(COUNT(Raw_Data!BX141:CI141)=0,"",SUM(Raw_Data!BX141:CI141)),"")</f>
        <v>24</v>
      </c>
      <c r="K141" s="28">
        <f t="shared" si="14"/>
        <v>0.89448051948051943</v>
      </c>
      <c r="L141" s="28">
        <f t="shared" si="15"/>
        <v>0.10551948051948051</v>
      </c>
      <c r="M141" s="28">
        <f t="shared" si="16"/>
        <v>0.46511627906976744</v>
      </c>
      <c r="N141" s="28">
        <f t="shared" si="17"/>
        <v>0.27906976744186046</v>
      </c>
      <c r="O141" s="7" t="str">
        <f t="shared" si="18"/>
        <v>Valid</v>
      </c>
      <c r="P141" s="13" t="str">
        <f t="shared" si="19"/>
        <v>Valid</v>
      </c>
      <c r="Q141" s="7" t="str">
        <f t="shared" si="20"/>
        <v>Valid</v>
      </c>
    </row>
    <row r="142" spans="1:17" ht="60">
      <c r="A142" s="7" t="str">
        <f>IF(Raw_Data!A142="","",TRIM(SUBSTITUTE(CLEAN(Raw_Data!A142),CHAR(160)," ")))</f>
        <v>Abaji Local Government Area</v>
      </c>
      <c r="B142" s="7" t="str">
        <f>IF(Raw_Data!B142="","",TRIM(SUBSTITUTE(CLEAN(Raw_Data!B142),CHAR(160)," ")))</f>
        <v>Gurdi Ward</v>
      </c>
      <c r="C142" s="7" t="str">
        <f>IF(Raw_Data!C142="","",TRIM(SUBSTITUTE(CLEAN(Raw_Data!C142),CHAR(160)," ")))</f>
        <v>Gulida Primary Health Clinic</v>
      </c>
      <c r="D142" s="28">
        <f>IFERROR(IF(COUNT(Raw_Data!D142:O142)=0,"",AVERAGE(Raw_Data!D142:O142)/100),"")</f>
        <v>0.96970000000000012</v>
      </c>
      <c r="E142" s="28">
        <f>IFERROR(IF(COUNT(Raw_Data!P142:AA142)=0,"",AVERAGE(Raw_Data!P142:AA142)/100),"")</f>
        <v>1.1212090909090908</v>
      </c>
      <c r="F142" s="30">
        <f>IFERROR(IF(COUNT(Raw_Data!AB142:AM142)=0,"",SUM(Raw_Data!AB142:AM142)),"")</f>
        <v>169</v>
      </c>
      <c r="G142" s="30">
        <f>IFERROR(IF(COUNT(Raw_Data!AN142:AY142)=0,"",SUM(Raw_Data!AN142:AY142)),"")</f>
        <v>235</v>
      </c>
      <c r="H142" s="30">
        <f>IFERROR(IF(COUNT(Raw_Data!AZ142:BK142)=0,"",SUM(Raw_Data!AZ142:BK142)),"")</f>
        <v>180</v>
      </c>
      <c r="I142" s="30">
        <f>IFERROR(IF(COUNT(Raw_Data!BL142:BW142)=0,"",SUM(Raw_Data!BL142:BW142)),"")</f>
        <v>44</v>
      </c>
      <c r="J142" s="30">
        <f>IFERROR(IF(COUNT(Raw_Data!BX142:CI142)=0,"",SUM(Raw_Data!BX142:CI142)),"")</f>
        <v>25</v>
      </c>
      <c r="K142" s="28">
        <f t="shared" si="14"/>
        <v>1.3905325443786982</v>
      </c>
      <c r="L142" s="28">
        <f t="shared" si="15"/>
        <v>-0.39053254437869822</v>
      </c>
      <c r="M142" s="28">
        <f t="shared" si="16"/>
        <v>0.24444444444444444</v>
      </c>
      <c r="N142" s="28">
        <f t="shared" si="17"/>
        <v>0.1388888888888889</v>
      </c>
      <c r="O142" s="7" t="str">
        <f t="shared" si="18"/>
        <v>Invalid</v>
      </c>
      <c r="P142" s="13" t="str">
        <f t="shared" si="19"/>
        <v>Valid</v>
      </c>
      <c r="Q142" s="7" t="str">
        <f t="shared" si="20"/>
        <v>Invalid</v>
      </c>
    </row>
    <row r="143" spans="1:17" ht="60">
      <c r="A143" s="7" t="str">
        <f>IF(Raw_Data!A143="","",TRIM(SUBSTITUTE(CLEAN(Raw_Data!A143),CHAR(160)," ")))</f>
        <v>Kwali Local Government Area</v>
      </c>
      <c r="B143" s="7" t="str">
        <f>IF(Raw_Data!B143="","",TRIM(SUBSTITUTE(CLEAN(Raw_Data!B143),CHAR(160)," ")))</f>
        <v>Gumbo Ward</v>
      </c>
      <c r="C143" s="7" t="str">
        <f>IF(Raw_Data!C143="","",TRIM(SUBSTITUTE(CLEAN(Raw_Data!C143),CHAR(160)," ")))</f>
        <v>Gumbo Primary Health Clinic</v>
      </c>
      <c r="D143" s="28">
        <f>IFERROR(IF(COUNT(Raw_Data!D143:O143)=0,"",AVERAGE(Raw_Data!D143:O143)/100),"")</f>
        <v>0.84090909090909094</v>
      </c>
      <c r="E143" s="28">
        <f>IFERROR(IF(COUNT(Raw_Data!P143:AA143)=0,"",AVERAGE(Raw_Data!P143:AA143)/100),"")</f>
        <v>1.1136454545454548</v>
      </c>
      <c r="F143" s="30">
        <f>IFERROR(IF(COUNT(Raw_Data!AB143:AM143)=0,"",SUM(Raw_Data!AB143:AM143)),"")</f>
        <v>162</v>
      </c>
      <c r="G143" s="30">
        <f>IFERROR(IF(COUNT(Raw_Data!AN143:AY143)=0,"",SUM(Raw_Data!AN143:AY143)),"")</f>
        <v>145</v>
      </c>
      <c r="H143" s="30">
        <f>IFERROR(IF(COUNT(Raw_Data!AZ143:BK143)=0,"",SUM(Raw_Data!AZ143:BK143)),"")</f>
        <v>74</v>
      </c>
      <c r="I143" s="30">
        <f>IFERROR(IF(COUNT(Raw_Data!BL143:BW143)=0,"",SUM(Raw_Data!BL143:BW143)),"")</f>
        <v>10</v>
      </c>
      <c r="J143" s="30" t="str">
        <f>IFERROR(IF(COUNT(Raw_Data!BX143:CI143)=0,"",SUM(Raw_Data!BX143:CI143)),"")</f>
        <v/>
      </c>
      <c r="K143" s="28">
        <f t="shared" si="14"/>
        <v>0.89506172839506171</v>
      </c>
      <c r="L143" s="28">
        <f t="shared" si="15"/>
        <v>0.10493827160493827</v>
      </c>
      <c r="M143" s="28">
        <f t="shared" si="16"/>
        <v>0.13513513513513514</v>
      </c>
      <c r="N143" s="28" t="str">
        <f t="shared" si="17"/>
        <v/>
      </c>
      <c r="O143" s="7" t="str">
        <f t="shared" si="18"/>
        <v>Valid</v>
      </c>
      <c r="P143" s="13" t="str">
        <f t="shared" si="19"/>
        <v>Incomplete</v>
      </c>
      <c r="Q143" s="7" t="str">
        <f t="shared" si="20"/>
        <v>Incomplete</v>
      </c>
    </row>
    <row r="144" spans="1:17" ht="60">
      <c r="A144" s="7" t="str">
        <f>IF(Raw_Data!A144="","",TRIM(SUBSTITUTE(CLEAN(Raw_Data!A144),CHAR(160)," ")))</f>
        <v>Abaji Local Government Area</v>
      </c>
      <c r="B144" s="7" t="str">
        <f>IF(Raw_Data!B144="","",TRIM(SUBSTITUTE(CLEAN(Raw_Data!B144),CHAR(160)," ")))</f>
        <v>Gurdi Ward</v>
      </c>
      <c r="C144" s="7" t="str">
        <f>IF(Raw_Data!C144="","",TRIM(SUBSTITUTE(CLEAN(Raw_Data!C144),CHAR(160)," ")))</f>
        <v>Gurdi Primary Health Clinic</v>
      </c>
      <c r="D144" s="28">
        <f>IFERROR(IF(COUNT(Raw_Data!D144:O144)=0,"",AVERAGE(Raw_Data!D144:O144)/100),"")</f>
        <v>1</v>
      </c>
      <c r="E144" s="28">
        <f>IFERROR(IF(COUNT(Raw_Data!P144:AA144)=0,"",AVERAGE(Raw_Data!P144:AA144)/100),"")</f>
        <v>1.06667</v>
      </c>
      <c r="F144" s="30">
        <f>IFERROR(IF(COUNT(Raw_Data!AB144:AM144)=0,"",SUM(Raw_Data!AB144:AM144)),"")</f>
        <v>457</v>
      </c>
      <c r="G144" s="30">
        <f>IFERROR(IF(COUNT(Raw_Data!AN144:AY144)=0,"",SUM(Raw_Data!AN144:AY144)),"")</f>
        <v>439</v>
      </c>
      <c r="H144" s="30">
        <f>IFERROR(IF(COUNT(Raw_Data!AZ144:BK144)=0,"",SUM(Raw_Data!AZ144:BK144)),"")</f>
        <v>193</v>
      </c>
      <c r="I144" s="30" t="str">
        <f>IFERROR(IF(COUNT(Raw_Data!BL144:BW144)=0,"",SUM(Raw_Data!BL144:BW144)),"")</f>
        <v/>
      </c>
      <c r="J144" s="30">
        <f>IFERROR(IF(COUNT(Raw_Data!BX144:CI144)=0,"",SUM(Raw_Data!BX144:CI144)),"")</f>
        <v>68</v>
      </c>
      <c r="K144" s="28">
        <f t="shared" si="14"/>
        <v>0.96061269146608319</v>
      </c>
      <c r="L144" s="28">
        <f t="shared" si="15"/>
        <v>3.9387308533916851E-2</v>
      </c>
      <c r="M144" s="28" t="str">
        <f t="shared" si="16"/>
        <v/>
      </c>
      <c r="N144" s="28">
        <f t="shared" si="17"/>
        <v>0.35233160621761656</v>
      </c>
      <c r="O144" s="7" t="str">
        <f t="shared" si="18"/>
        <v>Valid</v>
      </c>
      <c r="P144" s="13" t="str">
        <f t="shared" si="19"/>
        <v>Incomplete</v>
      </c>
      <c r="Q144" s="7" t="str">
        <f t="shared" si="20"/>
        <v>Incomplete</v>
      </c>
    </row>
    <row r="145" spans="1:17" ht="60">
      <c r="A145" s="7" t="str">
        <f>IF(Raw_Data!A145="","",TRIM(SUBSTITUTE(CLEAN(Raw_Data!A145),CHAR(160)," ")))</f>
        <v>Gwagwalada Local Government Area</v>
      </c>
      <c r="B145" s="7" t="str">
        <f>IF(Raw_Data!B145="","",TRIM(SUBSTITUTE(CLEAN(Raw_Data!B145),CHAR(160)," ")))</f>
        <v>Ibwa Ward</v>
      </c>
      <c r="C145" s="7" t="str">
        <f>IF(Raw_Data!C145="","",TRIM(SUBSTITUTE(CLEAN(Raw_Data!C145),CHAR(160)," ")))</f>
        <v>Gurfata Primary Health Clinic</v>
      </c>
      <c r="D145" s="28">
        <f>IFERROR(IF(COUNT(Raw_Data!D145:O145)=0,"",AVERAGE(Raw_Data!D145:O145)/100),"")</f>
        <v>0.96970000000000012</v>
      </c>
      <c r="E145" s="28">
        <f>IFERROR(IF(COUNT(Raw_Data!P145:AA145)=0,"",AVERAGE(Raw_Data!P145:AA145)/100),"")</f>
        <v>1.8181818181818181</v>
      </c>
      <c r="F145" s="30">
        <f>IFERROR(IF(COUNT(Raw_Data!AB145:AM145)=0,"",SUM(Raw_Data!AB145:AM145)),"")</f>
        <v>486</v>
      </c>
      <c r="G145" s="30">
        <f>IFERROR(IF(COUNT(Raw_Data!AN145:AY145)=0,"",SUM(Raw_Data!AN145:AY145)),"")</f>
        <v>786</v>
      </c>
      <c r="H145" s="30">
        <f>IFERROR(IF(COUNT(Raw_Data!AZ145:BK145)=0,"",SUM(Raw_Data!AZ145:BK145)),"")</f>
        <v>129</v>
      </c>
      <c r="I145" s="30">
        <f>IFERROR(IF(COUNT(Raw_Data!BL145:BW145)=0,"",SUM(Raw_Data!BL145:BW145)),"")</f>
        <v>121</v>
      </c>
      <c r="J145" s="30">
        <f>IFERROR(IF(COUNT(Raw_Data!BX145:CI145)=0,"",SUM(Raw_Data!BX145:CI145)),"")</f>
        <v>54</v>
      </c>
      <c r="K145" s="28">
        <f t="shared" si="14"/>
        <v>1.617283950617284</v>
      </c>
      <c r="L145" s="28">
        <f t="shared" si="15"/>
        <v>-0.61728395061728392</v>
      </c>
      <c r="M145" s="28">
        <f t="shared" si="16"/>
        <v>0.93798449612403101</v>
      </c>
      <c r="N145" s="28">
        <f t="shared" si="17"/>
        <v>0.41860465116279072</v>
      </c>
      <c r="O145" s="7" t="str">
        <f t="shared" si="18"/>
        <v>Invalid</v>
      </c>
      <c r="P145" s="13" t="str">
        <f t="shared" si="19"/>
        <v>Valid</v>
      </c>
      <c r="Q145" s="7" t="str">
        <f t="shared" si="20"/>
        <v>Invalid</v>
      </c>
    </row>
    <row r="146" spans="1:17" ht="60">
      <c r="A146" s="7" t="str">
        <f>IF(Raw_Data!A146="","",TRIM(SUBSTITUTE(CLEAN(Raw_Data!A146),CHAR(160)," ")))</f>
        <v>Abuja Municipal Area Council</v>
      </c>
      <c r="B146" s="7" t="str">
        <f>IF(Raw_Data!B146="","",TRIM(SUBSTITUTE(CLEAN(Raw_Data!B146),CHAR(160)," ")))</f>
        <v>Gwagwa Ward</v>
      </c>
      <c r="C146" s="7" t="str">
        <f>IF(Raw_Data!C146="","",TRIM(SUBSTITUTE(CLEAN(Raw_Data!C146),CHAR(160)," ")))</f>
        <v>Gwagwa Primary Health Centre</v>
      </c>
      <c r="D146" s="28">
        <f>IFERROR(IF(COUNT(Raw_Data!D146:O146)=0,"",AVERAGE(Raw_Data!D146:O146)/100),"")</f>
        <v>0.9419909090909091</v>
      </c>
      <c r="E146" s="28">
        <f>IFERROR(IF(COUNT(Raw_Data!P146:AA146)=0,"",AVERAGE(Raw_Data!P146:AA146)/100),"")</f>
        <v>0.25</v>
      </c>
      <c r="F146" s="30">
        <f>IFERROR(IF(COUNT(Raw_Data!AB146:AM146)=0,"",SUM(Raw_Data!AB146:AM146)),"")</f>
        <v>1072</v>
      </c>
      <c r="G146" s="30">
        <f>IFERROR(IF(COUNT(Raw_Data!AN146:AY146)=0,"",SUM(Raw_Data!AN146:AY146)),"")</f>
        <v>883</v>
      </c>
      <c r="H146" s="30">
        <f>IFERROR(IF(COUNT(Raw_Data!AZ146:BK146)=0,"",SUM(Raw_Data!AZ146:BK146)),"")</f>
        <v>585</v>
      </c>
      <c r="I146" s="30">
        <f>IFERROR(IF(COUNT(Raw_Data!BL146:BW146)=0,"",SUM(Raw_Data!BL146:BW146)),"")</f>
        <v>191</v>
      </c>
      <c r="J146" s="30">
        <f>IFERROR(IF(COUNT(Raw_Data!BX146:CI146)=0,"",SUM(Raw_Data!BX146:CI146)),"")</f>
        <v>14</v>
      </c>
      <c r="K146" s="28">
        <f t="shared" si="14"/>
        <v>0.82369402985074625</v>
      </c>
      <c r="L146" s="28">
        <f t="shared" si="15"/>
        <v>0.17630597014925373</v>
      </c>
      <c r="M146" s="28">
        <f t="shared" si="16"/>
        <v>0.3264957264957265</v>
      </c>
      <c r="N146" s="28">
        <f t="shared" si="17"/>
        <v>2.3931623931623933E-2</v>
      </c>
      <c r="O146" s="7" t="str">
        <f t="shared" si="18"/>
        <v>Valid</v>
      </c>
      <c r="P146" s="13" t="str">
        <f t="shared" si="19"/>
        <v>Valid</v>
      </c>
      <c r="Q146" s="7" t="str">
        <f t="shared" si="20"/>
        <v>Valid</v>
      </c>
    </row>
    <row r="147" spans="1:17" ht="90">
      <c r="A147" s="7" t="str">
        <f>IF(Raw_Data!A147="","",TRIM(SUBSTITUTE(CLEAN(Raw_Data!A147),CHAR(160)," ")))</f>
        <v>Gwagwalada Local Government Area</v>
      </c>
      <c r="B147" s="7" t="str">
        <f>IF(Raw_Data!B147="","",TRIM(SUBSTITUTE(CLEAN(Raw_Data!B147),CHAR(160)," ")))</f>
        <v>Kutunku Ward</v>
      </c>
      <c r="C147" s="7" t="str">
        <f>IF(Raw_Data!C147="","",TRIM(SUBSTITUTE(CLEAN(Raw_Data!C147),CHAR(160)," ")))</f>
        <v>Gwagwalada Clinic and Maternity</v>
      </c>
      <c r="D147" s="28" t="str">
        <f>IFERROR(IF(COUNT(Raw_Data!D147:O147)=0,"",AVERAGE(Raw_Data!D147:O147)/100),"")</f>
        <v/>
      </c>
      <c r="E147" s="28" t="str">
        <f>IFERROR(IF(COUNT(Raw_Data!P147:AA147)=0,"",AVERAGE(Raw_Data!P147:AA147)/100),"")</f>
        <v/>
      </c>
      <c r="F147" s="30" t="str">
        <f>IFERROR(IF(COUNT(Raw_Data!AB147:AM147)=0,"",SUM(Raw_Data!AB147:AM147)),"")</f>
        <v/>
      </c>
      <c r="G147" s="30" t="str">
        <f>IFERROR(IF(COUNT(Raw_Data!AN147:AY147)=0,"",SUM(Raw_Data!AN147:AY147)),"")</f>
        <v/>
      </c>
      <c r="H147" s="30">
        <f>IFERROR(IF(COUNT(Raw_Data!AZ147:BK147)=0,"",SUM(Raw_Data!AZ147:BK147)),"")</f>
        <v>12</v>
      </c>
      <c r="I147" s="30">
        <f>IFERROR(IF(COUNT(Raw_Data!BL147:BW147)=0,"",SUM(Raw_Data!BL147:BW147)),"")</f>
        <v>4</v>
      </c>
      <c r="J147" s="30" t="str">
        <f>IFERROR(IF(COUNT(Raw_Data!BX147:CI147)=0,"",SUM(Raw_Data!BX147:CI147)),"")</f>
        <v/>
      </c>
      <c r="K147" s="28" t="str">
        <f t="shared" si="14"/>
        <v/>
      </c>
      <c r="L147" s="28" t="str">
        <f t="shared" si="15"/>
        <v/>
      </c>
      <c r="M147" s="28">
        <f t="shared" si="16"/>
        <v>0.33333333333333331</v>
      </c>
      <c r="N147" s="28" t="str">
        <f t="shared" si="17"/>
        <v/>
      </c>
      <c r="O147" s="7" t="str">
        <f t="shared" si="18"/>
        <v>No Data</v>
      </c>
      <c r="P147" s="13" t="str">
        <f t="shared" si="19"/>
        <v>Incomplete</v>
      </c>
      <c r="Q147" s="7" t="str">
        <f t="shared" si="20"/>
        <v>No Data</v>
      </c>
    </row>
    <row r="148" spans="1:17" ht="75">
      <c r="A148" s="7" t="str">
        <f>IF(Raw_Data!A148="","",TRIM(SUBSTITUTE(CLEAN(Raw_Data!A148),CHAR(160)," ")))</f>
        <v>Gwagwalada Local Government Area</v>
      </c>
      <c r="B148" s="7" t="str">
        <f>IF(Raw_Data!B148="","",TRIM(SUBSTITUTE(CLEAN(Raw_Data!B148),CHAR(160)," ")))</f>
        <v>Kutunku Ward</v>
      </c>
      <c r="C148" s="7" t="str">
        <f>IF(Raw_Data!C148="","",TRIM(SUBSTITUTE(CLEAN(Raw_Data!C148),CHAR(160)," ")))</f>
        <v>Gwagwalada Primary Health Center</v>
      </c>
      <c r="D148" s="28">
        <f>IFERROR(IF(COUNT(Raw_Data!D148:O148)=0,"",AVERAGE(Raw_Data!D148:O148)/100),"")</f>
        <v>0.85694000000000004</v>
      </c>
      <c r="E148" s="28" t="str">
        <f>IFERROR(IF(COUNT(Raw_Data!P148:AA148)=0,"",AVERAGE(Raw_Data!P148:AA148)/100),"")</f>
        <v/>
      </c>
      <c r="F148" s="30">
        <f>IFERROR(IF(COUNT(Raw_Data!AB148:AM148)=0,"",SUM(Raw_Data!AB148:AM148)),"")</f>
        <v>941</v>
      </c>
      <c r="G148" s="30">
        <f>IFERROR(IF(COUNT(Raw_Data!AN148:AY148)=0,"",SUM(Raw_Data!AN148:AY148)),"")</f>
        <v>2048</v>
      </c>
      <c r="H148" s="30">
        <f>IFERROR(IF(COUNT(Raw_Data!AZ148:BK148)=0,"",SUM(Raw_Data!AZ148:BK148)),"")</f>
        <v>1720</v>
      </c>
      <c r="I148" s="30">
        <f>IFERROR(IF(COUNT(Raw_Data!BL148:BW148)=0,"",SUM(Raw_Data!BL148:BW148)),"")</f>
        <v>553</v>
      </c>
      <c r="J148" s="30">
        <f>IFERROR(IF(COUNT(Raw_Data!BX148:CI148)=0,"",SUM(Raw_Data!BX148:CI148)),"")</f>
        <v>86</v>
      </c>
      <c r="K148" s="28">
        <f t="shared" si="14"/>
        <v>2.1764080765143463</v>
      </c>
      <c r="L148" s="28">
        <f t="shared" si="15"/>
        <v>-1.1764080765143465</v>
      </c>
      <c r="M148" s="28">
        <f t="shared" si="16"/>
        <v>0.32151162790697674</v>
      </c>
      <c r="N148" s="28">
        <f t="shared" si="17"/>
        <v>0.05</v>
      </c>
      <c r="O148" s="7" t="str">
        <f t="shared" si="18"/>
        <v>Invalid</v>
      </c>
      <c r="P148" s="13" t="str">
        <f t="shared" si="19"/>
        <v>Valid</v>
      </c>
      <c r="Q148" s="7" t="str">
        <f t="shared" si="20"/>
        <v>Invalid</v>
      </c>
    </row>
    <row r="149" spans="1:17" ht="60">
      <c r="A149" s="7" t="str">
        <f>IF(Raw_Data!A149="","",TRIM(SUBSTITUTE(CLEAN(Raw_Data!A149),CHAR(160)," ")))</f>
        <v>Gwagwalada Local Government Area</v>
      </c>
      <c r="B149" s="7" t="str">
        <f>IF(Raw_Data!B149="","",TRIM(SUBSTITUTE(CLEAN(Raw_Data!B149),CHAR(160)," ")))</f>
        <v>Gwako Ward</v>
      </c>
      <c r="C149" s="7" t="str">
        <f>IF(Raw_Data!C149="","",TRIM(SUBSTITUTE(CLEAN(Raw_Data!C149),CHAR(160)," ")))</f>
        <v>Gwako Primary Health Clinic</v>
      </c>
      <c r="D149" s="28">
        <f>IFERROR(IF(COUNT(Raw_Data!D149:O149)=0,"",AVERAGE(Raw_Data!D149:O149)/100),"")</f>
        <v>0.93181818181818188</v>
      </c>
      <c r="E149" s="28">
        <f>IFERROR(IF(COUNT(Raw_Data!P149:AA149)=0,"",AVERAGE(Raw_Data!P149:AA149)/100),"")</f>
        <v>0.95454545454545459</v>
      </c>
      <c r="F149" s="30">
        <f>IFERROR(IF(COUNT(Raw_Data!AB149:AM149)=0,"",SUM(Raw_Data!AB149:AM149)),"")</f>
        <v>399</v>
      </c>
      <c r="G149" s="30">
        <f>IFERROR(IF(COUNT(Raw_Data!AN149:AY149)=0,"",SUM(Raw_Data!AN149:AY149)),"")</f>
        <v>360</v>
      </c>
      <c r="H149" s="30">
        <f>IFERROR(IF(COUNT(Raw_Data!AZ149:BK149)=0,"",SUM(Raw_Data!AZ149:BK149)),"")</f>
        <v>182</v>
      </c>
      <c r="I149" s="30">
        <f>IFERROR(IF(COUNT(Raw_Data!BL149:BW149)=0,"",SUM(Raw_Data!BL149:BW149)),"")</f>
        <v>92</v>
      </c>
      <c r="J149" s="30">
        <f>IFERROR(IF(COUNT(Raw_Data!BX149:CI149)=0,"",SUM(Raw_Data!BX149:CI149)),"")</f>
        <v>13</v>
      </c>
      <c r="K149" s="28">
        <f t="shared" si="14"/>
        <v>0.90225563909774431</v>
      </c>
      <c r="L149" s="28">
        <f t="shared" si="15"/>
        <v>9.7744360902255634E-2</v>
      </c>
      <c r="M149" s="28">
        <f t="shared" si="16"/>
        <v>0.50549450549450547</v>
      </c>
      <c r="N149" s="28">
        <f t="shared" si="17"/>
        <v>7.1428571428571425E-2</v>
      </c>
      <c r="O149" s="7" t="str">
        <f t="shared" si="18"/>
        <v>Valid</v>
      </c>
      <c r="P149" s="13" t="str">
        <f t="shared" si="19"/>
        <v>Valid</v>
      </c>
      <c r="Q149" s="7" t="str">
        <f t="shared" si="20"/>
        <v>Valid</v>
      </c>
    </row>
    <row r="150" spans="1:17" ht="75">
      <c r="A150" s="7" t="str">
        <f>IF(Raw_Data!A150="","",TRIM(SUBSTITUTE(CLEAN(Raw_Data!A150),CHAR(160)," ")))</f>
        <v>Kuje Local Government Area</v>
      </c>
      <c r="B150" s="7" t="str">
        <f>IF(Raw_Data!B150="","",TRIM(SUBSTITUTE(CLEAN(Raw_Data!B150),CHAR(160)," ")))</f>
        <v>Gwargwada Ward</v>
      </c>
      <c r="C150" s="7" t="str">
        <f>IF(Raw_Data!C150="","",TRIM(SUBSTITUTE(CLEAN(Raw_Data!C150),CHAR(160)," ")))</f>
        <v>Gwargada Primary Health Centre</v>
      </c>
      <c r="D150" s="28">
        <f>IFERROR(IF(COUNT(Raw_Data!D150:O150)=0,"",AVERAGE(Raw_Data!D150:O150)/100),"")</f>
        <v>1</v>
      </c>
      <c r="E150" s="28">
        <f>IFERROR(IF(COUNT(Raw_Data!P150:AA150)=0,"",AVERAGE(Raw_Data!P150:AA150)/100),"")</f>
        <v>1</v>
      </c>
      <c r="F150" s="30">
        <f>IFERROR(IF(COUNT(Raw_Data!AB150:AM150)=0,"",SUM(Raw_Data!AB150:AM150)),"")</f>
        <v>269</v>
      </c>
      <c r="G150" s="30">
        <f>IFERROR(IF(COUNT(Raw_Data!AN150:AY150)=0,"",SUM(Raw_Data!AN150:AY150)),"")</f>
        <v>306</v>
      </c>
      <c r="H150" s="30">
        <f>IFERROR(IF(COUNT(Raw_Data!AZ150:BK150)=0,"",SUM(Raw_Data!AZ150:BK150)),"")</f>
        <v>118</v>
      </c>
      <c r="I150" s="30">
        <f>IFERROR(IF(COUNT(Raw_Data!BL150:BW150)=0,"",SUM(Raw_Data!BL150:BW150)),"")</f>
        <v>30</v>
      </c>
      <c r="J150" s="30">
        <f>IFERROR(IF(COUNT(Raw_Data!BX150:CI150)=0,"",SUM(Raw_Data!BX150:CI150)),"")</f>
        <v>25</v>
      </c>
      <c r="K150" s="28">
        <f t="shared" si="14"/>
        <v>1.1375464684014871</v>
      </c>
      <c r="L150" s="28">
        <f t="shared" si="15"/>
        <v>-0.13754646840148699</v>
      </c>
      <c r="M150" s="28">
        <f t="shared" si="16"/>
        <v>0.25423728813559321</v>
      </c>
      <c r="N150" s="28">
        <f t="shared" si="17"/>
        <v>0.21186440677966101</v>
      </c>
      <c r="O150" s="7" t="str">
        <f t="shared" si="18"/>
        <v>Invalid</v>
      </c>
      <c r="P150" s="13" t="str">
        <f t="shared" si="19"/>
        <v>Valid</v>
      </c>
      <c r="Q150" s="7" t="str">
        <f t="shared" si="20"/>
        <v>Invalid</v>
      </c>
    </row>
    <row r="151" spans="1:17" ht="60">
      <c r="A151" s="7" t="str">
        <f>IF(Raw_Data!A151="","",TRIM(SUBSTITUTE(CLEAN(Raw_Data!A151),CHAR(160)," ")))</f>
        <v>Abuja Municipal Area Council</v>
      </c>
      <c r="B151" s="7" t="str">
        <f>IF(Raw_Data!B151="","",TRIM(SUBSTITUTE(CLEAN(Raw_Data!B151),CHAR(160)," ")))</f>
        <v>Gwarimpa Ward</v>
      </c>
      <c r="C151" s="7" t="str">
        <f>IF(Raw_Data!C151="","",TRIM(SUBSTITUTE(CLEAN(Raw_Data!C151),CHAR(160)," ")))</f>
        <v>Gwarimpa General Hospital</v>
      </c>
      <c r="D151" s="28">
        <f>IFERROR(IF(COUNT(Raw_Data!D151:O151)=0,"",AVERAGE(Raw_Data!D151:O151)/100),"")</f>
        <v>0.94157499999999994</v>
      </c>
      <c r="E151" s="28">
        <f>IFERROR(IF(COUNT(Raw_Data!P151:AA151)=0,"",AVERAGE(Raw_Data!P151:AA151)/100),"")</f>
        <v>1</v>
      </c>
      <c r="F151" s="30">
        <f>IFERROR(IF(COUNT(Raw_Data!AB151:AM151)=0,"",SUM(Raw_Data!AB151:AM151)),"")</f>
        <v>652</v>
      </c>
      <c r="G151" s="30">
        <f>IFERROR(IF(COUNT(Raw_Data!AN151:AY151)=0,"",SUM(Raw_Data!AN151:AY151)),"")</f>
        <v>625</v>
      </c>
      <c r="H151" s="30">
        <f>IFERROR(IF(COUNT(Raw_Data!AZ151:BK151)=0,"",SUM(Raw_Data!AZ151:BK151)),"")</f>
        <v>567</v>
      </c>
      <c r="I151" s="30">
        <f>IFERROR(IF(COUNT(Raw_Data!BL151:BW151)=0,"",SUM(Raw_Data!BL151:BW151)),"")</f>
        <v>502</v>
      </c>
      <c r="J151" s="30">
        <f>IFERROR(IF(COUNT(Raw_Data!BX151:CI151)=0,"",SUM(Raw_Data!BX151:CI151)),"")</f>
        <v>74</v>
      </c>
      <c r="K151" s="28">
        <f t="shared" si="14"/>
        <v>0.95858895705521474</v>
      </c>
      <c r="L151" s="28">
        <f t="shared" si="15"/>
        <v>4.1411042944785273E-2</v>
      </c>
      <c r="M151" s="28">
        <f t="shared" si="16"/>
        <v>0.88536155202821865</v>
      </c>
      <c r="N151" s="28">
        <f t="shared" si="17"/>
        <v>0.13051146384479717</v>
      </c>
      <c r="O151" s="7" t="str">
        <f t="shared" si="18"/>
        <v>Valid</v>
      </c>
      <c r="P151" s="13" t="str">
        <f t="shared" si="19"/>
        <v>Valid</v>
      </c>
      <c r="Q151" s="7" t="str">
        <f t="shared" si="20"/>
        <v>Valid</v>
      </c>
    </row>
    <row r="152" spans="1:17" ht="75">
      <c r="A152" s="7" t="str">
        <f>IF(Raw_Data!A152="","",TRIM(SUBSTITUTE(CLEAN(Raw_Data!A152),CHAR(160)," ")))</f>
        <v>Abuja Municipal Area Council</v>
      </c>
      <c r="B152" s="7" t="str">
        <f>IF(Raw_Data!B152="","",TRIM(SUBSTITUTE(CLEAN(Raw_Data!B152),CHAR(160)," ")))</f>
        <v>Gwarimpa Ward</v>
      </c>
      <c r="C152" s="7" t="str">
        <f>IF(Raw_Data!C152="","",TRIM(SUBSTITUTE(CLEAN(Raw_Data!C152),CHAR(160)," ")))</f>
        <v>Gwarimpa Primary Health Clinic</v>
      </c>
      <c r="D152" s="28">
        <f>IFERROR(IF(COUNT(Raw_Data!D152:O152)=0,"",AVERAGE(Raw_Data!D152:O152)/100),"")</f>
        <v>0.95</v>
      </c>
      <c r="E152" s="28" t="str">
        <f>IFERROR(IF(COUNT(Raw_Data!P152:AA152)=0,"",AVERAGE(Raw_Data!P152:AA152)/100),"")</f>
        <v/>
      </c>
      <c r="F152" s="30">
        <f>IFERROR(IF(COUNT(Raw_Data!AB152:AM152)=0,"",SUM(Raw_Data!AB152:AM152)),"")</f>
        <v>145</v>
      </c>
      <c r="G152" s="30">
        <f>IFERROR(IF(COUNT(Raw_Data!AN152:AY152)=0,"",SUM(Raw_Data!AN152:AY152)),"")</f>
        <v>164</v>
      </c>
      <c r="H152" s="30">
        <f>IFERROR(IF(COUNT(Raw_Data!AZ152:BK152)=0,"",SUM(Raw_Data!AZ152:BK152)),"")</f>
        <v>151</v>
      </c>
      <c r="I152" s="30">
        <f>IFERROR(IF(COUNT(Raw_Data!BL152:BW152)=0,"",SUM(Raw_Data!BL152:BW152)),"")</f>
        <v>38</v>
      </c>
      <c r="J152" s="30" t="str">
        <f>IFERROR(IF(COUNT(Raw_Data!BX152:CI152)=0,"",SUM(Raw_Data!BX152:CI152)),"")</f>
        <v/>
      </c>
      <c r="K152" s="28">
        <f t="shared" si="14"/>
        <v>1.1310344827586207</v>
      </c>
      <c r="L152" s="28">
        <f t="shared" si="15"/>
        <v>-0.1310344827586207</v>
      </c>
      <c r="M152" s="28">
        <f t="shared" si="16"/>
        <v>0.25165562913907286</v>
      </c>
      <c r="N152" s="28" t="str">
        <f t="shared" si="17"/>
        <v/>
      </c>
      <c r="O152" s="7" t="str">
        <f t="shared" si="18"/>
        <v>Invalid</v>
      </c>
      <c r="P152" s="13" t="str">
        <f t="shared" si="19"/>
        <v>Incomplete</v>
      </c>
      <c r="Q152" s="7" t="str">
        <f t="shared" si="20"/>
        <v>Incomplete</v>
      </c>
    </row>
    <row r="153" spans="1:17" ht="60">
      <c r="A153" s="7" t="str">
        <f>IF(Raw_Data!A153="","",TRIM(SUBSTITUTE(CLEAN(Raw_Data!A153),CHAR(160)," ")))</f>
        <v>Gwagwalada Local Government Area</v>
      </c>
      <c r="B153" s="7" t="str">
        <f>IF(Raw_Data!B153="","",TRIM(SUBSTITUTE(CLEAN(Raw_Data!B153),CHAR(160)," ")))</f>
        <v>Tungan Maje Ward</v>
      </c>
      <c r="C153" s="7" t="str">
        <f>IF(Raw_Data!C153="","",TRIM(SUBSTITUTE(CLEAN(Raw_Data!C153),CHAR(160)," ")))</f>
        <v>Hope Clinic</v>
      </c>
      <c r="D153" s="28" t="str">
        <f>IFERROR(IF(COUNT(Raw_Data!D153:O153)=0,"",AVERAGE(Raw_Data!D153:O153)/100),"")</f>
        <v/>
      </c>
      <c r="E153" s="28" t="str">
        <f>IFERROR(IF(COUNT(Raw_Data!P153:AA153)=0,"",AVERAGE(Raw_Data!P153:AA153)/100),"")</f>
        <v/>
      </c>
      <c r="F153" s="30" t="str">
        <f>IFERROR(IF(COUNT(Raw_Data!AB153:AM153)=0,"",SUM(Raw_Data!AB153:AM153)),"")</f>
        <v/>
      </c>
      <c r="G153" s="30" t="str">
        <f>IFERROR(IF(COUNT(Raw_Data!AN153:AY153)=0,"",SUM(Raw_Data!AN153:AY153)),"")</f>
        <v/>
      </c>
      <c r="H153" s="30">
        <f>IFERROR(IF(COUNT(Raw_Data!AZ153:BK153)=0,"",SUM(Raw_Data!AZ153:BK153)),"")</f>
        <v>21</v>
      </c>
      <c r="I153" s="30">
        <f>IFERROR(IF(COUNT(Raw_Data!BL153:BW153)=0,"",SUM(Raw_Data!BL153:BW153)),"")</f>
        <v>12</v>
      </c>
      <c r="J153" s="30">
        <f>IFERROR(IF(COUNT(Raw_Data!BX153:CI153)=0,"",SUM(Raw_Data!BX153:CI153)),"")</f>
        <v>1</v>
      </c>
      <c r="K153" s="28" t="str">
        <f t="shared" si="14"/>
        <v/>
      </c>
      <c r="L153" s="28" t="str">
        <f t="shared" si="15"/>
        <v/>
      </c>
      <c r="M153" s="28">
        <f t="shared" si="16"/>
        <v>0.5714285714285714</v>
      </c>
      <c r="N153" s="28">
        <f t="shared" si="17"/>
        <v>4.7619047619047616E-2</v>
      </c>
      <c r="O153" s="7" t="str">
        <f t="shared" si="18"/>
        <v>No Data</v>
      </c>
      <c r="P153" s="13" t="str">
        <f t="shared" si="19"/>
        <v>Valid</v>
      </c>
      <c r="Q153" s="7" t="str">
        <f t="shared" si="20"/>
        <v>No Data</v>
      </c>
    </row>
    <row r="154" spans="1:17" ht="60">
      <c r="A154" s="7" t="str">
        <f>IF(Raw_Data!A154="","",TRIM(SUBSTITUTE(CLEAN(Raw_Data!A154),CHAR(160)," ")))</f>
        <v>Abuja Municipal Area Council</v>
      </c>
      <c r="B154" s="7" t="str">
        <f>IF(Raw_Data!B154="","",TRIM(SUBSTITUTE(CLEAN(Raw_Data!B154),CHAR(160)," ")))</f>
        <v>Jiwa Ward</v>
      </c>
      <c r="C154" s="7" t="str">
        <f>IF(Raw_Data!C154="","",TRIM(SUBSTITUTE(CLEAN(Raw_Data!C154),CHAR(160)," ")))</f>
        <v>Hulumi Primary Health Clinic</v>
      </c>
      <c r="D154" s="28">
        <f>IFERROR(IF(COUNT(Raw_Data!D154:O154)=0,"",AVERAGE(Raw_Data!D154:O154)/100),"")</f>
        <v>0.95</v>
      </c>
      <c r="E154" s="28">
        <f>IFERROR(IF(COUNT(Raw_Data!P154:AA154)=0,"",AVERAGE(Raw_Data!P154:AA154)/100),"")</f>
        <v>0.5</v>
      </c>
      <c r="F154" s="30">
        <f>IFERROR(IF(COUNT(Raw_Data!AB154:AM154)=0,"",SUM(Raw_Data!AB154:AM154)),"")</f>
        <v>209</v>
      </c>
      <c r="G154" s="30">
        <f>IFERROR(IF(COUNT(Raw_Data!AN154:AY154)=0,"",SUM(Raw_Data!AN154:AY154)),"")</f>
        <v>223</v>
      </c>
      <c r="H154" s="30">
        <f>IFERROR(IF(COUNT(Raw_Data!AZ154:BK154)=0,"",SUM(Raw_Data!AZ154:BK154)),"")</f>
        <v>83</v>
      </c>
      <c r="I154" s="30">
        <f>IFERROR(IF(COUNT(Raw_Data!BL154:BW154)=0,"",SUM(Raw_Data!BL154:BW154)),"")</f>
        <v>52</v>
      </c>
      <c r="J154" s="30">
        <f>IFERROR(IF(COUNT(Raw_Data!BX154:CI154)=0,"",SUM(Raw_Data!BX154:CI154)),"")</f>
        <v>22</v>
      </c>
      <c r="K154" s="28">
        <f t="shared" si="14"/>
        <v>1.0669856459330143</v>
      </c>
      <c r="L154" s="28">
        <f t="shared" si="15"/>
        <v>-6.6985645933014357E-2</v>
      </c>
      <c r="M154" s="28">
        <f t="shared" si="16"/>
        <v>0.62650602409638556</v>
      </c>
      <c r="N154" s="28">
        <f t="shared" si="17"/>
        <v>0.26506024096385544</v>
      </c>
      <c r="O154" s="7" t="str">
        <f t="shared" si="18"/>
        <v>Invalid</v>
      </c>
      <c r="P154" s="13" t="str">
        <f t="shared" si="19"/>
        <v>Valid</v>
      </c>
      <c r="Q154" s="7" t="str">
        <f t="shared" si="20"/>
        <v>Invalid</v>
      </c>
    </row>
    <row r="155" spans="1:17" ht="60">
      <c r="A155" s="7" t="str">
        <f>IF(Raw_Data!A155="","",TRIM(SUBSTITUTE(CLEAN(Raw_Data!A155),CHAR(160)," ")))</f>
        <v>Kuje Local Government Area</v>
      </c>
      <c r="B155" s="7" t="str">
        <f>IF(Raw_Data!B155="","",TRIM(SUBSTITUTE(CLEAN(Raw_Data!B155),CHAR(160)," ")))</f>
        <v>Gudunkarya Ward</v>
      </c>
      <c r="C155" s="7" t="str">
        <f>IF(Raw_Data!C155="","",TRIM(SUBSTITUTE(CLEAN(Raw_Data!C155),CHAR(160)," ")))</f>
        <v>Huni Primary Health Centre</v>
      </c>
      <c r="D155" s="28">
        <f>IFERROR(IF(COUNT(Raw_Data!D155:O155)=0,"",AVERAGE(Raw_Data!D155:O155)/100),"")</f>
        <v>0.75</v>
      </c>
      <c r="E155" s="28">
        <f>IFERROR(IF(COUNT(Raw_Data!P155:AA155)=0,"",AVERAGE(Raw_Data!P155:AA155)/100),"")</f>
        <v>0.75</v>
      </c>
      <c r="F155" s="30">
        <f>IFERROR(IF(COUNT(Raw_Data!AB155:AM155)=0,"",SUM(Raw_Data!AB155:AM155)),"")</f>
        <v>45</v>
      </c>
      <c r="G155" s="30">
        <f>IFERROR(IF(COUNT(Raw_Data!AN155:AY155)=0,"",SUM(Raw_Data!AN155:AY155)),"")</f>
        <v>42</v>
      </c>
      <c r="H155" s="30">
        <f>IFERROR(IF(COUNT(Raw_Data!AZ155:BK155)=0,"",SUM(Raw_Data!AZ155:BK155)),"")</f>
        <v>49</v>
      </c>
      <c r="I155" s="30">
        <f>IFERROR(IF(COUNT(Raw_Data!BL155:BW155)=0,"",SUM(Raw_Data!BL155:BW155)),"")</f>
        <v>3</v>
      </c>
      <c r="J155" s="30" t="str">
        <f>IFERROR(IF(COUNT(Raw_Data!BX155:CI155)=0,"",SUM(Raw_Data!BX155:CI155)),"")</f>
        <v/>
      </c>
      <c r="K155" s="28">
        <f t="shared" si="14"/>
        <v>0.93333333333333335</v>
      </c>
      <c r="L155" s="28">
        <f t="shared" si="15"/>
        <v>6.6666666666666666E-2</v>
      </c>
      <c r="M155" s="28">
        <f t="shared" si="16"/>
        <v>6.1224489795918366E-2</v>
      </c>
      <c r="N155" s="28" t="str">
        <f t="shared" si="17"/>
        <v/>
      </c>
      <c r="O155" s="7" t="str">
        <f t="shared" si="18"/>
        <v>Valid</v>
      </c>
      <c r="P155" s="13" t="str">
        <f t="shared" si="19"/>
        <v>Incomplete</v>
      </c>
      <c r="Q155" s="7" t="str">
        <f t="shared" si="20"/>
        <v>Incomplete</v>
      </c>
    </row>
    <row r="156" spans="1:17" ht="75">
      <c r="A156" s="7" t="str">
        <f>IF(Raw_Data!A156="","",TRIM(SUBSTITUTE(CLEAN(Raw_Data!A156),CHAR(160)," ")))</f>
        <v>Gwagwalada Local Government Area</v>
      </c>
      <c r="B156" s="7" t="str">
        <f>IF(Raw_Data!B156="","",TRIM(SUBSTITUTE(CLEAN(Raw_Data!B156),CHAR(160)," ")))</f>
        <v>Ibwa Ward</v>
      </c>
      <c r="C156" s="7" t="str">
        <f>IF(Raw_Data!C156="","",TRIM(SUBSTITUTE(CLEAN(Raw_Data!C156),CHAR(160)," ")))</f>
        <v>Ibwa Pada Primary Health Clinic</v>
      </c>
      <c r="D156" s="28">
        <f>IFERROR(IF(COUNT(Raw_Data!D156:O156)=0,"",AVERAGE(Raw_Data!D156:O156)/100),"")</f>
        <v>1</v>
      </c>
      <c r="E156" s="28">
        <f>IFERROR(IF(COUNT(Raw_Data!P156:AA156)=0,"",AVERAGE(Raw_Data!P156:AA156)/100),"")</f>
        <v>1.0277777777777777</v>
      </c>
      <c r="F156" s="30">
        <f>IFERROR(IF(COUNT(Raw_Data!AB156:AM156)=0,"",SUM(Raw_Data!AB156:AM156)),"")</f>
        <v>495</v>
      </c>
      <c r="G156" s="30">
        <f>IFERROR(IF(COUNT(Raw_Data!AN156:AY156)=0,"",SUM(Raw_Data!AN156:AY156)),"")</f>
        <v>727</v>
      </c>
      <c r="H156" s="30">
        <f>IFERROR(IF(COUNT(Raw_Data!AZ156:BK156)=0,"",SUM(Raw_Data!AZ156:BK156)),"")</f>
        <v>94</v>
      </c>
      <c r="I156" s="30">
        <f>IFERROR(IF(COUNT(Raw_Data!BL156:BW156)=0,"",SUM(Raw_Data!BL156:BW156)),"")</f>
        <v>10</v>
      </c>
      <c r="J156" s="30">
        <f>IFERROR(IF(COUNT(Raw_Data!BX156:CI156)=0,"",SUM(Raw_Data!BX156:CI156)),"")</f>
        <v>15</v>
      </c>
      <c r="K156" s="28">
        <f t="shared" si="14"/>
        <v>1.4686868686868686</v>
      </c>
      <c r="L156" s="28">
        <f t="shared" si="15"/>
        <v>-0.46868686868686871</v>
      </c>
      <c r="M156" s="28">
        <f t="shared" si="16"/>
        <v>0.10638297872340426</v>
      </c>
      <c r="N156" s="28">
        <f t="shared" si="17"/>
        <v>0.15957446808510639</v>
      </c>
      <c r="O156" s="7" t="str">
        <f t="shared" si="18"/>
        <v>Invalid</v>
      </c>
      <c r="P156" s="13" t="str">
        <f t="shared" si="19"/>
        <v>Invalid</v>
      </c>
      <c r="Q156" s="7" t="str">
        <f t="shared" si="20"/>
        <v>Invalid</v>
      </c>
    </row>
    <row r="157" spans="1:17" ht="60">
      <c r="A157" s="7" t="str">
        <f>IF(Raw_Data!A157="","",TRIM(SUBSTITUTE(CLEAN(Raw_Data!A157),CHAR(160)," ")))</f>
        <v>Gwagwalada Local Government Area</v>
      </c>
      <c r="B157" s="7" t="str">
        <f>IF(Raw_Data!B157="","",TRIM(SUBSTITUTE(CLEAN(Raw_Data!B157),CHAR(160)," ")))</f>
        <v>Ibwa Ward</v>
      </c>
      <c r="C157" s="7" t="str">
        <f>IF(Raw_Data!C157="","",TRIM(SUBSTITUTE(CLEAN(Raw_Data!C157),CHAR(160)," ")))</f>
        <v>Ibwa Primary Health Clinic</v>
      </c>
      <c r="D157" s="28">
        <f>IFERROR(IF(COUNT(Raw_Data!D157:O157)=0,"",AVERAGE(Raw_Data!D157:O157)/100),"")</f>
        <v>0.97727272727272729</v>
      </c>
      <c r="E157" s="28">
        <f>IFERROR(IF(COUNT(Raw_Data!P157:AA157)=0,"",AVERAGE(Raw_Data!P157:AA157)/100),"")</f>
        <v>0.97727272727272729</v>
      </c>
      <c r="F157" s="30">
        <f>IFERROR(IF(COUNT(Raw_Data!AB157:AM157)=0,"",SUM(Raw_Data!AB157:AM157)),"")</f>
        <v>747</v>
      </c>
      <c r="G157" s="30">
        <f>IFERROR(IF(COUNT(Raw_Data!AN157:AY157)=0,"",SUM(Raw_Data!AN157:AY157)),"")</f>
        <v>1043</v>
      </c>
      <c r="H157" s="30">
        <f>IFERROR(IF(COUNT(Raw_Data!AZ157:BK157)=0,"",SUM(Raw_Data!AZ157:BK157)),"")</f>
        <v>85</v>
      </c>
      <c r="I157" s="30">
        <f>IFERROR(IF(COUNT(Raw_Data!BL157:BW157)=0,"",SUM(Raw_Data!BL157:BW157)),"")</f>
        <v>32</v>
      </c>
      <c r="J157" s="30" t="str">
        <f>IFERROR(IF(COUNT(Raw_Data!BX157:CI157)=0,"",SUM(Raw_Data!BX157:CI157)),"")</f>
        <v/>
      </c>
      <c r="K157" s="28">
        <f t="shared" si="14"/>
        <v>1.3962516733601071</v>
      </c>
      <c r="L157" s="28">
        <f t="shared" si="15"/>
        <v>-0.39625167336010708</v>
      </c>
      <c r="M157" s="28">
        <f t="shared" si="16"/>
        <v>0.37647058823529411</v>
      </c>
      <c r="N157" s="28" t="str">
        <f t="shared" si="17"/>
        <v/>
      </c>
      <c r="O157" s="7" t="str">
        <f t="shared" si="18"/>
        <v>Invalid</v>
      </c>
      <c r="P157" s="13" t="str">
        <f t="shared" si="19"/>
        <v>Incomplete</v>
      </c>
      <c r="Q157" s="7" t="str">
        <f t="shared" si="20"/>
        <v>Incomplete</v>
      </c>
    </row>
    <row r="158" spans="1:17" ht="90">
      <c r="A158" s="7" t="str">
        <f>IF(Raw_Data!A158="","",TRIM(SUBSTITUTE(CLEAN(Raw_Data!A158),CHAR(160)," ")))</f>
        <v>Abuja Municipal Area Council</v>
      </c>
      <c r="B158" s="7" t="str">
        <f>IF(Raw_Data!B158="","",TRIM(SUBSTITUTE(CLEAN(Raw_Data!B158),CHAR(160)," ")))</f>
        <v>Gui Ward</v>
      </c>
      <c r="C158" s="7" t="str">
        <f>IF(Raw_Data!C158="","",TRIM(SUBSTITUTE(CLEAN(Raw_Data!C158),CHAR(160)," ")))</f>
        <v>Iddo Pada Primary Health Care Centre</v>
      </c>
      <c r="D158" s="28">
        <f>IFERROR(IF(COUNT(Raw_Data!D158:O158)=0,"",AVERAGE(Raw_Data!D158:O158)/100),"")</f>
        <v>0.97499999999999998</v>
      </c>
      <c r="E158" s="28">
        <f>IFERROR(IF(COUNT(Raw_Data!P158:AA158)=0,"",AVERAGE(Raw_Data!P158:AA158)/100),"")</f>
        <v>0.9</v>
      </c>
      <c r="F158" s="30">
        <f>IFERROR(IF(COUNT(Raw_Data!AB158:AM158)=0,"",SUM(Raw_Data!AB158:AM158)),"")</f>
        <v>518</v>
      </c>
      <c r="G158" s="30">
        <f>IFERROR(IF(COUNT(Raw_Data!AN158:AY158)=0,"",SUM(Raw_Data!AN158:AY158)),"")</f>
        <v>569</v>
      </c>
      <c r="H158" s="30">
        <f>IFERROR(IF(COUNT(Raw_Data!AZ158:BK158)=0,"",SUM(Raw_Data!AZ158:BK158)),"")</f>
        <v>297</v>
      </c>
      <c r="I158" s="30">
        <f>IFERROR(IF(COUNT(Raw_Data!BL158:BW158)=0,"",SUM(Raw_Data!BL158:BW158)),"")</f>
        <v>158</v>
      </c>
      <c r="J158" s="30">
        <f>IFERROR(IF(COUNT(Raw_Data!BX158:CI158)=0,"",SUM(Raw_Data!BX158:CI158)),"")</f>
        <v>40</v>
      </c>
      <c r="K158" s="28">
        <f t="shared" si="14"/>
        <v>1.0984555984555984</v>
      </c>
      <c r="L158" s="28">
        <f t="shared" si="15"/>
        <v>-9.8455598455598453E-2</v>
      </c>
      <c r="M158" s="28">
        <f t="shared" si="16"/>
        <v>0.53198653198653201</v>
      </c>
      <c r="N158" s="28">
        <f t="shared" si="17"/>
        <v>0.13468013468013468</v>
      </c>
      <c r="O158" s="7" t="str">
        <f t="shared" si="18"/>
        <v>Invalid</v>
      </c>
      <c r="P158" s="13" t="str">
        <f t="shared" si="19"/>
        <v>Valid</v>
      </c>
      <c r="Q158" s="7" t="str">
        <f t="shared" si="20"/>
        <v>Invalid</v>
      </c>
    </row>
    <row r="159" spans="1:17" ht="90">
      <c r="A159" s="7" t="str">
        <f>IF(Raw_Data!A159="","",TRIM(SUBSTITUTE(CLEAN(Raw_Data!A159),CHAR(160)," ")))</f>
        <v>Abuja Municipal Area Council</v>
      </c>
      <c r="B159" s="7" t="str">
        <f>IF(Raw_Data!B159="","",TRIM(SUBSTITUTE(CLEAN(Raw_Data!B159),CHAR(160)," ")))</f>
        <v>Jiwa Ward</v>
      </c>
      <c r="C159" s="7" t="str">
        <f>IF(Raw_Data!C159="","",TRIM(SUBSTITUTE(CLEAN(Raw_Data!C159),CHAR(160)," ")))</f>
        <v>Idu-Karmo Primary Health Care Center</v>
      </c>
      <c r="D159" s="28">
        <f>IFERROR(IF(COUNT(Raw_Data!D159:O159)=0,"",AVERAGE(Raw_Data!D159:O159)/100),"")</f>
        <v>0.89683333333333337</v>
      </c>
      <c r="E159" s="28">
        <f>IFERROR(IF(COUNT(Raw_Data!P159:AA159)=0,"",AVERAGE(Raw_Data!P159:AA159)/100),"")</f>
        <v>0.51388333333333325</v>
      </c>
      <c r="F159" s="30">
        <f>IFERROR(IF(COUNT(Raw_Data!AB159:AM159)=0,"",SUM(Raw_Data!AB159:AM159)),"")</f>
        <v>1442</v>
      </c>
      <c r="G159" s="30">
        <f>IFERROR(IF(COUNT(Raw_Data!AN159:AY159)=0,"",SUM(Raw_Data!AN159:AY159)),"")</f>
        <v>1409</v>
      </c>
      <c r="H159" s="30">
        <f>IFERROR(IF(COUNT(Raw_Data!AZ159:BK159)=0,"",SUM(Raw_Data!AZ159:BK159)),"")</f>
        <v>506</v>
      </c>
      <c r="I159" s="30">
        <f>IFERROR(IF(COUNT(Raw_Data!BL159:BW159)=0,"",SUM(Raw_Data!BL159:BW159)),"")</f>
        <v>212</v>
      </c>
      <c r="J159" s="30">
        <f>IFERROR(IF(COUNT(Raw_Data!BX159:CI159)=0,"",SUM(Raw_Data!BX159:CI159)),"")</f>
        <v>8</v>
      </c>
      <c r="K159" s="28">
        <f t="shared" si="14"/>
        <v>0.97711511789181693</v>
      </c>
      <c r="L159" s="28">
        <f t="shared" si="15"/>
        <v>2.2884882108183079E-2</v>
      </c>
      <c r="M159" s="28">
        <f t="shared" si="16"/>
        <v>0.4189723320158103</v>
      </c>
      <c r="N159" s="28">
        <f t="shared" si="17"/>
        <v>1.5810276679841896E-2</v>
      </c>
      <c r="O159" s="7" t="str">
        <f t="shared" si="18"/>
        <v>Valid</v>
      </c>
      <c r="P159" s="13" t="str">
        <f t="shared" si="19"/>
        <v>Valid</v>
      </c>
      <c r="Q159" s="7" t="str">
        <f t="shared" si="20"/>
        <v>Valid</v>
      </c>
    </row>
    <row r="160" spans="1:17" ht="60">
      <c r="A160" s="7" t="str">
        <f>IF(Raw_Data!A160="","",TRIM(SUBSTITUTE(CLEAN(Raw_Data!A160),CHAR(160)," ")))</f>
        <v>Bwari Local Government Area</v>
      </c>
      <c r="B160" s="7" t="str">
        <f>IF(Raw_Data!B160="","",TRIM(SUBSTITUTE(CLEAN(Raw_Data!B160),CHAR(160)," ")))</f>
        <v>Igu Ward</v>
      </c>
      <c r="C160" s="7" t="str">
        <f>IF(Raw_Data!C160="","",TRIM(SUBSTITUTE(CLEAN(Raw_Data!C160),CHAR(160)," ")))</f>
        <v>Igu Primary Health Center</v>
      </c>
      <c r="D160" s="28">
        <f>IFERROR(IF(COUNT(Raw_Data!D160:O160)=0,"",AVERAGE(Raw_Data!D160:O160)/100),"")</f>
        <v>0.97727272727272729</v>
      </c>
      <c r="E160" s="28">
        <f>IFERROR(IF(COUNT(Raw_Data!P160:AA160)=0,"",AVERAGE(Raw_Data!P160:AA160)/100),"")</f>
        <v>1</v>
      </c>
      <c r="F160" s="30">
        <f>IFERROR(IF(COUNT(Raw_Data!AB160:AM160)=0,"",SUM(Raw_Data!AB160:AM160)),"")</f>
        <v>92</v>
      </c>
      <c r="G160" s="30">
        <f>IFERROR(IF(COUNT(Raw_Data!AN160:AY160)=0,"",SUM(Raw_Data!AN160:AY160)),"")</f>
        <v>69</v>
      </c>
      <c r="H160" s="30">
        <f>IFERROR(IF(COUNT(Raw_Data!AZ160:BK160)=0,"",SUM(Raw_Data!AZ160:BK160)),"")</f>
        <v>80</v>
      </c>
      <c r="I160" s="30">
        <f>IFERROR(IF(COUNT(Raw_Data!BL160:BW160)=0,"",SUM(Raw_Data!BL160:BW160)),"")</f>
        <v>62</v>
      </c>
      <c r="J160" s="30">
        <f>IFERROR(IF(COUNT(Raw_Data!BX160:CI160)=0,"",SUM(Raw_Data!BX160:CI160)),"")</f>
        <v>31</v>
      </c>
      <c r="K160" s="28">
        <f t="shared" si="14"/>
        <v>0.75</v>
      </c>
      <c r="L160" s="28">
        <f t="shared" si="15"/>
        <v>0.25</v>
      </c>
      <c r="M160" s="28">
        <f t="shared" si="16"/>
        <v>0.77500000000000002</v>
      </c>
      <c r="N160" s="28">
        <f t="shared" si="17"/>
        <v>0.38750000000000001</v>
      </c>
      <c r="O160" s="7" t="str">
        <f t="shared" si="18"/>
        <v>Valid</v>
      </c>
      <c r="P160" s="13" t="str">
        <f t="shared" si="19"/>
        <v>Valid</v>
      </c>
      <c r="Q160" s="7" t="str">
        <f t="shared" si="20"/>
        <v>Valid</v>
      </c>
    </row>
    <row r="161" spans="1:17" ht="60">
      <c r="A161" s="7" t="str">
        <f>IF(Raw_Data!A161="","",TRIM(SUBSTITUTE(CLEAN(Raw_Data!A161),CHAR(160)," ")))</f>
        <v>Kwali Local Government Area</v>
      </c>
      <c r="B161" s="7" t="str">
        <f>IF(Raw_Data!B161="","",TRIM(SUBSTITUTE(CLEAN(Raw_Data!B161),CHAR(160)," ")))</f>
        <v>Yangoji Ward</v>
      </c>
      <c r="C161" s="7" t="str">
        <f>IF(Raw_Data!C161="","",TRIM(SUBSTITUTE(CLEAN(Raw_Data!C161),CHAR(160)," ")))</f>
        <v>Ijah Sarki Primary Health Centre</v>
      </c>
      <c r="D161" s="28">
        <f>IFERROR(IF(COUNT(Raw_Data!D161:O161)=0,"",AVERAGE(Raw_Data!D161:O161)/100),"")</f>
        <v>1</v>
      </c>
      <c r="E161" s="28">
        <f>IFERROR(IF(COUNT(Raw_Data!P161:AA161)=0,"",AVERAGE(Raw_Data!P161:AA161)/100),"")</f>
        <v>1</v>
      </c>
      <c r="F161" s="30">
        <f>IFERROR(IF(COUNT(Raw_Data!AB161:AM161)=0,"",SUM(Raw_Data!AB161:AM161)),"")</f>
        <v>197</v>
      </c>
      <c r="G161" s="30">
        <f>IFERROR(IF(COUNT(Raw_Data!AN161:AY161)=0,"",SUM(Raw_Data!AN161:AY161)),"")</f>
        <v>202</v>
      </c>
      <c r="H161" s="30">
        <f>IFERROR(IF(COUNT(Raw_Data!AZ161:BK161)=0,"",SUM(Raw_Data!AZ161:BK161)),"")</f>
        <v>224</v>
      </c>
      <c r="I161" s="30">
        <f>IFERROR(IF(COUNT(Raw_Data!BL161:BW161)=0,"",SUM(Raw_Data!BL161:BW161)),"")</f>
        <v>12</v>
      </c>
      <c r="J161" s="30">
        <f>IFERROR(IF(COUNT(Raw_Data!BX161:CI161)=0,"",SUM(Raw_Data!BX161:CI161)),"")</f>
        <v>20</v>
      </c>
      <c r="K161" s="28">
        <f t="shared" si="14"/>
        <v>1.0253807106598984</v>
      </c>
      <c r="L161" s="28">
        <f t="shared" si="15"/>
        <v>-2.5380710659898477E-2</v>
      </c>
      <c r="M161" s="28">
        <f t="shared" si="16"/>
        <v>5.3571428571428568E-2</v>
      </c>
      <c r="N161" s="28">
        <f t="shared" si="17"/>
        <v>8.9285714285714288E-2</v>
      </c>
      <c r="O161" s="7" t="str">
        <f t="shared" si="18"/>
        <v>Invalid</v>
      </c>
      <c r="P161" s="13" t="str">
        <f t="shared" si="19"/>
        <v>Invalid</v>
      </c>
      <c r="Q161" s="7" t="str">
        <f t="shared" si="20"/>
        <v>Invalid</v>
      </c>
    </row>
    <row r="162" spans="1:17" ht="60">
      <c r="A162" s="7" t="str">
        <f>IF(Raw_Data!A162="","",TRIM(SUBSTITUTE(CLEAN(Raw_Data!A162),CHAR(160)," ")))</f>
        <v>Kwali Local Government Area</v>
      </c>
      <c r="B162" s="7" t="str">
        <f>IF(Raw_Data!B162="","",TRIM(SUBSTITUTE(CLEAN(Raw_Data!B162),CHAR(160)," ")))</f>
        <v>Ashara Ward</v>
      </c>
      <c r="C162" s="7" t="str">
        <f>IF(Raw_Data!C162="","",TRIM(SUBSTITUTE(CLEAN(Raw_Data!C162),CHAR(160)," ")))</f>
        <v>Ike Health Post</v>
      </c>
      <c r="D162" s="28">
        <f>IFERROR(IF(COUNT(Raw_Data!D162:O162)=0,"",AVERAGE(Raw_Data!D162:O162)/100),"")</f>
        <v>0.95238571428571428</v>
      </c>
      <c r="E162" s="28">
        <f>IFERROR(IF(COUNT(Raw_Data!P162:AA162)=0,"",AVERAGE(Raw_Data!P162:AA162)/100),"")</f>
        <v>1</v>
      </c>
      <c r="F162" s="30">
        <f>IFERROR(IF(COUNT(Raw_Data!AB162:AM162)=0,"",SUM(Raw_Data!AB162:AM162)),"")</f>
        <v>523</v>
      </c>
      <c r="G162" s="30">
        <f>IFERROR(IF(COUNT(Raw_Data!AN162:AY162)=0,"",SUM(Raw_Data!AN162:AY162)),"")</f>
        <v>748</v>
      </c>
      <c r="H162" s="30">
        <f>IFERROR(IF(COUNT(Raw_Data!AZ162:BK162)=0,"",SUM(Raw_Data!AZ162:BK162)),"")</f>
        <v>289</v>
      </c>
      <c r="I162" s="30">
        <f>IFERROR(IF(COUNT(Raw_Data!BL162:BW162)=0,"",SUM(Raw_Data!BL162:BW162)),"")</f>
        <v>74</v>
      </c>
      <c r="J162" s="30">
        <f>IFERROR(IF(COUNT(Raw_Data!BX162:CI162)=0,"",SUM(Raw_Data!BX162:CI162)),"")</f>
        <v>2</v>
      </c>
      <c r="K162" s="28">
        <f t="shared" si="14"/>
        <v>1.4302103250478011</v>
      </c>
      <c r="L162" s="28">
        <f t="shared" si="15"/>
        <v>-0.43021032504780116</v>
      </c>
      <c r="M162" s="28">
        <f t="shared" si="16"/>
        <v>0.25605536332179929</v>
      </c>
      <c r="N162" s="28">
        <f t="shared" si="17"/>
        <v>6.920415224913495E-3</v>
      </c>
      <c r="O162" s="7" t="str">
        <f t="shared" si="18"/>
        <v>Invalid</v>
      </c>
      <c r="P162" s="13" t="str">
        <f t="shared" si="19"/>
        <v>Valid</v>
      </c>
      <c r="Q162" s="7" t="str">
        <f t="shared" si="20"/>
        <v>Invalid</v>
      </c>
    </row>
    <row r="163" spans="1:17" ht="60">
      <c r="A163" s="7" t="str">
        <f>IF(Raw_Data!A163="","",TRIM(SUBSTITUTE(CLEAN(Raw_Data!A163),CHAR(160)," ")))</f>
        <v>Gwagwalada Local Government Area</v>
      </c>
      <c r="B163" s="7" t="str">
        <f>IF(Raw_Data!B163="","",TRIM(SUBSTITUTE(CLEAN(Raw_Data!B163),CHAR(160)," ")))</f>
        <v>Ikwa Ward</v>
      </c>
      <c r="C163" s="7" t="str">
        <f>IF(Raw_Data!C163="","",TRIM(SUBSTITUTE(CLEAN(Raw_Data!C163),CHAR(160)," ")))</f>
        <v>Ikwa Primary Health Clinic</v>
      </c>
      <c r="D163" s="28">
        <f>IFERROR(IF(COUNT(Raw_Data!D163:O163)=0,"",AVERAGE(Raw_Data!D163:O163)/100),"")</f>
        <v>0.86818181818181817</v>
      </c>
      <c r="E163" s="28">
        <f>IFERROR(IF(COUNT(Raw_Data!P163:AA163)=0,"",AVERAGE(Raw_Data!P163:AA163)/100),"")</f>
        <v>0.88124999999999998</v>
      </c>
      <c r="F163" s="30">
        <f>IFERROR(IF(COUNT(Raw_Data!AB163:AM163)=0,"",SUM(Raw_Data!AB163:AM163)),"")</f>
        <v>470</v>
      </c>
      <c r="G163" s="30">
        <f>IFERROR(IF(COUNT(Raw_Data!AN163:AY163)=0,"",SUM(Raw_Data!AN163:AY163)),"")</f>
        <v>454</v>
      </c>
      <c r="H163" s="30">
        <f>IFERROR(IF(COUNT(Raw_Data!AZ163:BK163)=0,"",SUM(Raw_Data!AZ163:BK163)),"")</f>
        <v>218</v>
      </c>
      <c r="I163" s="30">
        <f>IFERROR(IF(COUNT(Raw_Data!BL163:BW163)=0,"",SUM(Raw_Data!BL163:BW163)),"")</f>
        <v>45</v>
      </c>
      <c r="J163" s="30">
        <f>IFERROR(IF(COUNT(Raw_Data!BX163:CI163)=0,"",SUM(Raw_Data!BX163:CI163)),"")</f>
        <v>9</v>
      </c>
      <c r="K163" s="28">
        <f t="shared" si="14"/>
        <v>0.96595744680851059</v>
      </c>
      <c r="L163" s="28">
        <f t="shared" si="15"/>
        <v>3.4042553191489362E-2</v>
      </c>
      <c r="M163" s="28">
        <f t="shared" si="16"/>
        <v>0.20642201834862386</v>
      </c>
      <c r="N163" s="28">
        <f t="shared" si="17"/>
        <v>4.1284403669724773E-2</v>
      </c>
      <c r="O163" s="7" t="str">
        <f t="shared" si="18"/>
        <v>Valid</v>
      </c>
      <c r="P163" s="13" t="str">
        <f t="shared" si="19"/>
        <v>Valid</v>
      </c>
      <c r="Q163" s="7" t="str">
        <f t="shared" si="20"/>
        <v>Valid</v>
      </c>
    </row>
    <row r="164" spans="1:17" ht="60">
      <c r="A164" s="7" t="str">
        <f>IF(Raw_Data!A164="","",TRIM(SUBSTITUTE(CLEAN(Raw_Data!A164),CHAR(160)," ")))</f>
        <v>Kuje Local Government Area</v>
      </c>
      <c r="B164" s="7" t="str">
        <f>IF(Raw_Data!B164="","",TRIM(SUBSTITUTE(CLEAN(Raw_Data!B164),CHAR(160)," ")))</f>
        <v>Kuje Central Ward</v>
      </c>
      <c r="C164" s="7" t="str">
        <f>IF(Raw_Data!C164="","",TRIM(SUBSTITUTE(CLEAN(Raw_Data!C164),CHAR(160)," ")))</f>
        <v>Ila Universal Hospital</v>
      </c>
      <c r="D164" s="28" t="str">
        <f>IFERROR(IF(COUNT(Raw_Data!D164:O164)=0,"",AVERAGE(Raw_Data!D164:O164)/100),"")</f>
        <v/>
      </c>
      <c r="E164" s="28" t="str">
        <f>IFERROR(IF(COUNT(Raw_Data!P164:AA164)=0,"",AVERAGE(Raw_Data!P164:AA164)/100),"")</f>
        <v/>
      </c>
      <c r="F164" s="30" t="str">
        <f>IFERROR(IF(COUNT(Raw_Data!AB164:AM164)=0,"",SUM(Raw_Data!AB164:AM164)),"")</f>
        <v/>
      </c>
      <c r="G164" s="30" t="str">
        <f>IFERROR(IF(COUNT(Raw_Data!AN164:AY164)=0,"",SUM(Raw_Data!AN164:AY164)),"")</f>
        <v/>
      </c>
      <c r="H164" s="30">
        <f>IFERROR(IF(COUNT(Raw_Data!AZ164:BK164)=0,"",SUM(Raw_Data!AZ164:BK164)),"")</f>
        <v>1</v>
      </c>
      <c r="I164" s="30">
        <f>IFERROR(IF(COUNT(Raw_Data!BL164:BW164)=0,"",SUM(Raw_Data!BL164:BW164)),"")</f>
        <v>2</v>
      </c>
      <c r="J164" s="30" t="str">
        <f>IFERROR(IF(COUNT(Raw_Data!BX164:CI164)=0,"",SUM(Raw_Data!BX164:CI164)),"")</f>
        <v/>
      </c>
      <c r="K164" s="28" t="str">
        <f t="shared" si="14"/>
        <v/>
      </c>
      <c r="L164" s="28" t="str">
        <f t="shared" si="15"/>
        <v/>
      </c>
      <c r="M164" s="28">
        <f t="shared" si="16"/>
        <v>2</v>
      </c>
      <c r="N164" s="28" t="str">
        <f t="shared" si="17"/>
        <v/>
      </c>
      <c r="O164" s="7" t="str">
        <f t="shared" si="18"/>
        <v>No Data</v>
      </c>
      <c r="P164" s="13" t="str">
        <f t="shared" si="19"/>
        <v>Incomplete</v>
      </c>
      <c r="Q164" s="7" t="str">
        <f t="shared" si="20"/>
        <v>No Data</v>
      </c>
    </row>
    <row r="165" spans="1:17" ht="60">
      <c r="A165" s="7" t="str">
        <f>IF(Raw_Data!A165="","",TRIM(SUBSTITUTE(CLEAN(Raw_Data!A165),CHAR(160)," ")))</f>
        <v>Abuja Municipal Area Council</v>
      </c>
      <c r="B165" s="7" t="str">
        <f>IF(Raw_Data!B165="","",TRIM(SUBSTITUTE(CLEAN(Raw_Data!B165),CHAR(160)," ")))</f>
        <v>Gwarimpa Ward</v>
      </c>
      <c r="C165" s="7" t="str">
        <f>IF(Raw_Data!C165="","",TRIM(SUBSTITUTE(CLEAN(Raw_Data!C165),CHAR(160)," ")))</f>
        <v>Jabi Arewa Hospital</v>
      </c>
      <c r="D165" s="28" t="str">
        <f>IFERROR(IF(COUNT(Raw_Data!D165:O165)=0,"",AVERAGE(Raw_Data!D165:O165)/100),"")</f>
        <v/>
      </c>
      <c r="E165" s="28" t="str">
        <f>IFERROR(IF(COUNT(Raw_Data!P165:AA165)=0,"",AVERAGE(Raw_Data!P165:AA165)/100),"")</f>
        <v/>
      </c>
      <c r="F165" s="30">
        <f>IFERROR(IF(COUNT(Raw_Data!AB165:AM165)=0,"",SUM(Raw_Data!AB165:AM165)),"")</f>
        <v>144</v>
      </c>
      <c r="G165" s="30">
        <f>IFERROR(IF(COUNT(Raw_Data!AN165:AY165)=0,"",SUM(Raw_Data!AN165:AY165)),"")</f>
        <v>141</v>
      </c>
      <c r="H165" s="30">
        <f>IFERROR(IF(COUNT(Raw_Data!AZ165:BK165)=0,"",SUM(Raw_Data!AZ165:BK165)),"")</f>
        <v>705</v>
      </c>
      <c r="I165" s="30">
        <f>IFERROR(IF(COUNT(Raw_Data!BL165:BW165)=0,"",SUM(Raw_Data!BL165:BW165)),"")</f>
        <v>3729</v>
      </c>
      <c r="J165" s="30">
        <f>IFERROR(IF(COUNT(Raw_Data!BX165:CI165)=0,"",SUM(Raw_Data!BX165:CI165)),"")</f>
        <v>282</v>
      </c>
      <c r="K165" s="28">
        <f t="shared" si="14"/>
        <v>0.97916666666666663</v>
      </c>
      <c r="L165" s="28">
        <f t="shared" si="15"/>
        <v>2.0833333333333332E-2</v>
      </c>
      <c r="M165" s="28">
        <f t="shared" si="16"/>
        <v>5.2893617021276595</v>
      </c>
      <c r="N165" s="28">
        <f t="shared" si="17"/>
        <v>0.4</v>
      </c>
      <c r="O165" s="7" t="str">
        <f t="shared" si="18"/>
        <v>Valid</v>
      </c>
      <c r="P165" s="13" t="str">
        <f t="shared" si="19"/>
        <v>Invalid</v>
      </c>
      <c r="Q165" s="7" t="str">
        <f t="shared" si="20"/>
        <v>Invalid</v>
      </c>
    </row>
    <row r="166" spans="1:17" ht="60">
      <c r="A166" s="7" t="str">
        <f>IF(Raw_Data!A166="","",TRIM(SUBSTITUTE(CLEAN(Raw_Data!A166),CHAR(160)," ")))</f>
        <v>Abuja Municipal Area Council</v>
      </c>
      <c r="B166" s="7" t="str">
        <f>IF(Raw_Data!B166="","",TRIM(SUBSTITUTE(CLEAN(Raw_Data!B166),CHAR(160)," ")))</f>
        <v>Gwarimpa Ward</v>
      </c>
      <c r="C166" s="7" t="str">
        <f>IF(Raw_Data!C166="","",TRIM(SUBSTITUTE(CLEAN(Raw_Data!C166),CHAR(160)," ")))</f>
        <v>Jabi Federal Medical Centre</v>
      </c>
      <c r="D166" s="28">
        <f>IFERROR(IF(COUNT(Raw_Data!D166:O166)=0,"",AVERAGE(Raw_Data!D166:O166)/100),"")</f>
        <v>0.94805714285714271</v>
      </c>
      <c r="E166" s="28" t="str">
        <f>IFERROR(IF(COUNT(Raw_Data!P166:AA166)=0,"",AVERAGE(Raw_Data!P166:AA166)/100),"")</f>
        <v/>
      </c>
      <c r="F166" s="30">
        <f>IFERROR(IF(COUNT(Raw_Data!AB166:AM166)=0,"",SUM(Raw_Data!AB166:AM166)),"")</f>
        <v>1124</v>
      </c>
      <c r="G166" s="30">
        <f>IFERROR(IF(COUNT(Raw_Data!AN166:AY166)=0,"",SUM(Raw_Data!AN166:AY166)),"")</f>
        <v>857</v>
      </c>
      <c r="H166" s="30">
        <f>IFERROR(IF(COUNT(Raw_Data!AZ166:BK166)=0,"",SUM(Raw_Data!AZ166:BK166)),"")</f>
        <v>2043</v>
      </c>
      <c r="I166" s="30">
        <f>IFERROR(IF(COUNT(Raw_Data!BL166:BW166)=0,"",SUM(Raw_Data!BL166:BW166)),"")</f>
        <v>1833</v>
      </c>
      <c r="J166" s="30">
        <f>IFERROR(IF(COUNT(Raw_Data!BX166:CI166)=0,"",SUM(Raw_Data!BX166:CI166)),"")</f>
        <v>1989</v>
      </c>
      <c r="K166" s="28">
        <f t="shared" si="14"/>
        <v>0.76245551601423489</v>
      </c>
      <c r="L166" s="28">
        <f t="shared" si="15"/>
        <v>0.23754448398576514</v>
      </c>
      <c r="M166" s="28">
        <f t="shared" si="16"/>
        <v>0.89720998531571217</v>
      </c>
      <c r="N166" s="28">
        <f t="shared" si="17"/>
        <v>0.97356828193832601</v>
      </c>
      <c r="O166" s="7" t="str">
        <f t="shared" si="18"/>
        <v>Valid</v>
      </c>
      <c r="P166" s="13" t="str">
        <f t="shared" si="19"/>
        <v>Invalid</v>
      </c>
      <c r="Q166" s="7" t="str">
        <f t="shared" si="20"/>
        <v>Invalid</v>
      </c>
    </row>
    <row r="167" spans="1:17" ht="60">
      <c r="A167" s="7" t="str">
        <f>IF(Raw_Data!A167="","",TRIM(SUBSTITUTE(CLEAN(Raw_Data!A167),CHAR(160)," ")))</f>
        <v>Abuja Municipal Area Council</v>
      </c>
      <c r="B167" s="7" t="str">
        <f>IF(Raw_Data!B167="","",TRIM(SUBSTITUTE(CLEAN(Raw_Data!B167),CHAR(160)," ")))</f>
        <v>Gwarimpa Ward</v>
      </c>
      <c r="C167" s="7" t="str">
        <f>IF(Raw_Data!C167="","",TRIM(SUBSTITUTE(CLEAN(Raw_Data!C167),CHAR(160)," ")))</f>
        <v>Jahi Primary Health Clinic</v>
      </c>
      <c r="D167" s="28">
        <f>IFERROR(IF(COUNT(Raw_Data!D167:O167)=0,"",AVERAGE(Raw_Data!D167:O167)/100),"")</f>
        <v>0.93590000000000007</v>
      </c>
      <c r="E167" s="28">
        <f>IFERROR(IF(COUNT(Raw_Data!P167:AA167)=0,"",AVERAGE(Raw_Data!P167:AA167)/100),"")</f>
        <v>0.33329999999999999</v>
      </c>
      <c r="F167" s="30">
        <f>IFERROR(IF(COUNT(Raw_Data!AB167:AM167)=0,"",SUM(Raw_Data!AB167:AM167)),"")</f>
        <v>601</v>
      </c>
      <c r="G167" s="30">
        <f>IFERROR(IF(COUNT(Raw_Data!AN167:AY167)=0,"",SUM(Raw_Data!AN167:AY167)),"")</f>
        <v>625</v>
      </c>
      <c r="H167" s="30">
        <f>IFERROR(IF(COUNT(Raw_Data!AZ167:BK167)=0,"",SUM(Raw_Data!AZ167:BK167)),"")</f>
        <v>251</v>
      </c>
      <c r="I167" s="30">
        <f>IFERROR(IF(COUNT(Raw_Data!BL167:BW167)=0,"",SUM(Raw_Data!BL167:BW167)),"")</f>
        <v>48</v>
      </c>
      <c r="J167" s="30">
        <f>IFERROR(IF(COUNT(Raw_Data!BX167:CI167)=0,"",SUM(Raw_Data!BX167:CI167)),"")</f>
        <v>2</v>
      </c>
      <c r="K167" s="28">
        <f t="shared" si="14"/>
        <v>1.0399334442595674</v>
      </c>
      <c r="L167" s="28">
        <f t="shared" si="15"/>
        <v>-3.9933444259567387E-2</v>
      </c>
      <c r="M167" s="28">
        <f t="shared" si="16"/>
        <v>0.19123505976095617</v>
      </c>
      <c r="N167" s="28">
        <f t="shared" si="17"/>
        <v>7.9681274900398405E-3</v>
      </c>
      <c r="O167" s="7" t="str">
        <f t="shared" si="18"/>
        <v>Invalid</v>
      </c>
      <c r="P167" s="13" t="str">
        <f t="shared" si="19"/>
        <v>Valid</v>
      </c>
      <c r="Q167" s="7" t="str">
        <f t="shared" si="20"/>
        <v>Invalid</v>
      </c>
    </row>
    <row r="168" spans="1:17" ht="105">
      <c r="A168" s="7" t="str">
        <f>IF(Raw_Data!A168="","",TRIM(SUBSTITUTE(CLEAN(Raw_Data!A168),CHAR(160)," ")))</f>
        <v>Gwagwalada Local Government Area</v>
      </c>
      <c r="B168" s="7" t="str">
        <f>IF(Raw_Data!B168="","",TRIM(SUBSTITUTE(CLEAN(Raw_Data!B168),CHAR(160)," ")))</f>
        <v>Quarters Ward</v>
      </c>
      <c r="C168" s="7" t="str">
        <f>IF(Raw_Data!C168="","",TRIM(SUBSTITUTE(CLEAN(Raw_Data!C168),CHAR(160)," ")))</f>
        <v>Jehovah Adonai Eagle Hospital Ltd, Phase 1, Quarters</v>
      </c>
      <c r="D168" s="28" t="str">
        <f>IFERROR(IF(COUNT(Raw_Data!D168:O168)=0,"",AVERAGE(Raw_Data!D168:O168)/100),"")</f>
        <v/>
      </c>
      <c r="E168" s="28" t="str">
        <f>IFERROR(IF(COUNT(Raw_Data!P168:AA168)=0,"",AVERAGE(Raw_Data!P168:AA168)/100),"")</f>
        <v/>
      </c>
      <c r="F168" s="30" t="str">
        <f>IFERROR(IF(COUNT(Raw_Data!AB168:AM168)=0,"",SUM(Raw_Data!AB168:AM168)),"")</f>
        <v/>
      </c>
      <c r="G168" s="30" t="str">
        <f>IFERROR(IF(COUNT(Raw_Data!AN168:AY168)=0,"",SUM(Raw_Data!AN168:AY168)),"")</f>
        <v/>
      </c>
      <c r="H168" s="30">
        <f>IFERROR(IF(COUNT(Raw_Data!AZ168:BK168)=0,"",SUM(Raw_Data!AZ168:BK168)),"")</f>
        <v>40</v>
      </c>
      <c r="I168" s="30">
        <f>IFERROR(IF(COUNT(Raw_Data!BL168:BW168)=0,"",SUM(Raw_Data!BL168:BW168)),"")</f>
        <v>26</v>
      </c>
      <c r="J168" s="30">
        <f>IFERROR(IF(COUNT(Raw_Data!BX168:CI168)=0,"",SUM(Raw_Data!BX168:CI168)),"")</f>
        <v>61</v>
      </c>
      <c r="K168" s="28" t="str">
        <f t="shared" si="14"/>
        <v/>
      </c>
      <c r="L168" s="28" t="str">
        <f t="shared" si="15"/>
        <v/>
      </c>
      <c r="M168" s="28">
        <f t="shared" si="16"/>
        <v>0.65</v>
      </c>
      <c r="N168" s="28">
        <f t="shared" si="17"/>
        <v>1.5249999999999999</v>
      </c>
      <c r="O168" s="7" t="str">
        <f t="shared" si="18"/>
        <v>No Data</v>
      </c>
      <c r="P168" s="13" t="str">
        <f t="shared" si="19"/>
        <v>Invalid</v>
      </c>
      <c r="Q168" s="7" t="str">
        <f t="shared" si="20"/>
        <v>No Data</v>
      </c>
    </row>
    <row r="169" spans="1:17" ht="60">
      <c r="A169" s="7" t="str">
        <f>IF(Raw_Data!A169="","",TRIM(SUBSTITUTE(CLEAN(Raw_Data!A169),CHAR(160)," ")))</f>
        <v>Gwagwalada Local Government Area</v>
      </c>
      <c r="B169" s="7" t="str">
        <f>IF(Raw_Data!B169="","",TRIM(SUBSTITUTE(CLEAN(Raw_Data!B169),CHAR(160)," ")))</f>
        <v>Kutunku Ward</v>
      </c>
      <c r="C169" s="7" t="str">
        <f>IF(Raw_Data!C169="","",TRIM(SUBSTITUTE(CLEAN(Raw_Data!C169),CHAR(160)," ")))</f>
        <v>Jeraba Hospital</v>
      </c>
      <c r="D169" s="28" t="str">
        <f>IFERROR(IF(COUNT(Raw_Data!D169:O169)=0,"",AVERAGE(Raw_Data!D169:O169)/100),"")</f>
        <v/>
      </c>
      <c r="E169" s="28" t="str">
        <f>IFERROR(IF(COUNT(Raw_Data!P169:AA169)=0,"",AVERAGE(Raw_Data!P169:AA169)/100),"")</f>
        <v/>
      </c>
      <c r="F169" s="30">
        <f>IFERROR(IF(COUNT(Raw_Data!AB169:AM169)=0,"",SUM(Raw_Data!AB169:AM169)),"")</f>
        <v>149</v>
      </c>
      <c r="G169" s="30">
        <f>IFERROR(IF(COUNT(Raw_Data!AN169:AY169)=0,"",SUM(Raw_Data!AN169:AY169)),"")</f>
        <v>159</v>
      </c>
      <c r="H169" s="30">
        <f>IFERROR(IF(COUNT(Raw_Data!AZ169:BK169)=0,"",SUM(Raw_Data!AZ169:BK169)),"")</f>
        <v>55</v>
      </c>
      <c r="I169" s="30">
        <f>IFERROR(IF(COUNT(Raw_Data!BL169:BW169)=0,"",SUM(Raw_Data!BL169:BW169)),"")</f>
        <v>64</v>
      </c>
      <c r="J169" s="30">
        <f>IFERROR(IF(COUNT(Raw_Data!BX169:CI169)=0,"",SUM(Raw_Data!BX169:CI169)),"")</f>
        <v>24</v>
      </c>
      <c r="K169" s="28">
        <f t="shared" si="14"/>
        <v>1.0671140939597314</v>
      </c>
      <c r="L169" s="28">
        <f t="shared" si="15"/>
        <v>-6.7114093959731544E-2</v>
      </c>
      <c r="M169" s="28">
        <f t="shared" si="16"/>
        <v>1.1636363636363636</v>
      </c>
      <c r="N169" s="28">
        <f t="shared" si="17"/>
        <v>0.43636363636363634</v>
      </c>
      <c r="O169" s="7" t="str">
        <f t="shared" si="18"/>
        <v>Invalid</v>
      </c>
      <c r="P169" s="13" t="str">
        <f t="shared" si="19"/>
        <v>Invalid</v>
      </c>
      <c r="Q169" s="7" t="str">
        <f t="shared" si="20"/>
        <v>Invalid</v>
      </c>
    </row>
    <row r="170" spans="1:17" ht="60">
      <c r="A170" s="7" t="str">
        <f>IF(Raw_Data!A170="","",TRIM(SUBSTITUTE(CLEAN(Raw_Data!A170),CHAR(160)," ")))</f>
        <v>Bwari Local Government Area</v>
      </c>
      <c r="B170" s="7" t="str">
        <f>IF(Raw_Data!B170="","",TRIM(SUBSTITUTE(CLEAN(Raw_Data!B170),CHAR(160)," ")))</f>
        <v>Kubwa Ward</v>
      </c>
      <c r="C170" s="7" t="str">
        <f>IF(Raw_Data!C170="","",TRIM(SUBSTITUTE(CLEAN(Raw_Data!C170),CHAR(160)," ")))</f>
        <v>Jethrone Hospital</v>
      </c>
      <c r="D170" s="28" t="str">
        <f>IFERROR(IF(COUNT(Raw_Data!D170:O170)=0,"",AVERAGE(Raw_Data!D170:O170)/100),"")</f>
        <v/>
      </c>
      <c r="E170" s="28" t="str">
        <f>IFERROR(IF(COUNT(Raw_Data!P170:AA170)=0,"",AVERAGE(Raw_Data!P170:AA170)/100),"")</f>
        <v/>
      </c>
      <c r="F170" s="30">
        <f>IFERROR(IF(COUNT(Raw_Data!AB170:AM170)=0,"",SUM(Raw_Data!AB170:AM170)),"")</f>
        <v>91</v>
      </c>
      <c r="G170" s="30">
        <f>IFERROR(IF(COUNT(Raw_Data!AN170:AY170)=0,"",SUM(Raw_Data!AN170:AY170)),"")</f>
        <v>91</v>
      </c>
      <c r="H170" s="30">
        <f>IFERROR(IF(COUNT(Raw_Data!AZ170:BK170)=0,"",SUM(Raw_Data!AZ170:BK170)),"")</f>
        <v>32</v>
      </c>
      <c r="I170" s="30">
        <f>IFERROR(IF(COUNT(Raw_Data!BL170:BW170)=0,"",SUM(Raw_Data!BL170:BW170)),"")</f>
        <v>6</v>
      </c>
      <c r="J170" s="30">
        <f>IFERROR(IF(COUNT(Raw_Data!BX170:CI170)=0,"",SUM(Raw_Data!BX170:CI170)),"")</f>
        <v>3</v>
      </c>
      <c r="K170" s="28">
        <f t="shared" si="14"/>
        <v>1</v>
      </c>
      <c r="L170" s="28">
        <f t="shared" si="15"/>
        <v>0</v>
      </c>
      <c r="M170" s="28">
        <f t="shared" si="16"/>
        <v>0.1875</v>
      </c>
      <c r="N170" s="28">
        <f t="shared" si="17"/>
        <v>9.375E-2</v>
      </c>
      <c r="O170" s="7" t="str">
        <f t="shared" si="18"/>
        <v>Valid</v>
      </c>
      <c r="P170" s="13" t="str">
        <f t="shared" si="19"/>
        <v>Valid</v>
      </c>
      <c r="Q170" s="7" t="str">
        <f t="shared" si="20"/>
        <v>Valid</v>
      </c>
    </row>
    <row r="171" spans="1:17" ht="60">
      <c r="A171" s="7" t="str">
        <f>IF(Raw_Data!A171="","",TRIM(SUBSTITUTE(CLEAN(Raw_Data!A171),CHAR(160)," ")))</f>
        <v>Bwari Local Government Area</v>
      </c>
      <c r="B171" s="7" t="str">
        <f>IF(Raw_Data!B171="","",TRIM(SUBSTITUTE(CLEAN(Raw_Data!B171),CHAR(160)," ")))</f>
        <v>Ushafa Ward</v>
      </c>
      <c r="C171" s="7" t="str">
        <f>IF(Raw_Data!C171="","",TRIM(SUBSTITUTE(CLEAN(Raw_Data!C171),CHAR(160)," ")))</f>
        <v>Jigo Primary Health Clinic</v>
      </c>
      <c r="D171" s="28">
        <f>IFERROR(IF(COUNT(Raw_Data!D171:O171)=0,"",AVERAGE(Raw_Data!D171:O171)/100),"")</f>
        <v>1</v>
      </c>
      <c r="E171" s="28">
        <f>IFERROR(IF(COUNT(Raw_Data!P171:AA171)=0,"",AVERAGE(Raw_Data!P171:AA171)/100),"")</f>
        <v>1</v>
      </c>
      <c r="F171" s="30">
        <f>IFERROR(IF(COUNT(Raw_Data!AB171:AM171)=0,"",SUM(Raw_Data!AB171:AM171)),"")</f>
        <v>251</v>
      </c>
      <c r="G171" s="30">
        <f>IFERROR(IF(COUNT(Raw_Data!AN171:AY171)=0,"",SUM(Raw_Data!AN171:AY171)),"")</f>
        <v>451</v>
      </c>
      <c r="H171" s="30">
        <f>IFERROR(IF(COUNT(Raw_Data!AZ171:BK171)=0,"",SUM(Raw_Data!AZ171:BK171)),"")</f>
        <v>149</v>
      </c>
      <c r="I171" s="30">
        <f>IFERROR(IF(COUNT(Raw_Data!BL171:BW171)=0,"",SUM(Raw_Data!BL171:BW171)),"")</f>
        <v>65</v>
      </c>
      <c r="J171" s="30">
        <f>IFERROR(IF(COUNT(Raw_Data!BX171:CI171)=0,"",SUM(Raw_Data!BX171:CI171)),"")</f>
        <v>2</v>
      </c>
      <c r="K171" s="28">
        <f t="shared" si="14"/>
        <v>1.796812749003984</v>
      </c>
      <c r="L171" s="28">
        <f t="shared" si="15"/>
        <v>-0.79681274900398402</v>
      </c>
      <c r="M171" s="28">
        <f t="shared" si="16"/>
        <v>0.43624161073825501</v>
      </c>
      <c r="N171" s="28">
        <f t="shared" si="17"/>
        <v>1.3422818791946308E-2</v>
      </c>
      <c r="O171" s="7" t="str">
        <f t="shared" si="18"/>
        <v>Invalid</v>
      </c>
      <c r="P171" s="13" t="str">
        <f t="shared" si="19"/>
        <v>Valid</v>
      </c>
      <c r="Q171" s="7" t="str">
        <f t="shared" si="20"/>
        <v>Invalid</v>
      </c>
    </row>
    <row r="172" spans="1:17" ht="60">
      <c r="A172" s="7" t="str">
        <f>IF(Raw_Data!A172="","",TRIM(SUBSTITUTE(CLEAN(Raw_Data!A172),CHAR(160)," ")))</f>
        <v>Bwari Local Government Area</v>
      </c>
      <c r="B172" s="7" t="str">
        <f>IF(Raw_Data!B172="","",TRIM(SUBSTITUTE(CLEAN(Raw_Data!B172),CHAR(160)," ")))</f>
        <v>Dutse Ward</v>
      </c>
      <c r="C172" s="7" t="str">
        <f>IF(Raw_Data!C172="","",TRIM(SUBSTITUTE(CLEAN(Raw_Data!C172),CHAR(160)," ")))</f>
        <v>Jikoko Primary Health Clinic</v>
      </c>
      <c r="D172" s="28">
        <f>IFERROR(IF(COUNT(Raw_Data!D172:O172)=0,"",AVERAGE(Raw_Data!D172:O172)/100),"")</f>
        <v>0.96875</v>
      </c>
      <c r="E172" s="28">
        <f>IFERROR(IF(COUNT(Raw_Data!P172:AA172)=0,"",AVERAGE(Raw_Data!P172:AA172)/100),"")</f>
        <v>0.5</v>
      </c>
      <c r="F172" s="30">
        <f>IFERROR(IF(COUNT(Raw_Data!AB172:AM172)=0,"",SUM(Raw_Data!AB172:AM172)),"")</f>
        <v>89</v>
      </c>
      <c r="G172" s="30">
        <f>IFERROR(IF(COUNT(Raw_Data!AN172:AY172)=0,"",SUM(Raw_Data!AN172:AY172)),"")</f>
        <v>74</v>
      </c>
      <c r="H172" s="30">
        <f>IFERROR(IF(COUNT(Raw_Data!AZ172:BK172)=0,"",SUM(Raw_Data!AZ172:BK172)),"")</f>
        <v>27</v>
      </c>
      <c r="I172" s="30">
        <f>IFERROR(IF(COUNT(Raw_Data!BL172:BW172)=0,"",SUM(Raw_Data!BL172:BW172)),"")</f>
        <v>22</v>
      </c>
      <c r="J172" s="30">
        <f>IFERROR(IF(COUNT(Raw_Data!BX172:CI172)=0,"",SUM(Raw_Data!BX172:CI172)),"")</f>
        <v>17</v>
      </c>
      <c r="K172" s="28">
        <f t="shared" si="14"/>
        <v>0.8314606741573034</v>
      </c>
      <c r="L172" s="28">
        <f t="shared" si="15"/>
        <v>0.16853932584269662</v>
      </c>
      <c r="M172" s="28">
        <f t="shared" si="16"/>
        <v>0.81481481481481477</v>
      </c>
      <c r="N172" s="28">
        <f t="shared" si="17"/>
        <v>0.62962962962962965</v>
      </c>
      <c r="O172" s="7" t="str">
        <f t="shared" si="18"/>
        <v>Valid</v>
      </c>
      <c r="P172" s="13" t="str">
        <f t="shared" si="19"/>
        <v>Valid</v>
      </c>
      <c r="Q172" s="7" t="str">
        <f t="shared" si="20"/>
        <v>Valid</v>
      </c>
    </row>
    <row r="173" spans="1:17" ht="60">
      <c r="A173" s="7" t="str">
        <f>IF(Raw_Data!A173="","",TRIM(SUBSTITUTE(CLEAN(Raw_Data!A173),CHAR(160)," ")))</f>
        <v>Abuja Municipal Area Council</v>
      </c>
      <c r="B173" s="7" t="str">
        <f>IF(Raw_Data!B173="","",TRIM(SUBSTITUTE(CLEAN(Raw_Data!B173),CHAR(160)," ")))</f>
        <v>Karu Ward</v>
      </c>
      <c r="C173" s="7" t="str">
        <f>IF(Raw_Data!C173="","",TRIM(SUBSTITUTE(CLEAN(Raw_Data!C173),CHAR(160)," ")))</f>
        <v>Jikoyi Medical Center</v>
      </c>
      <c r="D173" s="28">
        <f>IFERROR(IF(COUNT(Raw_Data!D173:O173)=0,"",AVERAGE(Raw_Data!D173:O173)/100),"")</f>
        <v>1</v>
      </c>
      <c r="E173" s="28" t="str">
        <f>IFERROR(IF(COUNT(Raw_Data!P173:AA173)=0,"",AVERAGE(Raw_Data!P173:AA173)/100),"")</f>
        <v/>
      </c>
      <c r="F173" s="30">
        <f>IFERROR(IF(COUNT(Raw_Data!AB173:AM173)=0,"",SUM(Raw_Data!AB173:AM173)),"")</f>
        <v>415</v>
      </c>
      <c r="G173" s="30">
        <f>IFERROR(IF(COUNT(Raw_Data!AN173:AY173)=0,"",SUM(Raw_Data!AN173:AY173)),"")</f>
        <v>247</v>
      </c>
      <c r="H173" s="30">
        <f>IFERROR(IF(COUNT(Raw_Data!AZ173:BK173)=0,"",SUM(Raw_Data!AZ173:BK173)),"")</f>
        <v>74</v>
      </c>
      <c r="I173" s="30">
        <f>IFERROR(IF(COUNT(Raw_Data!BL173:BW173)=0,"",SUM(Raw_Data!BL173:BW173)),"")</f>
        <v>88</v>
      </c>
      <c r="J173" s="30">
        <f>IFERROR(IF(COUNT(Raw_Data!BX173:CI173)=0,"",SUM(Raw_Data!BX173:CI173)),"")</f>
        <v>44</v>
      </c>
      <c r="K173" s="28">
        <f t="shared" si="14"/>
        <v>0.59518072289156632</v>
      </c>
      <c r="L173" s="28">
        <f t="shared" si="15"/>
        <v>0.40481927710843374</v>
      </c>
      <c r="M173" s="28">
        <f t="shared" si="16"/>
        <v>1.1891891891891893</v>
      </c>
      <c r="N173" s="28">
        <f t="shared" si="17"/>
        <v>0.59459459459459463</v>
      </c>
      <c r="O173" s="7" t="str">
        <f t="shared" si="18"/>
        <v>Valid</v>
      </c>
      <c r="P173" s="13" t="str">
        <f t="shared" si="19"/>
        <v>Invalid</v>
      </c>
      <c r="Q173" s="7" t="str">
        <f t="shared" si="20"/>
        <v>Invalid</v>
      </c>
    </row>
    <row r="174" spans="1:17" ht="60">
      <c r="A174" s="7" t="str">
        <f>IF(Raw_Data!A174="","",TRIM(SUBSTITUTE(CLEAN(Raw_Data!A174),CHAR(160)," ")))</f>
        <v>Abuja Municipal Area Council</v>
      </c>
      <c r="B174" s="7" t="str">
        <f>IF(Raw_Data!B174="","",TRIM(SUBSTITUTE(CLEAN(Raw_Data!B174),CHAR(160)," ")))</f>
        <v>Karu Ward</v>
      </c>
      <c r="C174" s="7" t="str">
        <f>IF(Raw_Data!C174="","",TRIM(SUBSTITUTE(CLEAN(Raw_Data!C174),CHAR(160)," ")))</f>
        <v>Jikwoyi Primary Health Clinic</v>
      </c>
      <c r="D174" s="28">
        <f>IFERROR(IF(COUNT(Raw_Data!D174:O174)=0,"",AVERAGE(Raw_Data!D174:O174)/100),"")</f>
        <v>0.94678181818181828</v>
      </c>
      <c r="E174" s="28">
        <f>IFERROR(IF(COUNT(Raw_Data!P174:AA174)=0,"",AVERAGE(Raw_Data!P174:AA174)/100),"")</f>
        <v>0.92272727272727262</v>
      </c>
      <c r="F174" s="30">
        <f>IFERROR(IF(COUNT(Raw_Data!AB174:AM174)=0,"",SUM(Raw_Data!AB174:AM174)),"")</f>
        <v>1246</v>
      </c>
      <c r="G174" s="30">
        <f>IFERROR(IF(COUNT(Raw_Data!AN174:AY174)=0,"",SUM(Raw_Data!AN174:AY174)),"")</f>
        <v>1267</v>
      </c>
      <c r="H174" s="30">
        <f>IFERROR(IF(COUNT(Raw_Data!AZ174:BK174)=0,"",SUM(Raw_Data!AZ174:BK174)),"")</f>
        <v>250</v>
      </c>
      <c r="I174" s="30">
        <f>IFERROR(IF(COUNT(Raw_Data!BL174:BW174)=0,"",SUM(Raw_Data!BL174:BW174)),"")</f>
        <v>145</v>
      </c>
      <c r="J174" s="30">
        <f>IFERROR(IF(COUNT(Raw_Data!BX174:CI174)=0,"",SUM(Raw_Data!BX174:CI174)),"")</f>
        <v>56</v>
      </c>
      <c r="K174" s="28">
        <f t="shared" si="14"/>
        <v>1.0168539325842696</v>
      </c>
      <c r="L174" s="28">
        <f t="shared" si="15"/>
        <v>-1.6853932584269662E-2</v>
      </c>
      <c r="M174" s="28">
        <f t="shared" si="16"/>
        <v>0.57999999999999996</v>
      </c>
      <c r="N174" s="28">
        <f t="shared" si="17"/>
        <v>0.224</v>
      </c>
      <c r="O174" s="7" t="str">
        <f t="shared" si="18"/>
        <v>Invalid</v>
      </c>
      <c r="P174" s="13" t="str">
        <f t="shared" si="19"/>
        <v>Valid</v>
      </c>
      <c r="Q174" s="7" t="str">
        <f t="shared" si="20"/>
        <v>Invalid</v>
      </c>
    </row>
    <row r="175" spans="1:17" ht="75">
      <c r="A175" s="7" t="str">
        <f>IF(Raw_Data!A175="","",TRIM(SUBSTITUTE(CLEAN(Raw_Data!A175),CHAR(160)," ")))</f>
        <v>Abuja Municipal Area Council</v>
      </c>
      <c r="B175" s="7" t="str">
        <f>IF(Raw_Data!B175="","",TRIM(SUBSTITUTE(CLEAN(Raw_Data!B175),CHAR(160)," ")))</f>
        <v>Jiwa Ward</v>
      </c>
      <c r="C175" s="7" t="str">
        <f>IF(Raw_Data!C175="","",TRIM(SUBSTITUTE(CLEAN(Raw_Data!C175),CHAR(160)," ")))</f>
        <v>Jiwa Primary Health Care Center</v>
      </c>
      <c r="D175" s="28">
        <f>IFERROR(IF(COUNT(Raw_Data!D175:O175)=0,"",AVERAGE(Raw_Data!D175:O175)/100),"")</f>
        <v>0.92319000000000007</v>
      </c>
      <c r="E175" s="28">
        <f>IFERROR(IF(COUNT(Raw_Data!P175:AA175)=0,"",AVERAGE(Raw_Data!P175:AA175)/100),"")</f>
        <v>0.58333333333333337</v>
      </c>
      <c r="F175" s="30">
        <f>IFERROR(IF(COUNT(Raw_Data!AB175:AM175)=0,"",SUM(Raw_Data!AB175:AM175)),"")</f>
        <v>1065</v>
      </c>
      <c r="G175" s="30">
        <f>IFERROR(IF(COUNT(Raw_Data!AN175:AY175)=0,"",SUM(Raw_Data!AN175:AY175)),"")</f>
        <v>959</v>
      </c>
      <c r="H175" s="30">
        <f>IFERROR(IF(COUNT(Raw_Data!AZ175:BK175)=0,"",SUM(Raw_Data!AZ175:BK175)),"")</f>
        <v>295</v>
      </c>
      <c r="I175" s="30">
        <f>IFERROR(IF(COUNT(Raw_Data!BL175:BW175)=0,"",SUM(Raw_Data!BL175:BW175)),"")</f>
        <v>127</v>
      </c>
      <c r="J175" s="30">
        <f>IFERROR(IF(COUNT(Raw_Data!BX175:CI175)=0,"",SUM(Raw_Data!BX175:CI175)),"")</f>
        <v>10</v>
      </c>
      <c r="K175" s="28">
        <f t="shared" si="14"/>
        <v>0.9004694835680751</v>
      </c>
      <c r="L175" s="28">
        <f t="shared" si="15"/>
        <v>9.9530516431924884E-2</v>
      </c>
      <c r="M175" s="28">
        <f t="shared" si="16"/>
        <v>0.43050847457627117</v>
      </c>
      <c r="N175" s="28">
        <f t="shared" si="17"/>
        <v>3.3898305084745763E-2</v>
      </c>
      <c r="O175" s="7" t="str">
        <f t="shared" si="18"/>
        <v>Valid</v>
      </c>
      <c r="P175" s="13" t="str">
        <f t="shared" si="19"/>
        <v>Valid</v>
      </c>
      <c r="Q175" s="7" t="str">
        <f t="shared" si="20"/>
        <v>Valid</v>
      </c>
    </row>
    <row r="176" spans="1:17" ht="90">
      <c r="A176" s="7" t="str">
        <f>IF(Raw_Data!A176="","",TRIM(SUBSTITUTE(CLEAN(Raw_Data!A176),CHAR(160)," ")))</f>
        <v>Gwagwalada Local Government Area</v>
      </c>
      <c r="B176" s="7" t="str">
        <f>IF(Raw_Data!B176="","",TRIM(SUBSTITUTE(CLEAN(Raw_Data!B176),CHAR(160)," ")))</f>
        <v>Gwako Ward</v>
      </c>
      <c r="C176" s="7" t="str">
        <f>IF(Raw_Data!C176="","",TRIM(SUBSTITUTE(CLEAN(Raw_Data!C176),CHAR(160)," ")))</f>
        <v>Joefag Alheri Clinic and Maternity</v>
      </c>
      <c r="D176" s="28">
        <f>IFERROR(IF(COUNT(Raw_Data!D176:O176)=0,"",AVERAGE(Raw_Data!D176:O176)/100),"")</f>
        <v>1</v>
      </c>
      <c r="E176" s="28" t="str">
        <f>IFERROR(IF(COUNT(Raw_Data!P176:AA176)=0,"",AVERAGE(Raw_Data!P176:AA176)/100),"")</f>
        <v/>
      </c>
      <c r="F176" s="30">
        <f>IFERROR(IF(COUNT(Raw_Data!AB176:AM176)=0,"",SUM(Raw_Data!AB176:AM176)),"")</f>
        <v>187</v>
      </c>
      <c r="G176" s="30">
        <f>IFERROR(IF(COUNT(Raw_Data!AN176:AY176)=0,"",SUM(Raw_Data!AN176:AY176)),"")</f>
        <v>195</v>
      </c>
      <c r="H176" s="30">
        <f>IFERROR(IF(COUNT(Raw_Data!AZ176:BK176)=0,"",SUM(Raw_Data!AZ176:BK176)),"")</f>
        <v>329</v>
      </c>
      <c r="I176" s="30">
        <f>IFERROR(IF(COUNT(Raw_Data!BL176:BW176)=0,"",SUM(Raw_Data!BL176:BW176)),"")</f>
        <v>139</v>
      </c>
      <c r="J176" s="30">
        <f>IFERROR(IF(COUNT(Raw_Data!BX176:CI176)=0,"",SUM(Raw_Data!BX176:CI176)),"")</f>
        <v>40</v>
      </c>
      <c r="K176" s="28">
        <f t="shared" si="14"/>
        <v>1.0427807486631016</v>
      </c>
      <c r="L176" s="28">
        <f t="shared" si="15"/>
        <v>-4.2780748663101602E-2</v>
      </c>
      <c r="M176" s="28">
        <f t="shared" si="16"/>
        <v>0.42249240121580545</v>
      </c>
      <c r="N176" s="28">
        <f t="shared" si="17"/>
        <v>0.12158054711246201</v>
      </c>
      <c r="O176" s="7" t="str">
        <f t="shared" si="18"/>
        <v>Invalid</v>
      </c>
      <c r="P176" s="13" t="str">
        <f t="shared" si="19"/>
        <v>Valid</v>
      </c>
      <c r="Q176" s="7" t="str">
        <f t="shared" si="20"/>
        <v>Invalid</v>
      </c>
    </row>
    <row r="177" spans="1:17" ht="75">
      <c r="A177" s="7" t="str">
        <f>IF(Raw_Data!A177="","",TRIM(SUBSTITUTE(CLEAN(Raw_Data!A177),CHAR(160)," ")))</f>
        <v>Kuje Local Government Area</v>
      </c>
      <c r="B177" s="7" t="str">
        <f>IF(Raw_Data!B177="","",TRIM(SUBSTITUTE(CLEAN(Raw_Data!B177),CHAR(160)," ")))</f>
        <v>Kabi Ward</v>
      </c>
      <c r="C177" s="7" t="str">
        <f>IF(Raw_Data!C177="","",TRIM(SUBSTITUTE(CLEAN(Raw_Data!C177),CHAR(160)," ")))</f>
        <v>Kabin Kassa Primary Health Centre</v>
      </c>
      <c r="D177" s="28">
        <f>IFERROR(IF(COUNT(Raw_Data!D177:O177)=0,"",AVERAGE(Raw_Data!D177:O177)/100),"")</f>
        <v>1</v>
      </c>
      <c r="E177" s="28">
        <f>IFERROR(IF(COUNT(Raw_Data!P177:AA177)=0,"",AVERAGE(Raw_Data!P177:AA177)/100),"")</f>
        <v>1</v>
      </c>
      <c r="F177" s="30">
        <f>IFERROR(IF(COUNT(Raw_Data!AB177:AM177)=0,"",SUM(Raw_Data!AB177:AM177)),"")</f>
        <v>223</v>
      </c>
      <c r="G177" s="30">
        <f>IFERROR(IF(COUNT(Raw_Data!AN177:AY177)=0,"",SUM(Raw_Data!AN177:AY177)),"")</f>
        <v>170</v>
      </c>
      <c r="H177" s="30">
        <f>IFERROR(IF(COUNT(Raw_Data!AZ177:BK177)=0,"",SUM(Raw_Data!AZ177:BK177)),"")</f>
        <v>103</v>
      </c>
      <c r="I177" s="30">
        <f>IFERROR(IF(COUNT(Raw_Data!BL177:BW177)=0,"",SUM(Raw_Data!BL177:BW177)),"")</f>
        <v>12</v>
      </c>
      <c r="J177" s="30" t="str">
        <f>IFERROR(IF(COUNT(Raw_Data!BX177:CI177)=0,"",SUM(Raw_Data!BX177:CI177)),"")</f>
        <v/>
      </c>
      <c r="K177" s="28">
        <f t="shared" si="14"/>
        <v>0.7623318385650224</v>
      </c>
      <c r="L177" s="28">
        <f t="shared" si="15"/>
        <v>0.23766816143497757</v>
      </c>
      <c r="M177" s="28">
        <f t="shared" si="16"/>
        <v>0.11650485436893204</v>
      </c>
      <c r="N177" s="28" t="str">
        <f t="shared" si="17"/>
        <v/>
      </c>
      <c r="O177" s="7" t="str">
        <f t="shared" si="18"/>
        <v>Valid</v>
      </c>
      <c r="P177" s="13" t="str">
        <f t="shared" si="19"/>
        <v>Incomplete</v>
      </c>
      <c r="Q177" s="7" t="str">
        <f t="shared" si="20"/>
        <v>Incomplete</v>
      </c>
    </row>
    <row r="178" spans="1:17" ht="75">
      <c r="A178" s="7" t="str">
        <f>IF(Raw_Data!A178="","",TRIM(SUBSTITUTE(CLEAN(Raw_Data!A178),CHAR(160)," ")))</f>
        <v>Kuje Local Government Area</v>
      </c>
      <c r="B178" s="7" t="str">
        <f>IF(Raw_Data!B178="","",TRIM(SUBSTITUTE(CLEAN(Raw_Data!B178),CHAR(160)," ")))</f>
        <v>Kabi Ward</v>
      </c>
      <c r="C178" s="7" t="str">
        <f>IF(Raw_Data!C178="","",TRIM(SUBSTITUTE(CLEAN(Raw_Data!C178),CHAR(160)," ")))</f>
        <v>Kabin Mangoro Primary Health Centre</v>
      </c>
      <c r="D178" s="28">
        <f>IFERROR(IF(COUNT(Raw_Data!D178:O178)=0,"",AVERAGE(Raw_Data!D178:O178)/100),"")</f>
        <v>0.75</v>
      </c>
      <c r="E178" s="28">
        <f>IFERROR(IF(COUNT(Raw_Data!P178:AA178)=0,"",AVERAGE(Raw_Data!P178:AA178)/100),"")</f>
        <v>0.75</v>
      </c>
      <c r="F178" s="30">
        <f>IFERROR(IF(COUNT(Raw_Data!AB178:AM178)=0,"",SUM(Raw_Data!AB178:AM178)),"")</f>
        <v>108</v>
      </c>
      <c r="G178" s="30">
        <f>IFERROR(IF(COUNT(Raw_Data!AN178:AY178)=0,"",SUM(Raw_Data!AN178:AY178)),"")</f>
        <v>130</v>
      </c>
      <c r="H178" s="30">
        <f>IFERROR(IF(COUNT(Raw_Data!AZ178:BK178)=0,"",SUM(Raw_Data!AZ178:BK178)),"")</f>
        <v>64</v>
      </c>
      <c r="I178" s="30">
        <f>IFERROR(IF(COUNT(Raw_Data!BL178:BW178)=0,"",SUM(Raw_Data!BL178:BW178)),"")</f>
        <v>9</v>
      </c>
      <c r="J178" s="30" t="str">
        <f>IFERROR(IF(COUNT(Raw_Data!BX178:CI178)=0,"",SUM(Raw_Data!BX178:CI178)),"")</f>
        <v/>
      </c>
      <c r="K178" s="28">
        <f t="shared" si="14"/>
        <v>1.2037037037037037</v>
      </c>
      <c r="L178" s="28">
        <f t="shared" si="15"/>
        <v>-0.20370370370370369</v>
      </c>
      <c r="M178" s="28">
        <f t="shared" si="16"/>
        <v>0.140625</v>
      </c>
      <c r="N178" s="28" t="str">
        <f t="shared" si="17"/>
        <v/>
      </c>
      <c r="O178" s="7" t="str">
        <f t="shared" si="18"/>
        <v>Invalid</v>
      </c>
      <c r="P178" s="13" t="str">
        <f t="shared" si="19"/>
        <v>Incomplete</v>
      </c>
      <c r="Q178" s="7" t="str">
        <f t="shared" si="20"/>
        <v>Incomplete</v>
      </c>
    </row>
    <row r="179" spans="1:17" ht="75">
      <c r="A179" s="7" t="str">
        <f>IF(Raw_Data!A179="","",TRIM(SUBSTITUTE(CLEAN(Raw_Data!A179),CHAR(160)," ")))</f>
        <v>Abuja Municipal Area Council</v>
      </c>
      <c r="B179" s="7" t="str">
        <f>IF(Raw_Data!B179="","",TRIM(SUBSTITUTE(CLEAN(Raw_Data!B179),CHAR(160)," ")))</f>
        <v>Kabusa Ward</v>
      </c>
      <c r="C179" s="7" t="str">
        <f>IF(Raw_Data!C179="","",TRIM(SUBSTITUTE(CLEAN(Raw_Data!C179),CHAR(160)," ")))</f>
        <v>Kabusa Primary Health Care Center</v>
      </c>
      <c r="D179" s="28">
        <f>IFERROR(IF(COUNT(Raw_Data!D179:O179)=0,"",AVERAGE(Raw_Data!D179:O179)/100),"")</f>
        <v>0.9595999999999999</v>
      </c>
      <c r="E179" s="28">
        <f>IFERROR(IF(COUNT(Raw_Data!P179:AA179)=0,"",AVERAGE(Raw_Data!P179:AA179)/100),"")</f>
        <v>0.33333333333333337</v>
      </c>
      <c r="F179" s="30">
        <f>IFERROR(IF(COUNT(Raw_Data!AB179:AM179)=0,"",SUM(Raw_Data!AB179:AM179)),"")</f>
        <v>1212</v>
      </c>
      <c r="G179" s="30">
        <f>IFERROR(IF(COUNT(Raw_Data!AN179:AY179)=0,"",SUM(Raw_Data!AN179:AY179)),"")</f>
        <v>1154</v>
      </c>
      <c r="H179" s="30">
        <f>IFERROR(IF(COUNT(Raw_Data!AZ179:BK179)=0,"",SUM(Raw_Data!AZ179:BK179)),"")</f>
        <v>731</v>
      </c>
      <c r="I179" s="30">
        <f>IFERROR(IF(COUNT(Raw_Data!BL179:BW179)=0,"",SUM(Raw_Data!BL179:BW179)),"")</f>
        <v>321</v>
      </c>
      <c r="J179" s="30" t="str">
        <f>IFERROR(IF(COUNT(Raw_Data!BX179:CI179)=0,"",SUM(Raw_Data!BX179:CI179)),"")</f>
        <v/>
      </c>
      <c r="K179" s="28">
        <f t="shared" si="14"/>
        <v>0.95214521452145218</v>
      </c>
      <c r="L179" s="28">
        <f t="shared" si="15"/>
        <v>4.7854785478547858E-2</v>
      </c>
      <c r="M179" s="28">
        <f t="shared" si="16"/>
        <v>0.43912448700410395</v>
      </c>
      <c r="N179" s="28" t="str">
        <f t="shared" si="17"/>
        <v/>
      </c>
      <c r="O179" s="7" t="str">
        <f t="shared" si="18"/>
        <v>Valid</v>
      </c>
      <c r="P179" s="13" t="str">
        <f t="shared" si="19"/>
        <v>Incomplete</v>
      </c>
      <c r="Q179" s="7" t="str">
        <f t="shared" si="20"/>
        <v>Incomplete</v>
      </c>
    </row>
    <row r="180" spans="1:17" ht="75">
      <c r="A180" s="7" t="str">
        <f>IF(Raw_Data!A180="","",TRIM(SUBSTITUTE(CLEAN(Raw_Data!A180),CHAR(160)," ")))</f>
        <v>Abuja Municipal Area Council</v>
      </c>
      <c r="B180" s="7" t="str">
        <f>IF(Raw_Data!B180="","",TRIM(SUBSTITUTE(CLEAN(Raw_Data!B180),CHAR(160)," ")))</f>
        <v>Gwagwa Ward</v>
      </c>
      <c r="C180" s="7" t="str">
        <f>IF(Raw_Data!C180="","",TRIM(SUBSTITUTE(CLEAN(Raw_Data!C180),CHAR(160)," ")))</f>
        <v>Kagini Primary Health Care Centre</v>
      </c>
      <c r="D180" s="28">
        <f>IFERROR(IF(COUNT(Raw_Data!D180:O180)=0,"",AVERAGE(Raw_Data!D180:O180)/100),"")</f>
        <v>1.0059090909090906</v>
      </c>
      <c r="E180" s="28">
        <f>IFERROR(IF(COUNT(Raw_Data!P180:AA180)=0,"",AVERAGE(Raw_Data!P180:AA180)/100),"")</f>
        <v>0.53938750000000002</v>
      </c>
      <c r="F180" s="30">
        <f>IFERROR(IF(COUNT(Raw_Data!AB180:AM180)=0,"",SUM(Raw_Data!AB180:AM180)),"")</f>
        <v>761</v>
      </c>
      <c r="G180" s="30">
        <f>IFERROR(IF(COUNT(Raw_Data!AN180:AY180)=0,"",SUM(Raw_Data!AN180:AY180)),"")</f>
        <v>796</v>
      </c>
      <c r="H180" s="30">
        <f>IFERROR(IF(COUNT(Raw_Data!AZ180:BK180)=0,"",SUM(Raw_Data!AZ180:BK180)),"")</f>
        <v>420</v>
      </c>
      <c r="I180" s="30">
        <f>IFERROR(IF(COUNT(Raw_Data!BL180:BW180)=0,"",SUM(Raw_Data!BL180:BW180)),"")</f>
        <v>197</v>
      </c>
      <c r="J180" s="30">
        <f>IFERROR(IF(COUNT(Raw_Data!BX180:CI180)=0,"",SUM(Raw_Data!BX180:CI180)),"")</f>
        <v>13</v>
      </c>
      <c r="K180" s="28">
        <f t="shared" si="14"/>
        <v>1.0459921156373193</v>
      </c>
      <c r="L180" s="28">
        <f t="shared" si="15"/>
        <v>-4.5992115637319315E-2</v>
      </c>
      <c r="M180" s="28">
        <f t="shared" si="16"/>
        <v>0.46904761904761905</v>
      </c>
      <c r="N180" s="28">
        <f t="shared" si="17"/>
        <v>3.0952380952380953E-2</v>
      </c>
      <c r="O180" s="7" t="str">
        <f t="shared" si="18"/>
        <v>Invalid</v>
      </c>
      <c r="P180" s="13" t="str">
        <f t="shared" si="19"/>
        <v>Valid</v>
      </c>
      <c r="Q180" s="7" t="str">
        <f t="shared" si="20"/>
        <v>Invalid</v>
      </c>
    </row>
    <row r="181" spans="1:17" ht="75">
      <c r="A181" s="7" t="str">
        <f>IF(Raw_Data!A181="","",TRIM(SUBSTITUTE(CLEAN(Raw_Data!A181),CHAR(160)," ")))</f>
        <v>Kuje Local Government Area</v>
      </c>
      <c r="B181" s="7" t="str">
        <f>IF(Raw_Data!B181="","",TRIM(SUBSTITUTE(CLEAN(Raw_Data!B181),CHAR(160)," ")))</f>
        <v>Gaube Ward</v>
      </c>
      <c r="C181" s="7" t="str">
        <f>IF(Raw_Data!C181="","",TRIM(SUBSTITUTE(CLEAN(Raw_Data!C181),CHAR(160)," ")))</f>
        <v>Kahodahannu Primary Health Centre</v>
      </c>
      <c r="D181" s="28">
        <f>IFERROR(IF(COUNT(Raw_Data!D181:O181)=0,"",AVERAGE(Raw_Data!D181:O181)/100),"")</f>
        <v>1</v>
      </c>
      <c r="E181" s="28">
        <f>IFERROR(IF(COUNT(Raw_Data!P181:AA181)=0,"",AVERAGE(Raw_Data!P181:AA181)/100),"")</f>
        <v>1</v>
      </c>
      <c r="F181" s="30">
        <f>IFERROR(IF(COUNT(Raw_Data!AB181:AM181)=0,"",SUM(Raw_Data!AB181:AM181)),"")</f>
        <v>10</v>
      </c>
      <c r="G181" s="30">
        <f>IFERROR(IF(COUNT(Raw_Data!AN181:AY181)=0,"",SUM(Raw_Data!AN181:AY181)),"")</f>
        <v>8</v>
      </c>
      <c r="H181" s="30">
        <f>IFERROR(IF(COUNT(Raw_Data!AZ181:BK181)=0,"",SUM(Raw_Data!AZ181:BK181)),"")</f>
        <v>1</v>
      </c>
      <c r="I181" s="30" t="str">
        <f>IFERROR(IF(COUNT(Raw_Data!BL181:BW181)=0,"",SUM(Raw_Data!BL181:BW181)),"")</f>
        <v/>
      </c>
      <c r="J181" s="30">
        <f>IFERROR(IF(COUNT(Raw_Data!BX181:CI181)=0,"",SUM(Raw_Data!BX181:CI181)),"")</f>
        <v>2</v>
      </c>
      <c r="K181" s="28">
        <f t="shared" si="14"/>
        <v>0.8</v>
      </c>
      <c r="L181" s="28">
        <f t="shared" si="15"/>
        <v>0.2</v>
      </c>
      <c r="M181" s="28" t="str">
        <f t="shared" si="16"/>
        <v/>
      </c>
      <c r="N181" s="28">
        <f t="shared" si="17"/>
        <v>2</v>
      </c>
      <c r="O181" s="7" t="str">
        <f t="shared" si="18"/>
        <v>Valid</v>
      </c>
      <c r="P181" s="13" t="str">
        <f t="shared" si="19"/>
        <v>Incomplete</v>
      </c>
      <c r="Q181" s="7" t="str">
        <f t="shared" si="20"/>
        <v>Incomplete</v>
      </c>
    </row>
    <row r="182" spans="1:17" ht="60">
      <c r="A182" s="7" t="str">
        <f>IF(Raw_Data!A182="","",TRIM(SUBSTITUTE(CLEAN(Raw_Data!A182),CHAR(160)," ")))</f>
        <v>Gwagwalada Local Government Area</v>
      </c>
      <c r="B182" s="7" t="str">
        <f>IF(Raw_Data!B182="","",TRIM(SUBSTITUTE(CLEAN(Raw_Data!B182),CHAR(160)," ")))</f>
        <v>Dobi Ward</v>
      </c>
      <c r="C182" s="7" t="str">
        <f>IF(Raw_Data!C182="","",TRIM(SUBSTITUTE(CLEAN(Raw_Data!C182),CHAR(160)," ")))</f>
        <v>Kaida Sabo Health Post</v>
      </c>
      <c r="D182" s="28">
        <f>IFERROR(IF(COUNT(Raw_Data!D182:O182)=0,"",AVERAGE(Raw_Data!D182:O182)/100),"")</f>
        <v>0.9375</v>
      </c>
      <c r="E182" s="28">
        <f>IFERROR(IF(COUNT(Raw_Data!P182:AA182)=0,"",AVERAGE(Raw_Data!P182:AA182)/100),"")</f>
        <v>1</v>
      </c>
      <c r="F182" s="30">
        <f>IFERROR(IF(COUNT(Raw_Data!AB182:AM182)=0,"",SUM(Raw_Data!AB182:AM182)),"")</f>
        <v>364</v>
      </c>
      <c r="G182" s="30">
        <f>IFERROR(IF(COUNT(Raw_Data!AN182:AY182)=0,"",SUM(Raw_Data!AN182:AY182)),"")</f>
        <v>1448</v>
      </c>
      <c r="H182" s="30">
        <f>IFERROR(IF(COUNT(Raw_Data!AZ182:BK182)=0,"",SUM(Raw_Data!AZ182:BK182)),"")</f>
        <v>92</v>
      </c>
      <c r="I182" s="30">
        <f>IFERROR(IF(COUNT(Raw_Data!BL182:BW182)=0,"",SUM(Raw_Data!BL182:BW182)),"")</f>
        <v>12</v>
      </c>
      <c r="J182" s="30" t="str">
        <f>IFERROR(IF(COUNT(Raw_Data!BX182:CI182)=0,"",SUM(Raw_Data!BX182:CI182)),"")</f>
        <v/>
      </c>
      <c r="K182" s="28">
        <f t="shared" si="14"/>
        <v>3.9780219780219781</v>
      </c>
      <c r="L182" s="28">
        <f t="shared" si="15"/>
        <v>-2.9780219780219781</v>
      </c>
      <c r="M182" s="28">
        <f t="shared" si="16"/>
        <v>0.13043478260869565</v>
      </c>
      <c r="N182" s="28" t="str">
        <f t="shared" si="17"/>
        <v/>
      </c>
      <c r="O182" s="7" t="str">
        <f t="shared" si="18"/>
        <v>Invalid</v>
      </c>
      <c r="P182" s="13" t="str">
        <f t="shared" si="19"/>
        <v>Incomplete</v>
      </c>
      <c r="Q182" s="7" t="str">
        <f t="shared" si="20"/>
        <v>Incomplete</v>
      </c>
    </row>
    <row r="183" spans="1:17" ht="60">
      <c r="A183" s="7" t="str">
        <f>IF(Raw_Data!A183="","",TRIM(SUBSTITUTE(CLEAN(Raw_Data!A183),CHAR(160)," ")))</f>
        <v>Gwagwalada Local Government Area</v>
      </c>
      <c r="B183" s="7" t="str">
        <f>IF(Raw_Data!B183="","",TRIM(SUBSTITUTE(CLEAN(Raw_Data!B183),CHAR(160)," ")))</f>
        <v>Paikon Ward</v>
      </c>
      <c r="C183" s="7" t="str">
        <f>IF(Raw_Data!C183="","",TRIM(SUBSTITUTE(CLEAN(Raw_Data!C183),CHAR(160)," ")))</f>
        <v>Kaida Tsoho Health Clinic</v>
      </c>
      <c r="D183" s="28">
        <f>IFERROR(IF(COUNT(Raw_Data!D183:O183)=0,"",AVERAGE(Raw_Data!D183:O183)/100),"")</f>
        <v>0.63888888888888884</v>
      </c>
      <c r="E183" s="28">
        <f>IFERROR(IF(COUNT(Raw_Data!P183:AA183)=0,"",AVERAGE(Raw_Data!P183:AA183)/100),"")</f>
        <v>0.59375</v>
      </c>
      <c r="F183" s="30">
        <f>IFERROR(IF(COUNT(Raw_Data!AB183:AM183)=0,"",SUM(Raw_Data!AB183:AM183)),"")</f>
        <v>339</v>
      </c>
      <c r="G183" s="30">
        <f>IFERROR(IF(COUNT(Raw_Data!AN183:AY183)=0,"",SUM(Raw_Data!AN183:AY183)),"")</f>
        <v>359</v>
      </c>
      <c r="H183" s="30">
        <f>IFERROR(IF(COUNT(Raw_Data!AZ183:BK183)=0,"",SUM(Raw_Data!AZ183:BK183)),"")</f>
        <v>75</v>
      </c>
      <c r="I183" s="30">
        <f>IFERROR(IF(COUNT(Raw_Data!BL183:BW183)=0,"",SUM(Raw_Data!BL183:BW183)),"")</f>
        <v>3</v>
      </c>
      <c r="J183" s="30" t="str">
        <f>IFERROR(IF(COUNT(Raw_Data!BX183:CI183)=0,"",SUM(Raw_Data!BX183:CI183)),"")</f>
        <v/>
      </c>
      <c r="K183" s="28">
        <f t="shared" si="14"/>
        <v>1.0589970501474926</v>
      </c>
      <c r="L183" s="28">
        <f t="shared" si="15"/>
        <v>-5.8997050147492625E-2</v>
      </c>
      <c r="M183" s="28">
        <f t="shared" si="16"/>
        <v>0.04</v>
      </c>
      <c r="N183" s="28" t="str">
        <f t="shared" si="17"/>
        <v/>
      </c>
      <c r="O183" s="7" t="str">
        <f t="shared" si="18"/>
        <v>Invalid</v>
      </c>
      <c r="P183" s="13" t="str">
        <f t="shared" si="19"/>
        <v>Incomplete</v>
      </c>
      <c r="Q183" s="7" t="str">
        <f t="shared" si="20"/>
        <v>Incomplete</v>
      </c>
    </row>
    <row r="184" spans="1:17" ht="60">
      <c r="A184" s="7" t="str">
        <f>IF(Raw_Data!A184="","",TRIM(SUBSTITUTE(CLEAN(Raw_Data!A184),CHAR(160)," ")))</f>
        <v>Bwari Local Government Area</v>
      </c>
      <c r="B184" s="7" t="str">
        <f>IF(Raw_Data!B184="","",TRIM(SUBSTITUTE(CLEAN(Raw_Data!B184),CHAR(160)," ")))</f>
        <v>Igu Ward</v>
      </c>
      <c r="C184" s="7" t="str">
        <f>IF(Raw_Data!C184="","",TRIM(SUBSTITUTE(CLEAN(Raw_Data!C184),CHAR(160)," ")))</f>
        <v>Kaima Primary Health Clinic</v>
      </c>
      <c r="D184" s="28">
        <f>IFERROR(IF(COUNT(Raw_Data!D184:O184)=0,"",AVERAGE(Raw_Data!D184:O184)/100),"")</f>
        <v>1</v>
      </c>
      <c r="E184" s="28">
        <f>IFERROR(IF(COUNT(Raw_Data!P184:AA184)=0,"",AVERAGE(Raw_Data!P184:AA184)/100),"")</f>
        <v>1</v>
      </c>
      <c r="F184" s="30">
        <f>IFERROR(IF(COUNT(Raw_Data!AB184:AM184)=0,"",SUM(Raw_Data!AB184:AM184)),"")</f>
        <v>30</v>
      </c>
      <c r="G184" s="30">
        <f>IFERROR(IF(COUNT(Raw_Data!AN184:AY184)=0,"",SUM(Raw_Data!AN184:AY184)),"")</f>
        <v>29</v>
      </c>
      <c r="H184" s="30">
        <f>IFERROR(IF(COUNT(Raw_Data!AZ184:BK184)=0,"",SUM(Raw_Data!AZ184:BK184)),"")</f>
        <v>29</v>
      </c>
      <c r="I184" s="30">
        <f>IFERROR(IF(COUNT(Raw_Data!BL184:BW184)=0,"",SUM(Raw_Data!BL184:BW184)),"")</f>
        <v>15</v>
      </c>
      <c r="J184" s="30" t="str">
        <f>IFERROR(IF(COUNT(Raw_Data!BX184:CI184)=0,"",SUM(Raw_Data!BX184:CI184)),"")</f>
        <v/>
      </c>
      <c r="K184" s="28">
        <f t="shared" si="14"/>
        <v>0.96666666666666667</v>
      </c>
      <c r="L184" s="28">
        <f t="shared" si="15"/>
        <v>3.3333333333333333E-2</v>
      </c>
      <c r="M184" s="28">
        <f t="shared" si="16"/>
        <v>0.51724137931034486</v>
      </c>
      <c r="N184" s="28" t="str">
        <f t="shared" si="17"/>
        <v/>
      </c>
      <c r="O184" s="7" t="str">
        <f t="shared" si="18"/>
        <v>Valid</v>
      </c>
      <c r="P184" s="13" t="str">
        <f t="shared" si="19"/>
        <v>Incomplete</v>
      </c>
      <c r="Q184" s="7" t="str">
        <f t="shared" si="20"/>
        <v>Incomplete</v>
      </c>
    </row>
    <row r="185" spans="1:17" ht="75">
      <c r="A185" s="7" t="str">
        <f>IF(Raw_Data!A185="","",TRIM(SUBSTITUTE(CLEAN(Raw_Data!A185),CHAR(160)," ")))</f>
        <v>Kwali Local Government Area</v>
      </c>
      <c r="B185" s="7" t="str">
        <f>IF(Raw_Data!B185="","",TRIM(SUBSTITUTE(CLEAN(Raw_Data!B185),CHAR(160)," ")))</f>
        <v>Ashara Ward</v>
      </c>
      <c r="C185" s="7" t="str">
        <f>IF(Raw_Data!C185="","",TRIM(SUBSTITUTE(CLEAN(Raw_Data!C185),CHAR(160)," ")))</f>
        <v>Kamadi Tsoho primary Health Clinic</v>
      </c>
      <c r="D185" s="28">
        <f>IFERROR(IF(COUNT(Raw_Data!D185:O185)=0,"",AVERAGE(Raw_Data!D185:O185)/100),"")</f>
        <v>1.3</v>
      </c>
      <c r="E185" s="28">
        <f>IFERROR(IF(COUNT(Raw_Data!P185:AA185)=0,"",AVERAGE(Raw_Data!P185:AA185)/100),"")</f>
        <v>1</v>
      </c>
      <c r="F185" s="30">
        <f>IFERROR(IF(COUNT(Raw_Data!AB185:AM185)=0,"",SUM(Raw_Data!AB185:AM185)),"")</f>
        <v>255</v>
      </c>
      <c r="G185" s="30">
        <f>IFERROR(IF(COUNT(Raw_Data!AN185:AY185)=0,"",SUM(Raw_Data!AN185:AY185)),"")</f>
        <v>354</v>
      </c>
      <c r="H185" s="30">
        <f>IFERROR(IF(COUNT(Raw_Data!AZ185:BK185)=0,"",SUM(Raw_Data!AZ185:BK185)),"")</f>
        <v>93</v>
      </c>
      <c r="I185" s="30">
        <f>IFERROR(IF(COUNT(Raw_Data!BL185:BW185)=0,"",SUM(Raw_Data!BL185:BW185)),"")</f>
        <v>28</v>
      </c>
      <c r="J185" s="30">
        <f>IFERROR(IF(COUNT(Raw_Data!BX185:CI185)=0,"",SUM(Raw_Data!BX185:CI185)),"")</f>
        <v>22</v>
      </c>
      <c r="K185" s="28">
        <f t="shared" si="14"/>
        <v>1.388235294117647</v>
      </c>
      <c r="L185" s="28">
        <f t="shared" si="15"/>
        <v>-0.38823529411764707</v>
      </c>
      <c r="M185" s="28">
        <f t="shared" si="16"/>
        <v>0.30107526881720431</v>
      </c>
      <c r="N185" s="28">
        <f t="shared" si="17"/>
        <v>0.23655913978494625</v>
      </c>
      <c r="O185" s="7" t="str">
        <f t="shared" si="18"/>
        <v>Invalid</v>
      </c>
      <c r="P185" s="13" t="str">
        <f t="shared" si="19"/>
        <v>Valid</v>
      </c>
      <c r="Q185" s="7" t="str">
        <f t="shared" si="20"/>
        <v>Invalid</v>
      </c>
    </row>
    <row r="186" spans="1:17" ht="60">
      <c r="A186" s="7" t="str">
        <f>IF(Raw_Data!A186="","",TRIM(SUBSTITUTE(CLEAN(Raw_Data!A186),CHAR(160)," ")))</f>
        <v>Abuja Municipal Area Council</v>
      </c>
      <c r="B186" s="7" t="str">
        <f>IF(Raw_Data!B186="","",TRIM(SUBSTITUTE(CLEAN(Raw_Data!B186),CHAR(160)," ")))</f>
        <v>Gwagwa Ward</v>
      </c>
      <c r="C186" s="7" t="str">
        <f>IF(Raw_Data!C186="","",TRIM(SUBSTITUTE(CLEAN(Raw_Data!C186),CHAR(160)," ")))</f>
        <v>Kapital Hospital (Gwagwa)</v>
      </c>
      <c r="D186" s="28" t="str">
        <f>IFERROR(IF(COUNT(Raw_Data!D186:O186)=0,"",AVERAGE(Raw_Data!D186:O186)/100),"")</f>
        <v/>
      </c>
      <c r="E186" s="28" t="str">
        <f>IFERROR(IF(COUNT(Raw_Data!P186:AA186)=0,"",AVERAGE(Raw_Data!P186:AA186)/100),"")</f>
        <v/>
      </c>
      <c r="F186" s="30">
        <f>IFERROR(IF(COUNT(Raw_Data!AB186:AM186)=0,"",SUM(Raw_Data!AB186:AM186)),"")</f>
        <v>36</v>
      </c>
      <c r="G186" s="30">
        <f>IFERROR(IF(COUNT(Raw_Data!AN186:AY186)=0,"",SUM(Raw_Data!AN186:AY186)),"")</f>
        <v>9</v>
      </c>
      <c r="H186" s="30">
        <f>IFERROR(IF(COUNT(Raw_Data!AZ186:BK186)=0,"",SUM(Raw_Data!AZ186:BK186)),"")</f>
        <v>12</v>
      </c>
      <c r="I186" s="30">
        <f>IFERROR(IF(COUNT(Raw_Data!BL186:BW186)=0,"",SUM(Raw_Data!BL186:BW186)),"")</f>
        <v>28</v>
      </c>
      <c r="J186" s="30">
        <f>IFERROR(IF(COUNT(Raw_Data!BX186:CI186)=0,"",SUM(Raw_Data!BX186:CI186)),"")</f>
        <v>8</v>
      </c>
      <c r="K186" s="28">
        <f t="shared" si="14"/>
        <v>0.25</v>
      </c>
      <c r="L186" s="28">
        <f t="shared" si="15"/>
        <v>0.75</v>
      </c>
      <c r="M186" s="28">
        <f t="shared" si="16"/>
        <v>2.3333333333333335</v>
      </c>
      <c r="N186" s="28">
        <f t="shared" si="17"/>
        <v>0.66666666666666663</v>
      </c>
      <c r="O186" s="7" t="str">
        <f t="shared" si="18"/>
        <v>Valid</v>
      </c>
      <c r="P186" s="13" t="str">
        <f t="shared" si="19"/>
        <v>Invalid</v>
      </c>
      <c r="Q186" s="7" t="str">
        <f t="shared" si="20"/>
        <v>Invalid</v>
      </c>
    </row>
    <row r="187" spans="1:17" ht="75">
      <c r="A187" s="7" t="str">
        <f>IF(Raw_Data!A187="","",TRIM(SUBSTITUTE(CLEAN(Raw_Data!A187),CHAR(160)," ")))</f>
        <v>Abuja Municipal Area Council</v>
      </c>
      <c r="B187" s="7" t="str">
        <f>IF(Raw_Data!B187="","",TRIM(SUBSTITUTE(CLEAN(Raw_Data!B187),CHAR(160)," ")))</f>
        <v>Gwarimpa Ward</v>
      </c>
      <c r="C187" s="7" t="str">
        <f>IF(Raw_Data!C187="","",TRIM(SUBSTITUTE(CLEAN(Raw_Data!C187),CHAR(160)," ")))</f>
        <v>Karon Majigi Primary Health Clinic</v>
      </c>
      <c r="D187" s="28">
        <f>IFERROR(IF(COUNT(Raw_Data!D187:O187)=0,"",AVERAGE(Raw_Data!D187:O187)/100),"")</f>
        <v>0.9280272727272727</v>
      </c>
      <c r="E187" s="28">
        <f>IFERROR(IF(COUNT(Raw_Data!P187:AA187)=0,"",AVERAGE(Raw_Data!P187:AA187)/100),"")</f>
        <v>1</v>
      </c>
      <c r="F187" s="30">
        <f>IFERROR(IF(COUNT(Raw_Data!AB187:AM187)=0,"",SUM(Raw_Data!AB187:AM187)),"")</f>
        <v>552</v>
      </c>
      <c r="G187" s="30">
        <f>IFERROR(IF(COUNT(Raw_Data!AN187:AY187)=0,"",SUM(Raw_Data!AN187:AY187)),"")</f>
        <v>486</v>
      </c>
      <c r="H187" s="30">
        <f>IFERROR(IF(COUNT(Raw_Data!AZ187:BK187)=0,"",SUM(Raw_Data!AZ187:BK187)),"")</f>
        <v>293</v>
      </c>
      <c r="I187" s="30">
        <f>IFERROR(IF(COUNT(Raw_Data!BL187:BW187)=0,"",SUM(Raw_Data!BL187:BW187)),"")</f>
        <v>148</v>
      </c>
      <c r="J187" s="30">
        <f>IFERROR(IF(COUNT(Raw_Data!BX187:CI187)=0,"",SUM(Raw_Data!BX187:CI187)),"")</f>
        <v>40</v>
      </c>
      <c r="K187" s="28">
        <f t="shared" si="14"/>
        <v>0.88043478260869568</v>
      </c>
      <c r="L187" s="28">
        <f t="shared" si="15"/>
        <v>0.11956521739130435</v>
      </c>
      <c r="M187" s="28">
        <f t="shared" si="16"/>
        <v>0.50511945392491464</v>
      </c>
      <c r="N187" s="28">
        <f t="shared" si="17"/>
        <v>0.13651877133105803</v>
      </c>
      <c r="O187" s="7" t="str">
        <f t="shared" si="18"/>
        <v>Valid</v>
      </c>
      <c r="P187" s="13" t="str">
        <f t="shared" si="19"/>
        <v>Valid</v>
      </c>
      <c r="Q187" s="7" t="str">
        <f t="shared" si="20"/>
        <v>Valid</v>
      </c>
    </row>
    <row r="188" spans="1:17" ht="60">
      <c r="A188" s="7" t="str">
        <f>IF(Raw_Data!A188="","",TRIM(SUBSTITUTE(CLEAN(Raw_Data!A188),CHAR(160)," ")))</f>
        <v>Abuja Municipal Area Council</v>
      </c>
      <c r="B188" s="7" t="str">
        <f>IF(Raw_Data!B188="","",TRIM(SUBSTITUTE(CLEAN(Raw_Data!B188),CHAR(160)," ")))</f>
        <v>Karshi Ward</v>
      </c>
      <c r="C188" s="7" t="str">
        <f>IF(Raw_Data!C188="","",TRIM(SUBSTITUTE(CLEAN(Raw_Data!C188),CHAR(160)," ")))</f>
        <v>Karshi General Hospital</v>
      </c>
      <c r="D188" s="28">
        <f>IFERROR(IF(COUNT(Raw_Data!D188:O188)=0,"",AVERAGE(Raw_Data!D188:O188)/100),"")</f>
        <v>0.93132222222222216</v>
      </c>
      <c r="E188" s="28" t="str">
        <f>IFERROR(IF(COUNT(Raw_Data!P188:AA188)=0,"",AVERAGE(Raw_Data!P188:AA188)/100),"")</f>
        <v/>
      </c>
      <c r="F188" s="30">
        <f>IFERROR(IF(COUNT(Raw_Data!AB188:AM188)=0,"",SUM(Raw_Data!AB188:AM188)),"")</f>
        <v>759</v>
      </c>
      <c r="G188" s="30">
        <f>IFERROR(IF(COUNT(Raw_Data!AN188:AY188)=0,"",SUM(Raw_Data!AN188:AY188)),"")</f>
        <v>679</v>
      </c>
      <c r="H188" s="30">
        <f>IFERROR(IF(COUNT(Raw_Data!AZ188:BK188)=0,"",SUM(Raw_Data!AZ188:BK188)),"")</f>
        <v>1283</v>
      </c>
      <c r="I188" s="30">
        <f>IFERROR(IF(COUNT(Raw_Data!BL188:BW188)=0,"",SUM(Raw_Data!BL188:BW188)),"")</f>
        <v>504</v>
      </c>
      <c r="J188" s="30">
        <f>IFERROR(IF(COUNT(Raw_Data!BX188:CI188)=0,"",SUM(Raw_Data!BX188:CI188)),"")</f>
        <v>128</v>
      </c>
      <c r="K188" s="28">
        <f t="shared" si="14"/>
        <v>0.8945981554677207</v>
      </c>
      <c r="L188" s="28">
        <f t="shared" si="15"/>
        <v>0.10540184453227931</v>
      </c>
      <c r="M188" s="28">
        <f t="shared" si="16"/>
        <v>0.39282930631332813</v>
      </c>
      <c r="N188" s="28">
        <f t="shared" si="17"/>
        <v>9.9766173031956354E-2</v>
      </c>
      <c r="O188" s="7" t="str">
        <f t="shared" si="18"/>
        <v>Valid</v>
      </c>
      <c r="P188" s="13" t="str">
        <f t="shared" si="19"/>
        <v>Valid</v>
      </c>
      <c r="Q188" s="7" t="str">
        <f t="shared" si="20"/>
        <v>Valid</v>
      </c>
    </row>
    <row r="189" spans="1:17" ht="60">
      <c r="A189" s="7" t="str">
        <f>IF(Raw_Data!A189="","",TRIM(SUBSTITUTE(CLEAN(Raw_Data!A189),CHAR(160)," ")))</f>
        <v>Abuja Municipal Area Council</v>
      </c>
      <c r="B189" s="7" t="str">
        <f>IF(Raw_Data!B189="","",TRIM(SUBSTITUTE(CLEAN(Raw_Data!B189),CHAR(160)," ")))</f>
        <v>Karshi Ward</v>
      </c>
      <c r="C189" s="7" t="str">
        <f>IF(Raw_Data!C189="","",TRIM(SUBSTITUTE(CLEAN(Raw_Data!C189),CHAR(160)," ")))</f>
        <v>Karshi Primary Health Clinic</v>
      </c>
      <c r="D189" s="28">
        <f>IFERROR(IF(COUNT(Raw_Data!D189:O189)=0,"",AVERAGE(Raw_Data!D189:O189)/100),"")</f>
        <v>0.93560909090909095</v>
      </c>
      <c r="E189" s="28">
        <f>IFERROR(IF(COUNT(Raw_Data!P189:AA189)=0,"",AVERAGE(Raw_Data!P189:AA189)/100),"")</f>
        <v>0.85833000000000004</v>
      </c>
      <c r="F189" s="30">
        <f>IFERROR(IF(COUNT(Raw_Data!AB189:AM189)=0,"",SUM(Raw_Data!AB189:AM189)),"")</f>
        <v>439</v>
      </c>
      <c r="G189" s="30">
        <f>IFERROR(IF(COUNT(Raw_Data!AN189:AY189)=0,"",SUM(Raw_Data!AN189:AY189)),"")</f>
        <v>419</v>
      </c>
      <c r="H189" s="30">
        <f>IFERROR(IF(COUNT(Raw_Data!AZ189:BK189)=0,"",SUM(Raw_Data!AZ189:BK189)),"")</f>
        <v>281</v>
      </c>
      <c r="I189" s="30">
        <f>IFERROR(IF(COUNT(Raw_Data!BL189:BW189)=0,"",SUM(Raw_Data!BL189:BW189)),"")</f>
        <v>156</v>
      </c>
      <c r="J189" s="30">
        <f>IFERROR(IF(COUNT(Raw_Data!BX189:CI189)=0,"",SUM(Raw_Data!BX189:CI189)),"")</f>
        <v>38</v>
      </c>
      <c r="K189" s="28">
        <f t="shared" si="14"/>
        <v>0.95444191343963558</v>
      </c>
      <c r="L189" s="28">
        <f t="shared" si="15"/>
        <v>4.5558086560364468E-2</v>
      </c>
      <c r="M189" s="28">
        <f t="shared" si="16"/>
        <v>0.55516014234875444</v>
      </c>
      <c r="N189" s="28">
        <f t="shared" si="17"/>
        <v>0.13523131672597866</v>
      </c>
      <c r="O189" s="7" t="str">
        <f t="shared" si="18"/>
        <v>Valid</v>
      </c>
      <c r="P189" s="13" t="str">
        <f t="shared" si="19"/>
        <v>Valid</v>
      </c>
      <c r="Q189" s="7" t="str">
        <f t="shared" si="20"/>
        <v>Valid</v>
      </c>
    </row>
    <row r="190" spans="1:17" ht="60">
      <c r="A190" s="7" t="str">
        <f>IF(Raw_Data!A190="","",TRIM(SUBSTITUTE(CLEAN(Raw_Data!A190),CHAR(160)," ")))</f>
        <v>Abuja Municipal Area Council</v>
      </c>
      <c r="B190" s="7" t="str">
        <f>IF(Raw_Data!B190="","",TRIM(SUBSTITUTE(CLEAN(Raw_Data!B190),CHAR(160)," ")))</f>
        <v>Karu Ward</v>
      </c>
      <c r="C190" s="7" t="str">
        <f>IF(Raw_Data!C190="","",TRIM(SUBSTITUTE(CLEAN(Raw_Data!C190),CHAR(160)," ")))</f>
        <v>Karu General Hospital</v>
      </c>
      <c r="D190" s="28" t="str">
        <f>IFERROR(IF(COUNT(Raw_Data!D190:O190)=0,"",AVERAGE(Raw_Data!D190:O190)/100),"")</f>
        <v/>
      </c>
      <c r="E190" s="28" t="str">
        <f>IFERROR(IF(COUNT(Raw_Data!P190:AA190)=0,"",AVERAGE(Raw_Data!P190:AA190)/100),"")</f>
        <v/>
      </c>
      <c r="F190" s="30" t="str">
        <f>IFERROR(IF(COUNT(Raw_Data!AB190:AM190)=0,"",SUM(Raw_Data!AB190:AM190)),"")</f>
        <v/>
      </c>
      <c r="G190" s="30" t="str">
        <f>IFERROR(IF(COUNT(Raw_Data!AN190:AY190)=0,"",SUM(Raw_Data!AN190:AY190)),"")</f>
        <v/>
      </c>
      <c r="H190" s="30">
        <f>IFERROR(IF(COUNT(Raw_Data!AZ190:BK190)=0,"",SUM(Raw_Data!AZ190:BK190)),"")</f>
        <v>42</v>
      </c>
      <c r="I190" s="30" t="str">
        <f>IFERROR(IF(COUNT(Raw_Data!BL190:BW190)=0,"",SUM(Raw_Data!BL190:BW190)),"")</f>
        <v/>
      </c>
      <c r="J190" s="30" t="str">
        <f>IFERROR(IF(COUNT(Raw_Data!BX190:CI190)=0,"",SUM(Raw_Data!BX190:CI190)),"")</f>
        <v/>
      </c>
      <c r="K190" s="28" t="str">
        <f t="shared" si="14"/>
        <v/>
      </c>
      <c r="L190" s="28" t="str">
        <f t="shared" si="15"/>
        <v/>
      </c>
      <c r="M190" s="28" t="str">
        <f t="shared" si="16"/>
        <v/>
      </c>
      <c r="N190" s="28" t="str">
        <f t="shared" si="17"/>
        <v/>
      </c>
      <c r="O190" s="7" t="str">
        <f t="shared" si="18"/>
        <v>No Data</v>
      </c>
      <c r="P190" s="13" t="str">
        <f t="shared" si="19"/>
        <v>Incomplete</v>
      </c>
      <c r="Q190" s="7" t="str">
        <f t="shared" si="20"/>
        <v>No Data</v>
      </c>
    </row>
    <row r="191" spans="1:17" ht="75">
      <c r="A191" s="7" t="str">
        <f>IF(Raw_Data!A191="","",TRIM(SUBSTITUTE(CLEAN(Raw_Data!A191),CHAR(160)," ")))</f>
        <v>Abuja Municipal Area Council</v>
      </c>
      <c r="B191" s="7" t="str">
        <f>IF(Raw_Data!B191="","",TRIM(SUBSTITUTE(CLEAN(Raw_Data!B191),CHAR(160)," ")))</f>
        <v>Karu Ward</v>
      </c>
      <c r="C191" s="7" t="str">
        <f>IF(Raw_Data!C191="","",TRIM(SUBSTITUTE(CLEAN(Raw_Data!C191),CHAR(160)," ")))</f>
        <v>Karu Primary Health Care Centre</v>
      </c>
      <c r="D191" s="28">
        <f>IFERROR(IF(COUNT(Raw_Data!D191:O191)=0,"",AVERAGE(Raw_Data!D191:O191)/100),"")</f>
        <v>0.95421999999999996</v>
      </c>
      <c r="E191" s="28">
        <f>IFERROR(IF(COUNT(Raw_Data!P191:AA191)=0,"",AVERAGE(Raw_Data!P191:AA191)/100),"")</f>
        <v>0.83333333333333326</v>
      </c>
      <c r="F191" s="30">
        <f>IFERROR(IF(COUNT(Raw_Data!AB191:AM191)=0,"",SUM(Raw_Data!AB191:AM191)),"")</f>
        <v>1090</v>
      </c>
      <c r="G191" s="30">
        <f>IFERROR(IF(COUNT(Raw_Data!AN191:AY191)=0,"",SUM(Raw_Data!AN191:AY191)),"")</f>
        <v>1085</v>
      </c>
      <c r="H191" s="30">
        <f>IFERROR(IF(COUNT(Raw_Data!AZ191:BK191)=0,"",SUM(Raw_Data!AZ191:BK191)),"")</f>
        <v>614</v>
      </c>
      <c r="I191" s="30">
        <f>IFERROR(IF(COUNT(Raw_Data!BL191:BW191)=0,"",SUM(Raw_Data!BL191:BW191)),"")</f>
        <v>182</v>
      </c>
      <c r="J191" s="30">
        <f>IFERROR(IF(COUNT(Raw_Data!BX191:CI191)=0,"",SUM(Raw_Data!BX191:CI191)),"")</f>
        <v>309</v>
      </c>
      <c r="K191" s="28">
        <f t="shared" si="14"/>
        <v>0.99541284403669728</v>
      </c>
      <c r="L191" s="28">
        <f t="shared" si="15"/>
        <v>4.5871559633027525E-3</v>
      </c>
      <c r="M191" s="28">
        <f t="shared" si="16"/>
        <v>0.29641693811074921</v>
      </c>
      <c r="N191" s="28">
        <f t="shared" si="17"/>
        <v>0.50325732899022801</v>
      </c>
      <c r="O191" s="7" t="str">
        <f t="shared" si="18"/>
        <v>Valid</v>
      </c>
      <c r="P191" s="13" t="str">
        <f t="shared" si="19"/>
        <v>Invalid</v>
      </c>
      <c r="Q191" s="7" t="str">
        <f t="shared" si="20"/>
        <v>Invalid</v>
      </c>
    </row>
    <row r="192" spans="1:17" ht="60">
      <c r="A192" s="7" t="str">
        <f>IF(Raw_Data!A192="","",TRIM(SUBSTITUTE(CLEAN(Raw_Data!A192),CHAR(160)," ")))</f>
        <v>Kuje Local Government Area</v>
      </c>
      <c r="B192" s="7" t="str">
        <f>IF(Raw_Data!B192="","",TRIM(SUBSTITUTE(CLEAN(Raw_Data!B192),CHAR(160)," ")))</f>
        <v>Gaube Ward</v>
      </c>
      <c r="C192" s="7" t="str">
        <f>IF(Raw_Data!C192="","",TRIM(SUBSTITUTE(CLEAN(Raw_Data!C192),CHAR(160)," ")))</f>
        <v>Kasada Primary Health Centre</v>
      </c>
      <c r="D192" s="28">
        <f>IFERROR(IF(COUNT(Raw_Data!D192:O192)=0,"",AVERAGE(Raw_Data!D192:O192)/100),"")</f>
        <v>0.87879090909090918</v>
      </c>
      <c r="E192" s="28">
        <f>IFERROR(IF(COUNT(Raw_Data!P192:AA192)=0,"",AVERAGE(Raw_Data!P192:AA192)/100),"")</f>
        <v>0.91666363636363624</v>
      </c>
      <c r="F192" s="30">
        <f>IFERROR(IF(COUNT(Raw_Data!AB192:AM192)=0,"",SUM(Raw_Data!AB192:AM192)),"")</f>
        <v>165</v>
      </c>
      <c r="G192" s="30">
        <f>IFERROR(IF(COUNT(Raw_Data!AN192:AY192)=0,"",SUM(Raw_Data!AN192:AY192)),"")</f>
        <v>164</v>
      </c>
      <c r="H192" s="30">
        <f>IFERROR(IF(COUNT(Raw_Data!AZ192:BK192)=0,"",SUM(Raw_Data!AZ192:BK192)),"")</f>
        <v>58</v>
      </c>
      <c r="I192" s="30">
        <f>IFERROR(IF(COUNT(Raw_Data!BL192:BW192)=0,"",SUM(Raw_Data!BL192:BW192)),"")</f>
        <v>11</v>
      </c>
      <c r="J192" s="30" t="str">
        <f>IFERROR(IF(COUNT(Raw_Data!BX192:CI192)=0,"",SUM(Raw_Data!BX192:CI192)),"")</f>
        <v/>
      </c>
      <c r="K192" s="28">
        <f t="shared" si="14"/>
        <v>0.9939393939393939</v>
      </c>
      <c r="L192" s="28">
        <f t="shared" si="15"/>
        <v>6.0606060606060606E-3</v>
      </c>
      <c r="M192" s="28">
        <f t="shared" si="16"/>
        <v>0.18965517241379309</v>
      </c>
      <c r="N192" s="28" t="str">
        <f t="shared" si="17"/>
        <v/>
      </c>
      <c r="O192" s="7" t="str">
        <f t="shared" si="18"/>
        <v>Valid</v>
      </c>
      <c r="P192" s="13" t="str">
        <f t="shared" si="19"/>
        <v>Incomplete</v>
      </c>
      <c r="Q192" s="7" t="str">
        <f t="shared" si="20"/>
        <v>Incomplete</v>
      </c>
    </row>
    <row r="193" spans="1:17" ht="75">
      <c r="A193" s="7" t="str">
        <f>IF(Raw_Data!A193="","",TRIM(SUBSTITUTE(CLEAN(Raw_Data!A193),CHAR(160)," ")))</f>
        <v>Bwari Local Government Area</v>
      </c>
      <c r="B193" s="7" t="str">
        <f>IF(Raw_Data!B193="","",TRIM(SUBSTITUTE(CLEAN(Raw_Data!B193),CHAR(160)," ")))</f>
        <v>Dutse Ward</v>
      </c>
      <c r="C193" s="7" t="str">
        <f>IF(Raw_Data!C193="","",TRIM(SUBSTITUTE(CLEAN(Raw_Data!C193),CHAR(160)," ")))</f>
        <v>Katampe 2 Primary Health Clinic</v>
      </c>
      <c r="D193" s="28">
        <f>IFERROR(IF(COUNT(Raw_Data!D193:O193)=0,"",AVERAGE(Raw_Data!D193:O193)/100),"")</f>
        <v>1</v>
      </c>
      <c r="E193" s="28">
        <f>IFERROR(IF(COUNT(Raw_Data!P193:AA193)=0,"",AVERAGE(Raw_Data!P193:AA193)/100),"")</f>
        <v>0.6759222222222222</v>
      </c>
      <c r="F193" s="30">
        <f>IFERROR(IF(COUNT(Raw_Data!AB193:AM193)=0,"",SUM(Raw_Data!AB193:AM193)),"")</f>
        <v>374</v>
      </c>
      <c r="G193" s="30">
        <f>IFERROR(IF(COUNT(Raw_Data!AN193:AY193)=0,"",SUM(Raw_Data!AN193:AY193)),"")</f>
        <v>515</v>
      </c>
      <c r="H193" s="30">
        <f>IFERROR(IF(COUNT(Raw_Data!AZ193:BK193)=0,"",SUM(Raw_Data!AZ193:BK193)),"")</f>
        <v>137</v>
      </c>
      <c r="I193" s="30">
        <f>IFERROR(IF(COUNT(Raw_Data!BL193:BW193)=0,"",SUM(Raw_Data!BL193:BW193)),"")</f>
        <v>45</v>
      </c>
      <c r="J193" s="30">
        <f>IFERROR(IF(COUNT(Raw_Data!BX193:CI193)=0,"",SUM(Raw_Data!BX193:CI193)),"")</f>
        <v>2</v>
      </c>
      <c r="K193" s="28">
        <f t="shared" si="14"/>
        <v>1.3770053475935828</v>
      </c>
      <c r="L193" s="28">
        <f t="shared" si="15"/>
        <v>-0.3770053475935829</v>
      </c>
      <c r="M193" s="28">
        <f t="shared" si="16"/>
        <v>0.32846715328467152</v>
      </c>
      <c r="N193" s="28">
        <f t="shared" si="17"/>
        <v>1.4598540145985401E-2</v>
      </c>
      <c r="O193" s="7" t="str">
        <f t="shared" si="18"/>
        <v>Invalid</v>
      </c>
      <c r="P193" s="13" t="str">
        <f t="shared" si="19"/>
        <v>Valid</v>
      </c>
      <c r="Q193" s="7" t="str">
        <f t="shared" si="20"/>
        <v>Invalid</v>
      </c>
    </row>
    <row r="194" spans="1:17" ht="60">
      <c r="A194" s="7" t="str">
        <f>IF(Raw_Data!A194="","",TRIM(SUBSTITUTE(CLEAN(Raw_Data!A194),CHAR(160)," ")))</f>
        <v>Kuje Local Government Area</v>
      </c>
      <c r="B194" s="7" t="str">
        <f>IF(Raw_Data!B194="","",TRIM(SUBSTITUTE(CLEAN(Raw_Data!B194),CHAR(160)," ")))</f>
        <v>Gaube Ward</v>
      </c>
      <c r="C194" s="7" t="str">
        <f>IF(Raw_Data!C194="","",TRIM(SUBSTITUTE(CLEAN(Raw_Data!C194),CHAR(160)," ")))</f>
        <v>Kaura Primary Health Clinic</v>
      </c>
      <c r="D194" s="28" t="str">
        <f>IFERROR(IF(COUNT(Raw_Data!D194:O194)=0,"",AVERAGE(Raw_Data!D194:O194)/100),"")</f>
        <v/>
      </c>
      <c r="E194" s="28" t="str">
        <f>IFERROR(IF(COUNT(Raw_Data!P194:AA194)=0,"",AVERAGE(Raw_Data!P194:AA194)/100),"")</f>
        <v/>
      </c>
      <c r="F194" s="30" t="str">
        <f>IFERROR(IF(COUNT(Raw_Data!AB194:AM194)=0,"",SUM(Raw_Data!AB194:AM194)),"")</f>
        <v/>
      </c>
      <c r="G194" s="30" t="str">
        <f>IFERROR(IF(COUNT(Raw_Data!AN194:AY194)=0,"",SUM(Raw_Data!AN194:AY194)),"")</f>
        <v/>
      </c>
      <c r="H194" s="30">
        <f>IFERROR(IF(COUNT(Raw_Data!AZ194:BK194)=0,"",SUM(Raw_Data!AZ194:BK194)),"")</f>
        <v>23</v>
      </c>
      <c r="I194" s="30">
        <f>IFERROR(IF(COUNT(Raw_Data!BL194:BW194)=0,"",SUM(Raw_Data!BL194:BW194)),"")</f>
        <v>17</v>
      </c>
      <c r="J194" s="30">
        <f>IFERROR(IF(COUNT(Raw_Data!BX194:CI194)=0,"",SUM(Raw_Data!BX194:CI194)),"")</f>
        <v>23</v>
      </c>
      <c r="K194" s="28" t="str">
        <f t="shared" si="14"/>
        <v/>
      </c>
      <c r="L194" s="28" t="str">
        <f t="shared" si="15"/>
        <v/>
      </c>
      <c r="M194" s="28">
        <f t="shared" si="16"/>
        <v>0.73913043478260865</v>
      </c>
      <c r="N194" s="28">
        <f t="shared" si="17"/>
        <v>1</v>
      </c>
      <c r="O194" s="7" t="str">
        <f t="shared" si="18"/>
        <v>No Data</v>
      </c>
      <c r="P194" s="13" t="str">
        <f t="shared" si="19"/>
        <v>Invalid</v>
      </c>
      <c r="Q194" s="7" t="str">
        <f t="shared" si="20"/>
        <v>No Data</v>
      </c>
    </row>
    <row r="195" spans="1:17" ht="60">
      <c r="A195" s="7" t="str">
        <f>IF(Raw_Data!A195="","",TRIM(SUBSTITUTE(CLEAN(Raw_Data!A195),CHAR(160)," ")))</f>
        <v>Bwari Local Government Area</v>
      </c>
      <c r="B195" s="7" t="str">
        <f>IF(Raw_Data!B195="","",TRIM(SUBSTITUTE(CLEAN(Raw_Data!B195),CHAR(160)," ")))</f>
        <v>Kawu Ward</v>
      </c>
      <c r="C195" s="7" t="str">
        <f>IF(Raw_Data!C195="","",TRIM(SUBSTITUTE(CLEAN(Raw_Data!C195),CHAR(160)," ")))</f>
        <v>Kawu Primary Health Center</v>
      </c>
      <c r="D195" s="28">
        <f>IFERROR(IF(COUNT(Raw_Data!D195:O195)=0,"",AVERAGE(Raw_Data!D195:O195)/100),"")</f>
        <v>0.97499999999999998</v>
      </c>
      <c r="E195" s="28">
        <f>IFERROR(IF(COUNT(Raw_Data!P195:AA195)=0,"",AVERAGE(Raw_Data!P195:AA195)/100),"")</f>
        <v>0.66666666666666674</v>
      </c>
      <c r="F195" s="30">
        <f>IFERROR(IF(COUNT(Raw_Data!AB195:AM195)=0,"",SUM(Raw_Data!AB195:AM195)),"")</f>
        <v>714</v>
      </c>
      <c r="G195" s="30">
        <f>IFERROR(IF(COUNT(Raw_Data!AN195:AY195)=0,"",SUM(Raw_Data!AN195:AY195)),"")</f>
        <v>774</v>
      </c>
      <c r="H195" s="30">
        <f>IFERROR(IF(COUNT(Raw_Data!AZ195:BK195)=0,"",SUM(Raw_Data!AZ195:BK195)),"")</f>
        <v>370</v>
      </c>
      <c r="I195" s="30">
        <f>IFERROR(IF(COUNT(Raw_Data!BL195:BW195)=0,"",SUM(Raw_Data!BL195:BW195)),"")</f>
        <v>156</v>
      </c>
      <c r="J195" s="30">
        <f>IFERROR(IF(COUNT(Raw_Data!BX195:CI195)=0,"",SUM(Raw_Data!BX195:CI195)),"")</f>
        <v>14</v>
      </c>
      <c r="K195" s="28">
        <f t="shared" ref="K195:K258" si="21">IFERROR(IF(OR(F195="",G195="",F195&lt;=0),"",G195/F195),"")</f>
        <v>1.0840336134453781</v>
      </c>
      <c r="L195" s="28">
        <f t="shared" ref="L195:L258" si="22">IFERROR(IF(OR(F195="",G195="",F195&lt;=0),"",(F195-G195)/F195),"")</f>
        <v>-8.4033613445378158E-2</v>
      </c>
      <c r="M195" s="28">
        <f t="shared" ref="M195:M258" si="23">IFERROR(IF(OR(H195="",I195="",H195&lt;=0),"",I195/H195),"")</f>
        <v>0.42162162162162165</v>
      </c>
      <c r="N195" s="28">
        <f t="shared" ref="N195:N258" si="24">IFERROR(IF(OR(H195="",J195="",H195&lt;=0),"",J195/H195),"")</f>
        <v>3.783783783783784E-2</v>
      </c>
      <c r="O195" s="7" t="str">
        <f t="shared" ref="O195:O258" si="25">IFERROR(IF(AND(F195="",G195=""),"No Data",IF(OR(F195="",G195="",F195&lt;=0),"Incomplete",IF(OR(G195&gt;F195,K195&lt;0,K195&gt;1,L195&lt;0,L195&gt;1),"Invalid","Valid"))),"Invalid")</f>
        <v>Invalid</v>
      </c>
      <c r="P195" s="13" t="str">
        <f t="shared" ref="P195:P258" si="26">IFERROR(IF(AND(H195="",I195="",J195=""),"No Data",IF(OR(H195="",I195="",J195="",H195&lt;=0),"Incomplete",IF(OR(I195&gt;H195,J195&gt;H195,J195&gt;I195,M195&lt;0,M195&gt;1,N195&lt;0,N195&gt;1),"Invalid","Valid"))),"Invalid")</f>
        <v>Valid</v>
      </c>
      <c r="Q195" s="7" t="str">
        <f t="shared" ref="Q195:Q258" si="27">IF(OR(O195="No Data",P195="No Data"),"No Data",IF(OR(O195="Incomplete",P195="Incomplete"),"Incomplete",IF(OR(O195="Invalid",P195="Invalid"),"Invalid","Valid")))</f>
        <v>Invalid</v>
      </c>
    </row>
    <row r="196" spans="1:17" ht="60">
      <c r="A196" s="7" t="str">
        <f>IF(Raw_Data!A196="","",TRIM(SUBSTITUTE(CLEAN(Raw_Data!A196),CHAR(160)," ")))</f>
        <v>Abaji Local Government Area</v>
      </c>
      <c r="B196" s="7" t="str">
        <f>IF(Raw_Data!B196="","",TRIM(SUBSTITUTE(CLEAN(Raw_Data!B196),CHAR(160)," ")))</f>
        <v>Nuku Sabon Gari Ward</v>
      </c>
      <c r="C196" s="7" t="str">
        <f>IF(Raw_Data!C196="","",TRIM(SUBSTITUTE(CLEAN(Raw_Data!C196),CHAR(160)," ")))</f>
        <v>Kekeshi Primary Health Clinic</v>
      </c>
      <c r="D196" s="28">
        <f>IFERROR(IF(COUNT(Raw_Data!D196:O196)=0,"",AVERAGE(Raw_Data!D196:O196)/100),"")</f>
        <v>0.96</v>
      </c>
      <c r="E196" s="28">
        <f>IFERROR(IF(COUNT(Raw_Data!P196:AA196)=0,"",AVERAGE(Raw_Data!P196:AA196)/100),"")</f>
        <v>0.93333999999999984</v>
      </c>
      <c r="F196" s="30">
        <f>IFERROR(IF(COUNT(Raw_Data!AB196:AM196)=0,"",SUM(Raw_Data!AB196:AM196)),"")</f>
        <v>93</v>
      </c>
      <c r="G196" s="30">
        <f>IFERROR(IF(COUNT(Raw_Data!AN196:AY196)=0,"",SUM(Raw_Data!AN196:AY196)),"")</f>
        <v>56</v>
      </c>
      <c r="H196" s="30">
        <f>IFERROR(IF(COUNT(Raw_Data!AZ196:BK196)=0,"",SUM(Raw_Data!AZ196:BK196)),"")</f>
        <v>52</v>
      </c>
      <c r="I196" s="30">
        <f>IFERROR(IF(COUNT(Raw_Data!BL196:BW196)=0,"",SUM(Raw_Data!BL196:BW196)),"")</f>
        <v>24</v>
      </c>
      <c r="J196" s="30">
        <f>IFERROR(IF(COUNT(Raw_Data!BX196:CI196)=0,"",SUM(Raw_Data!BX196:CI196)),"")</f>
        <v>21</v>
      </c>
      <c r="K196" s="28">
        <f t="shared" si="21"/>
        <v>0.60215053763440862</v>
      </c>
      <c r="L196" s="28">
        <f t="shared" si="22"/>
        <v>0.39784946236559138</v>
      </c>
      <c r="M196" s="28">
        <f t="shared" si="23"/>
        <v>0.46153846153846156</v>
      </c>
      <c r="N196" s="28">
        <f t="shared" si="24"/>
        <v>0.40384615384615385</v>
      </c>
      <c r="O196" s="7" t="str">
        <f t="shared" si="25"/>
        <v>Valid</v>
      </c>
      <c r="P196" s="13" t="str">
        <f t="shared" si="26"/>
        <v>Valid</v>
      </c>
      <c r="Q196" s="7" t="str">
        <f t="shared" si="27"/>
        <v>Valid</v>
      </c>
    </row>
    <row r="197" spans="1:17" ht="60">
      <c r="A197" s="7" t="str">
        <f>IF(Raw_Data!A197="","",TRIM(SUBSTITUTE(CLEAN(Raw_Data!A197),CHAR(160)," ")))</f>
        <v>Bwari Local Government Area</v>
      </c>
      <c r="B197" s="7" t="str">
        <f>IF(Raw_Data!B197="","",TRIM(SUBSTITUTE(CLEAN(Raw_Data!B197),CHAR(160)," ")))</f>
        <v>Usuma Ward</v>
      </c>
      <c r="C197" s="7" t="str">
        <f>IF(Raw_Data!C197="","",TRIM(SUBSTITUTE(CLEAN(Raw_Data!C197),CHAR(160)," ")))</f>
        <v>Kenony Clinic Ltd</v>
      </c>
      <c r="D197" s="28" t="str">
        <f>IFERROR(IF(COUNT(Raw_Data!D197:O197)=0,"",AVERAGE(Raw_Data!D197:O197)/100),"")</f>
        <v/>
      </c>
      <c r="E197" s="28" t="str">
        <f>IFERROR(IF(COUNT(Raw_Data!P197:AA197)=0,"",AVERAGE(Raw_Data!P197:AA197)/100),"")</f>
        <v/>
      </c>
      <c r="F197" s="30" t="str">
        <f>IFERROR(IF(COUNT(Raw_Data!AB197:AM197)=0,"",SUM(Raw_Data!AB197:AM197)),"")</f>
        <v/>
      </c>
      <c r="G197" s="30" t="str">
        <f>IFERROR(IF(COUNT(Raw_Data!AN197:AY197)=0,"",SUM(Raw_Data!AN197:AY197)),"")</f>
        <v/>
      </c>
      <c r="H197" s="30" t="str">
        <f>IFERROR(IF(COUNT(Raw_Data!AZ197:BK197)=0,"",SUM(Raw_Data!AZ197:BK197)),"")</f>
        <v/>
      </c>
      <c r="I197" s="30">
        <f>IFERROR(IF(COUNT(Raw_Data!BL197:BW197)=0,"",SUM(Raw_Data!BL197:BW197)),"")</f>
        <v>2</v>
      </c>
      <c r="J197" s="30" t="str">
        <f>IFERROR(IF(COUNT(Raw_Data!BX197:CI197)=0,"",SUM(Raw_Data!BX197:CI197)),"")</f>
        <v/>
      </c>
      <c r="K197" s="28" t="str">
        <f t="shared" si="21"/>
        <v/>
      </c>
      <c r="L197" s="28" t="str">
        <f t="shared" si="22"/>
        <v/>
      </c>
      <c r="M197" s="28" t="str">
        <f t="shared" si="23"/>
        <v/>
      </c>
      <c r="N197" s="28" t="str">
        <f t="shared" si="24"/>
        <v/>
      </c>
      <c r="O197" s="7" t="str">
        <f t="shared" si="25"/>
        <v>No Data</v>
      </c>
      <c r="P197" s="13" t="str">
        <f t="shared" si="26"/>
        <v>Incomplete</v>
      </c>
      <c r="Q197" s="7" t="str">
        <f t="shared" si="27"/>
        <v>No Data</v>
      </c>
    </row>
    <row r="198" spans="1:17" ht="75">
      <c r="A198" s="7" t="str">
        <f>IF(Raw_Data!A198="","",TRIM(SUBSTITUTE(CLEAN(Raw_Data!A198),CHAR(160)," ")))</f>
        <v>Abuja Municipal Area Council</v>
      </c>
      <c r="B198" s="7" t="str">
        <f>IF(Raw_Data!B198="","",TRIM(SUBSTITUTE(CLEAN(Raw_Data!B198),CHAR(160)," ")))</f>
        <v>Kabusa Ward</v>
      </c>
      <c r="C198" s="7" t="str">
        <f>IF(Raw_Data!C198="","",TRIM(SUBSTITUTE(CLEAN(Raw_Data!C198),CHAR(160)," ")))</f>
        <v>Ketti Primary Health Care Center</v>
      </c>
      <c r="D198" s="28">
        <f>IFERROR(IF(COUNT(Raw_Data!D198:O198)=0,"",AVERAGE(Raw_Data!D198:O198)/100),"")</f>
        <v>0.9</v>
      </c>
      <c r="E198" s="28">
        <f>IFERROR(IF(COUNT(Raw_Data!P198:AA198)=0,"",AVERAGE(Raw_Data!P198:AA198)/100),"")</f>
        <v>0.625</v>
      </c>
      <c r="F198" s="30">
        <f>IFERROR(IF(COUNT(Raw_Data!AB198:AM198)=0,"",SUM(Raw_Data!AB198:AM198)),"")</f>
        <v>233</v>
      </c>
      <c r="G198" s="30">
        <f>IFERROR(IF(COUNT(Raw_Data!AN198:AY198)=0,"",SUM(Raw_Data!AN198:AY198)),"")</f>
        <v>208</v>
      </c>
      <c r="H198" s="30">
        <f>IFERROR(IF(COUNT(Raw_Data!AZ198:BK198)=0,"",SUM(Raw_Data!AZ198:BK198)),"")</f>
        <v>84</v>
      </c>
      <c r="I198" s="30">
        <f>IFERROR(IF(COUNT(Raw_Data!BL198:BW198)=0,"",SUM(Raw_Data!BL198:BW198)),"")</f>
        <v>54</v>
      </c>
      <c r="J198" s="30">
        <f>IFERROR(IF(COUNT(Raw_Data!BX198:CI198)=0,"",SUM(Raw_Data!BX198:CI198)),"")</f>
        <v>9</v>
      </c>
      <c r="K198" s="28">
        <f t="shared" si="21"/>
        <v>0.89270386266094426</v>
      </c>
      <c r="L198" s="28">
        <f t="shared" si="22"/>
        <v>0.1072961373390558</v>
      </c>
      <c r="M198" s="28">
        <f t="shared" si="23"/>
        <v>0.6428571428571429</v>
      </c>
      <c r="N198" s="28">
        <f t="shared" si="24"/>
        <v>0.10714285714285714</v>
      </c>
      <c r="O198" s="7" t="str">
        <f t="shared" si="25"/>
        <v>Valid</v>
      </c>
      <c r="P198" s="13" t="str">
        <f t="shared" si="26"/>
        <v>Valid</v>
      </c>
      <c r="Q198" s="7" t="str">
        <f t="shared" si="27"/>
        <v>Valid</v>
      </c>
    </row>
    <row r="199" spans="1:17" ht="60">
      <c r="A199" s="7" t="str">
        <f>IF(Raw_Data!A199="","",TRIM(SUBSTITUTE(CLEAN(Raw_Data!A199),CHAR(160)," ")))</f>
        <v>Kwali Local Government Area</v>
      </c>
      <c r="B199" s="7" t="str">
        <f>IF(Raw_Data!B199="","",TRIM(SUBSTITUTE(CLEAN(Raw_Data!B199),CHAR(160)," ")))</f>
        <v>Yebu Ward</v>
      </c>
      <c r="C199" s="7" t="str">
        <f>IF(Raw_Data!C199="","",TRIM(SUBSTITUTE(CLEAN(Raw_Data!C199),CHAR(160)," ")))</f>
        <v>Kigbe Primary Health Clinic</v>
      </c>
      <c r="D199" s="28">
        <f>IFERROR(IF(COUNT(Raw_Data!D199:O199)=0,"",AVERAGE(Raw_Data!D199:O199)/100),"")</f>
        <v>1</v>
      </c>
      <c r="E199" s="28">
        <f>IFERROR(IF(COUNT(Raw_Data!P199:AA199)=0,"",AVERAGE(Raw_Data!P199:AA199)/100),"")</f>
        <v>1</v>
      </c>
      <c r="F199" s="30">
        <f>IFERROR(IF(COUNT(Raw_Data!AB199:AM199)=0,"",SUM(Raw_Data!AB199:AM199)),"")</f>
        <v>128</v>
      </c>
      <c r="G199" s="30">
        <f>IFERROR(IF(COUNT(Raw_Data!AN199:AY199)=0,"",SUM(Raw_Data!AN199:AY199)),"")</f>
        <v>122</v>
      </c>
      <c r="H199" s="30">
        <f>IFERROR(IF(COUNT(Raw_Data!AZ199:BK199)=0,"",SUM(Raw_Data!AZ199:BK199)),"")</f>
        <v>84</v>
      </c>
      <c r="I199" s="30">
        <f>IFERROR(IF(COUNT(Raw_Data!BL199:BW199)=0,"",SUM(Raw_Data!BL199:BW199)),"")</f>
        <v>25</v>
      </c>
      <c r="J199" s="30" t="str">
        <f>IFERROR(IF(COUNT(Raw_Data!BX199:CI199)=0,"",SUM(Raw_Data!BX199:CI199)),"")</f>
        <v/>
      </c>
      <c r="K199" s="28">
        <f t="shared" si="21"/>
        <v>0.953125</v>
      </c>
      <c r="L199" s="28">
        <f t="shared" si="22"/>
        <v>4.6875E-2</v>
      </c>
      <c r="M199" s="28">
        <f t="shared" si="23"/>
        <v>0.29761904761904762</v>
      </c>
      <c r="N199" s="28" t="str">
        <f t="shared" si="24"/>
        <v/>
      </c>
      <c r="O199" s="7" t="str">
        <f t="shared" si="25"/>
        <v>Valid</v>
      </c>
      <c r="P199" s="13" t="str">
        <f t="shared" si="26"/>
        <v>Incomplete</v>
      </c>
      <c r="Q199" s="7" t="str">
        <f t="shared" si="27"/>
        <v>Incomplete</v>
      </c>
    </row>
    <row r="200" spans="1:17" ht="60">
      <c r="A200" s="7" t="str">
        <f>IF(Raw_Data!A200="","",TRIM(SUBSTITUTE(CLEAN(Raw_Data!A200),CHAR(160)," ")))</f>
        <v>Kwali Local Government Area</v>
      </c>
      <c r="B200" s="7" t="str">
        <f>IF(Raw_Data!B200="","",TRIM(SUBSTITUTE(CLEAN(Raw_Data!B200),CHAR(160)," ")))</f>
        <v>Kilankwa Ward</v>
      </c>
      <c r="C200" s="7" t="str">
        <f>IF(Raw_Data!C200="","",TRIM(SUBSTITUTE(CLEAN(Raw_Data!C200),CHAR(160)," ")))</f>
        <v>Kilankwa I Primary Health Centre</v>
      </c>
      <c r="D200" s="28">
        <f>IFERROR(IF(COUNT(Raw_Data!D200:O200)=0,"",AVERAGE(Raw_Data!D200:O200)/100),"")</f>
        <v>1</v>
      </c>
      <c r="E200" s="28">
        <f>IFERROR(IF(COUNT(Raw_Data!P200:AA200)=0,"",AVERAGE(Raw_Data!P200:AA200)/100),"")</f>
        <v>0.93181818181818188</v>
      </c>
      <c r="F200" s="30">
        <f>IFERROR(IF(COUNT(Raw_Data!AB200:AM200)=0,"",SUM(Raw_Data!AB200:AM200)),"")</f>
        <v>433</v>
      </c>
      <c r="G200" s="30">
        <f>IFERROR(IF(COUNT(Raw_Data!AN200:AY200)=0,"",SUM(Raw_Data!AN200:AY200)),"")</f>
        <v>407</v>
      </c>
      <c r="H200" s="30">
        <f>IFERROR(IF(COUNT(Raw_Data!AZ200:BK200)=0,"",SUM(Raw_Data!AZ200:BK200)),"")</f>
        <v>57</v>
      </c>
      <c r="I200" s="30">
        <f>IFERROR(IF(COUNT(Raw_Data!BL200:BW200)=0,"",SUM(Raw_Data!BL200:BW200)),"")</f>
        <v>7</v>
      </c>
      <c r="J200" s="30" t="str">
        <f>IFERROR(IF(COUNT(Raw_Data!BX200:CI200)=0,"",SUM(Raw_Data!BX200:CI200)),"")</f>
        <v/>
      </c>
      <c r="K200" s="28">
        <f t="shared" si="21"/>
        <v>0.93995381062355654</v>
      </c>
      <c r="L200" s="28">
        <f t="shared" si="22"/>
        <v>6.0046189376443418E-2</v>
      </c>
      <c r="M200" s="28">
        <f t="shared" si="23"/>
        <v>0.12280701754385964</v>
      </c>
      <c r="N200" s="28" t="str">
        <f t="shared" si="24"/>
        <v/>
      </c>
      <c r="O200" s="7" t="str">
        <f t="shared" si="25"/>
        <v>Valid</v>
      </c>
      <c r="P200" s="13" t="str">
        <f t="shared" si="26"/>
        <v>Incomplete</v>
      </c>
      <c r="Q200" s="7" t="str">
        <f t="shared" si="27"/>
        <v>Incomplete</v>
      </c>
    </row>
    <row r="201" spans="1:17" ht="75">
      <c r="A201" s="7" t="str">
        <f>IF(Raw_Data!A201="","",TRIM(SUBSTITUTE(CLEAN(Raw_Data!A201),CHAR(160)," ")))</f>
        <v>Kwali Local Government Area</v>
      </c>
      <c r="B201" s="7" t="str">
        <f>IF(Raw_Data!B201="","",TRIM(SUBSTITUTE(CLEAN(Raw_Data!B201),CHAR(160)," ")))</f>
        <v>Kilankwa Ward</v>
      </c>
      <c r="C201" s="7" t="str">
        <f>IF(Raw_Data!C201="","",TRIM(SUBSTITUTE(CLEAN(Raw_Data!C201),CHAR(160)," ")))</f>
        <v>Kilankwa II Primary Health Clinic</v>
      </c>
      <c r="D201" s="28">
        <f>IFERROR(IF(COUNT(Raw_Data!D201:O201)=0,"",AVERAGE(Raw_Data!D201:O201)/100),"")</f>
        <v>1</v>
      </c>
      <c r="E201" s="28">
        <f>IFERROR(IF(COUNT(Raw_Data!P201:AA201)=0,"",AVERAGE(Raw_Data!P201:AA201)/100),"")</f>
        <v>1</v>
      </c>
      <c r="F201" s="30">
        <f>IFERROR(IF(COUNT(Raw_Data!AB201:AM201)=0,"",SUM(Raw_Data!AB201:AM201)),"")</f>
        <v>244</v>
      </c>
      <c r="G201" s="30">
        <f>IFERROR(IF(COUNT(Raw_Data!AN201:AY201)=0,"",SUM(Raw_Data!AN201:AY201)),"")</f>
        <v>246</v>
      </c>
      <c r="H201" s="30">
        <f>IFERROR(IF(COUNT(Raw_Data!AZ201:BK201)=0,"",SUM(Raw_Data!AZ201:BK201)),"")</f>
        <v>208</v>
      </c>
      <c r="I201" s="30">
        <f>IFERROR(IF(COUNT(Raw_Data!BL201:BW201)=0,"",SUM(Raw_Data!BL201:BW201)),"")</f>
        <v>77</v>
      </c>
      <c r="J201" s="30">
        <f>IFERROR(IF(COUNT(Raw_Data!BX201:CI201)=0,"",SUM(Raw_Data!BX201:CI201)),"")</f>
        <v>43</v>
      </c>
      <c r="K201" s="28">
        <f t="shared" si="21"/>
        <v>1.0081967213114753</v>
      </c>
      <c r="L201" s="28">
        <f t="shared" si="22"/>
        <v>-8.1967213114754103E-3</v>
      </c>
      <c r="M201" s="28">
        <f t="shared" si="23"/>
        <v>0.37019230769230771</v>
      </c>
      <c r="N201" s="28">
        <f t="shared" si="24"/>
        <v>0.20673076923076922</v>
      </c>
      <c r="O201" s="7" t="str">
        <f t="shared" si="25"/>
        <v>Invalid</v>
      </c>
      <c r="P201" s="13" t="str">
        <f t="shared" si="26"/>
        <v>Valid</v>
      </c>
      <c r="Q201" s="7" t="str">
        <f t="shared" si="27"/>
        <v>Invalid</v>
      </c>
    </row>
    <row r="202" spans="1:17" ht="60">
      <c r="A202" s="7" t="str">
        <f>IF(Raw_Data!A202="","",TRIM(SUBSTITUTE(CLEAN(Raw_Data!A202),CHAR(160)," ")))</f>
        <v>Abuja Municipal Area Council</v>
      </c>
      <c r="B202" s="7" t="str">
        <f>IF(Raw_Data!B202="","",TRIM(SUBSTITUTE(CLEAN(Raw_Data!B202),CHAR(160)," ")))</f>
        <v>City Centre Ward</v>
      </c>
      <c r="C202" s="7" t="str">
        <f>IF(Raw_Data!C202="","",TRIM(SUBSTITUTE(CLEAN(Raw_Data!C202),CHAR(160)," ")))</f>
        <v>Kinectic Hospital</v>
      </c>
      <c r="D202" s="28" t="str">
        <f>IFERROR(IF(COUNT(Raw_Data!D202:O202)=0,"",AVERAGE(Raw_Data!D202:O202)/100),"")</f>
        <v/>
      </c>
      <c r="E202" s="28" t="str">
        <f>IFERROR(IF(COUNT(Raw_Data!P202:AA202)=0,"",AVERAGE(Raw_Data!P202:AA202)/100),"")</f>
        <v/>
      </c>
      <c r="F202" s="30">
        <f>IFERROR(IF(COUNT(Raw_Data!AB202:AM202)=0,"",SUM(Raw_Data!AB202:AM202)),"")</f>
        <v>21</v>
      </c>
      <c r="G202" s="30">
        <f>IFERROR(IF(COUNT(Raw_Data!AN202:AY202)=0,"",SUM(Raw_Data!AN202:AY202)),"")</f>
        <v>19</v>
      </c>
      <c r="H202" s="30">
        <f>IFERROR(IF(COUNT(Raw_Data!AZ202:BK202)=0,"",SUM(Raw_Data!AZ202:BK202)),"")</f>
        <v>27</v>
      </c>
      <c r="I202" s="30">
        <f>IFERROR(IF(COUNT(Raw_Data!BL202:BW202)=0,"",SUM(Raw_Data!BL202:BW202)),"")</f>
        <v>22</v>
      </c>
      <c r="J202" s="30">
        <f>IFERROR(IF(COUNT(Raw_Data!BX202:CI202)=0,"",SUM(Raw_Data!BX202:CI202)),"")</f>
        <v>1</v>
      </c>
      <c r="K202" s="28">
        <f t="shared" si="21"/>
        <v>0.90476190476190477</v>
      </c>
      <c r="L202" s="28">
        <f t="shared" si="22"/>
        <v>9.5238095238095233E-2</v>
      </c>
      <c r="M202" s="28">
        <f t="shared" si="23"/>
        <v>0.81481481481481477</v>
      </c>
      <c r="N202" s="28">
        <f t="shared" si="24"/>
        <v>3.7037037037037035E-2</v>
      </c>
      <c r="O202" s="7" t="str">
        <f t="shared" si="25"/>
        <v>Valid</v>
      </c>
      <c r="P202" s="13" t="str">
        <f t="shared" si="26"/>
        <v>Valid</v>
      </c>
      <c r="Q202" s="7" t="str">
        <f t="shared" si="27"/>
        <v>Valid</v>
      </c>
    </row>
    <row r="203" spans="1:17" ht="90">
      <c r="A203" s="7" t="str">
        <f>IF(Raw_Data!A203="","",TRIM(SUBSTITUTE(CLEAN(Raw_Data!A203),CHAR(160)," ")))</f>
        <v>Abuja Municipal Area Council</v>
      </c>
      <c r="B203" s="7" t="str">
        <f>IF(Raw_Data!B203="","",TRIM(SUBSTITUTE(CLEAN(Raw_Data!B203),CHAR(160)," ")))</f>
        <v>Wuse Ward</v>
      </c>
      <c r="C203" s="7" t="str">
        <f>IF(Raw_Data!C203="","",TRIM(SUBSTITUTE(CLEAN(Raw_Data!C203),CHAR(160)," ")))</f>
        <v>King'S Care Hospital and Maternity (Wuse)</v>
      </c>
      <c r="D203" s="28">
        <f>IFERROR(IF(COUNT(Raw_Data!D203:O203)=0,"",AVERAGE(Raw_Data!D203:O203)/100),"")</f>
        <v>1</v>
      </c>
      <c r="E203" s="28" t="str">
        <f>IFERROR(IF(COUNT(Raw_Data!P203:AA203)=0,"",AVERAGE(Raw_Data!P203:AA203)/100),"")</f>
        <v/>
      </c>
      <c r="F203" s="30">
        <f>IFERROR(IF(COUNT(Raw_Data!AB203:AM203)=0,"",SUM(Raw_Data!AB203:AM203)),"")</f>
        <v>87</v>
      </c>
      <c r="G203" s="30">
        <f>IFERROR(IF(COUNT(Raw_Data!AN203:AY203)=0,"",SUM(Raw_Data!AN203:AY203)),"")</f>
        <v>55</v>
      </c>
      <c r="H203" s="30">
        <f>IFERROR(IF(COUNT(Raw_Data!AZ203:BK203)=0,"",SUM(Raw_Data!AZ203:BK203)),"")</f>
        <v>217</v>
      </c>
      <c r="I203" s="30">
        <f>IFERROR(IF(COUNT(Raw_Data!BL203:BW203)=0,"",SUM(Raw_Data!BL203:BW203)),"")</f>
        <v>201</v>
      </c>
      <c r="J203" s="30">
        <f>IFERROR(IF(COUNT(Raw_Data!BX203:CI203)=0,"",SUM(Raw_Data!BX203:CI203)),"")</f>
        <v>97</v>
      </c>
      <c r="K203" s="28">
        <f t="shared" si="21"/>
        <v>0.63218390804597702</v>
      </c>
      <c r="L203" s="28">
        <f t="shared" si="22"/>
        <v>0.36781609195402298</v>
      </c>
      <c r="M203" s="28">
        <f t="shared" si="23"/>
        <v>0.92626728110599077</v>
      </c>
      <c r="N203" s="28">
        <f t="shared" si="24"/>
        <v>0.44700460829493088</v>
      </c>
      <c r="O203" s="7" t="str">
        <f t="shared" si="25"/>
        <v>Valid</v>
      </c>
      <c r="P203" s="13" t="str">
        <f t="shared" si="26"/>
        <v>Valid</v>
      </c>
      <c r="Q203" s="7" t="str">
        <f t="shared" si="27"/>
        <v>Valid</v>
      </c>
    </row>
    <row r="204" spans="1:17" ht="60">
      <c r="A204" s="7" t="str">
        <f>IF(Raw_Data!A204="","",TRIM(SUBSTITUTE(CLEAN(Raw_Data!A204),CHAR(160)," ")))</f>
        <v>Kuje Local Government Area</v>
      </c>
      <c r="B204" s="7" t="str">
        <f>IF(Raw_Data!B204="","",TRIM(SUBSTITUTE(CLEAN(Raw_Data!B204),CHAR(160)," ")))</f>
        <v>Chibiri Ward</v>
      </c>
      <c r="C204" s="7" t="str">
        <f>IF(Raw_Data!C204="","",TRIM(SUBSTITUTE(CLEAN(Raw_Data!C204),CHAR(160)," ")))</f>
        <v>Kiyi Primary Health Centre</v>
      </c>
      <c r="D204" s="28">
        <f>IFERROR(IF(COUNT(Raw_Data!D204:O204)=0,"",AVERAGE(Raw_Data!D204:O204)/100),"")</f>
        <v>0.90909090909090906</v>
      </c>
      <c r="E204" s="28">
        <f>IFERROR(IF(COUNT(Raw_Data!P204:AA204)=0,"",AVERAGE(Raw_Data!P204:AA204)/100),"")</f>
        <v>0.9</v>
      </c>
      <c r="F204" s="30">
        <f>IFERROR(IF(COUNT(Raw_Data!AB204:AM204)=0,"",SUM(Raw_Data!AB204:AM204)),"")</f>
        <v>147</v>
      </c>
      <c r="G204" s="30">
        <f>IFERROR(IF(COUNT(Raw_Data!AN204:AY204)=0,"",SUM(Raw_Data!AN204:AY204)),"")</f>
        <v>108</v>
      </c>
      <c r="H204" s="30">
        <f>IFERROR(IF(COUNT(Raw_Data!AZ204:BK204)=0,"",SUM(Raw_Data!AZ204:BK204)),"")</f>
        <v>124</v>
      </c>
      <c r="I204" s="30">
        <f>IFERROR(IF(COUNT(Raw_Data!BL204:BW204)=0,"",SUM(Raw_Data!BL204:BW204)),"")</f>
        <v>51</v>
      </c>
      <c r="J204" s="30">
        <f>IFERROR(IF(COUNT(Raw_Data!BX204:CI204)=0,"",SUM(Raw_Data!BX204:CI204)),"")</f>
        <v>50</v>
      </c>
      <c r="K204" s="28">
        <f t="shared" si="21"/>
        <v>0.73469387755102045</v>
      </c>
      <c r="L204" s="28">
        <f t="shared" si="22"/>
        <v>0.26530612244897961</v>
      </c>
      <c r="M204" s="28">
        <f t="shared" si="23"/>
        <v>0.41129032258064518</v>
      </c>
      <c r="N204" s="28">
        <f t="shared" si="24"/>
        <v>0.40322580645161288</v>
      </c>
      <c r="O204" s="7" t="str">
        <f t="shared" si="25"/>
        <v>Valid</v>
      </c>
      <c r="P204" s="13" t="str">
        <f t="shared" si="26"/>
        <v>Valid</v>
      </c>
      <c r="Q204" s="7" t="str">
        <f t="shared" si="27"/>
        <v>Valid</v>
      </c>
    </row>
    <row r="205" spans="1:17" ht="60">
      <c r="A205" s="7" t="str">
        <f>IF(Raw_Data!A205="","",TRIM(SUBSTITUTE(CLEAN(Raw_Data!A205),CHAR(160)," ")))</f>
        <v>Abuja Municipal Area Council</v>
      </c>
      <c r="B205" s="7" t="str">
        <f>IF(Raw_Data!B205="","",TRIM(SUBSTITUTE(CLEAN(Raw_Data!B205),CHAR(160)," ")))</f>
        <v>Garki Ward</v>
      </c>
      <c r="C205" s="7" t="str">
        <f>IF(Raw_Data!C205="","",TRIM(SUBSTITUTE(CLEAN(Raw_Data!C205),CHAR(160)," ")))</f>
        <v>Kobi Primary Health clinic</v>
      </c>
      <c r="D205" s="28">
        <f>IFERROR(IF(COUNT(Raw_Data!D205:O205)=0,"",AVERAGE(Raw_Data!D205:O205)/100),"")</f>
        <v>1.0493777777777777</v>
      </c>
      <c r="E205" s="28">
        <f>IFERROR(IF(COUNT(Raw_Data!P205:AA205)=0,"",AVERAGE(Raw_Data!P205:AA205)/100),"")</f>
        <v>0.79859999999999998</v>
      </c>
      <c r="F205" s="30">
        <f>IFERROR(IF(COUNT(Raw_Data!AB205:AM205)=0,"",SUM(Raw_Data!AB205:AM205)),"")</f>
        <v>875</v>
      </c>
      <c r="G205" s="30">
        <f>IFERROR(IF(COUNT(Raw_Data!AN205:AY205)=0,"",SUM(Raw_Data!AN205:AY205)),"")</f>
        <v>781</v>
      </c>
      <c r="H205" s="30">
        <f>IFERROR(IF(COUNT(Raw_Data!AZ205:BK205)=0,"",SUM(Raw_Data!AZ205:BK205)),"")</f>
        <v>414</v>
      </c>
      <c r="I205" s="30">
        <f>IFERROR(IF(COUNT(Raw_Data!BL205:BW205)=0,"",SUM(Raw_Data!BL205:BW205)),"")</f>
        <v>117</v>
      </c>
      <c r="J205" s="30">
        <f>IFERROR(IF(COUNT(Raw_Data!BX205:CI205)=0,"",SUM(Raw_Data!BX205:CI205)),"")</f>
        <v>3</v>
      </c>
      <c r="K205" s="28">
        <f t="shared" si="21"/>
        <v>0.89257142857142857</v>
      </c>
      <c r="L205" s="28">
        <f t="shared" si="22"/>
        <v>0.10742857142857143</v>
      </c>
      <c r="M205" s="28">
        <f t="shared" si="23"/>
        <v>0.28260869565217389</v>
      </c>
      <c r="N205" s="28">
        <f t="shared" si="24"/>
        <v>7.246376811594203E-3</v>
      </c>
      <c r="O205" s="7" t="str">
        <f t="shared" si="25"/>
        <v>Valid</v>
      </c>
      <c r="P205" s="13" t="str">
        <f t="shared" si="26"/>
        <v>Valid</v>
      </c>
      <c r="Q205" s="7" t="str">
        <f t="shared" si="27"/>
        <v>Valid</v>
      </c>
    </row>
    <row r="206" spans="1:17" ht="60">
      <c r="A206" s="7" t="str">
        <f>IF(Raw_Data!A206="","",TRIM(SUBSTITUTE(CLEAN(Raw_Data!A206),CHAR(160)," ")))</f>
        <v>Bwari Local Government Area</v>
      </c>
      <c r="B206" s="7" t="str">
        <f>IF(Raw_Data!B206="","",TRIM(SUBSTITUTE(CLEAN(Raw_Data!B206),CHAR(160)," ")))</f>
        <v>Bwari Central Ward</v>
      </c>
      <c r="C206" s="7" t="str">
        <f>IF(Raw_Data!C206="","",TRIM(SUBSTITUTE(CLEAN(Raw_Data!C206),CHAR(160)," ")))</f>
        <v>Kogo Primary Health Centre</v>
      </c>
      <c r="D206" s="28">
        <f>IFERROR(IF(COUNT(Raw_Data!D206:O206)=0,"",AVERAGE(Raw_Data!D206:O206)/100),"")</f>
        <v>0.94823636363636354</v>
      </c>
      <c r="E206" s="28">
        <f>IFERROR(IF(COUNT(Raw_Data!P206:AA206)=0,"",AVERAGE(Raw_Data!P206:AA206)/100),"")</f>
        <v>0.75</v>
      </c>
      <c r="F206" s="30">
        <f>IFERROR(IF(COUNT(Raw_Data!AB206:AM206)=0,"",SUM(Raw_Data!AB206:AM206)),"")</f>
        <v>315</v>
      </c>
      <c r="G206" s="30">
        <f>IFERROR(IF(COUNT(Raw_Data!AN206:AY206)=0,"",SUM(Raw_Data!AN206:AY206)),"")</f>
        <v>297</v>
      </c>
      <c r="H206" s="30">
        <f>IFERROR(IF(COUNT(Raw_Data!AZ206:BK206)=0,"",SUM(Raw_Data!AZ206:BK206)),"")</f>
        <v>275</v>
      </c>
      <c r="I206" s="30">
        <f>IFERROR(IF(COUNT(Raw_Data!BL206:BW206)=0,"",SUM(Raw_Data!BL206:BW206)),"")</f>
        <v>161</v>
      </c>
      <c r="J206" s="30">
        <f>IFERROR(IF(COUNT(Raw_Data!BX206:CI206)=0,"",SUM(Raw_Data!BX206:CI206)),"")</f>
        <v>55</v>
      </c>
      <c r="K206" s="28">
        <f t="shared" si="21"/>
        <v>0.94285714285714284</v>
      </c>
      <c r="L206" s="28">
        <f t="shared" si="22"/>
        <v>5.7142857142857141E-2</v>
      </c>
      <c r="M206" s="28">
        <f t="shared" si="23"/>
        <v>0.58545454545454545</v>
      </c>
      <c r="N206" s="28">
        <f t="shared" si="24"/>
        <v>0.2</v>
      </c>
      <c r="O206" s="7" t="str">
        <f t="shared" si="25"/>
        <v>Valid</v>
      </c>
      <c r="P206" s="13" t="str">
        <f t="shared" si="26"/>
        <v>Valid</v>
      </c>
      <c r="Q206" s="7" t="str">
        <f t="shared" si="27"/>
        <v>Valid</v>
      </c>
    </row>
    <row r="207" spans="1:17" ht="60">
      <c r="A207" s="7" t="str">
        <f>IF(Raw_Data!A207="","",TRIM(SUBSTITUTE(CLEAN(Raw_Data!A207),CHAR(160)," ")))</f>
        <v>Kwali Local Government Area</v>
      </c>
      <c r="B207" s="7" t="str">
        <f>IF(Raw_Data!B207="","",TRIM(SUBSTITUTE(CLEAN(Raw_Data!B207),CHAR(160)," ")))</f>
        <v>Yangoji Ward</v>
      </c>
      <c r="C207" s="7" t="str">
        <f>IF(Raw_Data!C207="","",TRIM(SUBSTITUTE(CLEAN(Raw_Data!C207),CHAR(160)," ")))</f>
        <v>Koroko Primary Health Centre</v>
      </c>
      <c r="D207" s="28">
        <f>IFERROR(IF(COUNT(Raw_Data!D207:O207)=0,"",AVERAGE(Raw_Data!D207:O207)/100),"")</f>
        <v>0.82499999999999996</v>
      </c>
      <c r="E207" s="28">
        <f>IFERROR(IF(COUNT(Raw_Data!P207:AA207)=0,"",AVERAGE(Raw_Data!P207:AA207)/100),"")</f>
        <v>0.86111111111111116</v>
      </c>
      <c r="F207" s="30">
        <f>IFERROR(IF(COUNT(Raw_Data!AB207:AM207)=0,"",SUM(Raw_Data!AB207:AM207)),"")</f>
        <v>214</v>
      </c>
      <c r="G207" s="30">
        <f>IFERROR(IF(COUNT(Raw_Data!AN207:AY207)=0,"",SUM(Raw_Data!AN207:AY207)),"")</f>
        <v>381</v>
      </c>
      <c r="H207" s="30">
        <f>IFERROR(IF(COUNT(Raw_Data!AZ207:BK207)=0,"",SUM(Raw_Data!AZ207:BK207)),"")</f>
        <v>117</v>
      </c>
      <c r="I207" s="30">
        <f>IFERROR(IF(COUNT(Raw_Data!BL207:BW207)=0,"",SUM(Raw_Data!BL207:BW207)),"")</f>
        <v>11</v>
      </c>
      <c r="J207" s="30" t="str">
        <f>IFERROR(IF(COUNT(Raw_Data!BX207:CI207)=0,"",SUM(Raw_Data!BX207:CI207)),"")</f>
        <v/>
      </c>
      <c r="K207" s="28">
        <f t="shared" si="21"/>
        <v>1.780373831775701</v>
      </c>
      <c r="L207" s="28">
        <f t="shared" si="22"/>
        <v>-0.78037383177570097</v>
      </c>
      <c r="M207" s="28">
        <f t="shared" si="23"/>
        <v>9.4017094017094016E-2</v>
      </c>
      <c r="N207" s="28" t="str">
        <f t="shared" si="24"/>
        <v/>
      </c>
      <c r="O207" s="7" t="str">
        <f t="shared" si="25"/>
        <v>Invalid</v>
      </c>
      <c r="P207" s="13" t="str">
        <f t="shared" si="26"/>
        <v>Incomplete</v>
      </c>
      <c r="Q207" s="7" t="str">
        <f t="shared" si="27"/>
        <v>Incomplete</v>
      </c>
    </row>
    <row r="208" spans="1:17" ht="60">
      <c r="A208" s="7" t="str">
        <f>IF(Raw_Data!A208="","",TRIM(SUBSTITUTE(CLEAN(Raw_Data!A208),CHAR(160)," ")))</f>
        <v>Abaji Local Government Area</v>
      </c>
      <c r="B208" s="7" t="str">
        <f>IF(Raw_Data!B208="","",TRIM(SUBSTITUTE(CLEAN(Raw_Data!B208),CHAR(160)," ")))</f>
        <v>Yaba Ward</v>
      </c>
      <c r="C208" s="7" t="str">
        <f>IF(Raw_Data!C208="","",TRIM(SUBSTITUTE(CLEAN(Raw_Data!C208),CHAR(160)," ")))</f>
        <v>Kpache Primary Health Clinic</v>
      </c>
      <c r="D208" s="28">
        <f>IFERROR(IF(COUNT(Raw_Data!D208:O208)=0,"",AVERAGE(Raw_Data!D208:O208)/100),"")</f>
        <v>1.0249999999999999</v>
      </c>
      <c r="E208" s="28">
        <f>IFERROR(IF(COUNT(Raw_Data!P208:AA208)=0,"",AVERAGE(Raw_Data!P208:AA208)/100),"")</f>
        <v>1.2222222222222223</v>
      </c>
      <c r="F208" s="30">
        <f>IFERROR(IF(COUNT(Raw_Data!AB208:AM208)=0,"",SUM(Raw_Data!AB208:AM208)),"")</f>
        <v>318</v>
      </c>
      <c r="G208" s="30">
        <f>IFERROR(IF(COUNT(Raw_Data!AN208:AY208)=0,"",SUM(Raw_Data!AN208:AY208)),"")</f>
        <v>324</v>
      </c>
      <c r="H208" s="30">
        <f>IFERROR(IF(COUNT(Raw_Data!AZ208:BK208)=0,"",SUM(Raw_Data!AZ208:BK208)),"")</f>
        <v>39</v>
      </c>
      <c r="I208" s="30">
        <f>IFERROR(IF(COUNT(Raw_Data!BL208:BW208)=0,"",SUM(Raw_Data!BL208:BW208)),"")</f>
        <v>56</v>
      </c>
      <c r="J208" s="30">
        <f>IFERROR(IF(COUNT(Raw_Data!BX208:CI208)=0,"",SUM(Raw_Data!BX208:CI208)),"")</f>
        <v>59</v>
      </c>
      <c r="K208" s="28">
        <f t="shared" si="21"/>
        <v>1.0188679245283019</v>
      </c>
      <c r="L208" s="28">
        <f t="shared" si="22"/>
        <v>-1.8867924528301886E-2</v>
      </c>
      <c r="M208" s="28">
        <f t="shared" si="23"/>
        <v>1.4358974358974359</v>
      </c>
      <c r="N208" s="28">
        <f t="shared" si="24"/>
        <v>1.5128205128205128</v>
      </c>
      <c r="O208" s="7" t="str">
        <f t="shared" si="25"/>
        <v>Invalid</v>
      </c>
      <c r="P208" s="13" t="str">
        <f t="shared" si="26"/>
        <v>Invalid</v>
      </c>
      <c r="Q208" s="7" t="str">
        <f t="shared" si="27"/>
        <v>Invalid</v>
      </c>
    </row>
    <row r="209" spans="1:17" ht="75">
      <c r="A209" s="7" t="str">
        <f>IF(Raw_Data!A209="","",TRIM(SUBSTITUTE(CLEAN(Raw_Data!A209),CHAR(160)," ")))</f>
        <v>Gwagwalada Local Government Area</v>
      </c>
      <c r="B209" s="7" t="str">
        <f>IF(Raw_Data!B209="","",TRIM(SUBSTITUTE(CLEAN(Raw_Data!B209),CHAR(160)," ")))</f>
        <v>Gwako Ward</v>
      </c>
      <c r="C209" s="7" t="str">
        <f>IF(Raw_Data!C209="","",TRIM(SUBSTITUTE(CLEAN(Raw_Data!C209),CHAR(160)," ")))</f>
        <v>Kpakuru Liman Primary Health Clinic</v>
      </c>
      <c r="D209" s="28">
        <f>IFERROR(IF(COUNT(Raw_Data!D209:O209)=0,"",AVERAGE(Raw_Data!D209:O209)/100),"")</f>
        <v>0.92500000000000004</v>
      </c>
      <c r="E209" s="28">
        <f>IFERROR(IF(COUNT(Raw_Data!P209:AA209)=0,"",AVERAGE(Raw_Data!P209:AA209)/100),"")</f>
        <v>0.92500000000000004</v>
      </c>
      <c r="F209" s="30">
        <f>IFERROR(IF(COUNT(Raw_Data!AB209:AM209)=0,"",SUM(Raw_Data!AB209:AM209)),"")</f>
        <v>343</v>
      </c>
      <c r="G209" s="30">
        <f>IFERROR(IF(COUNT(Raw_Data!AN209:AY209)=0,"",SUM(Raw_Data!AN209:AY209)),"")</f>
        <v>832</v>
      </c>
      <c r="H209" s="30">
        <f>IFERROR(IF(COUNT(Raw_Data!AZ209:BK209)=0,"",SUM(Raw_Data!AZ209:BK209)),"")</f>
        <v>131</v>
      </c>
      <c r="I209" s="30">
        <f>IFERROR(IF(COUNT(Raw_Data!BL209:BW209)=0,"",SUM(Raw_Data!BL209:BW209)),"")</f>
        <v>25</v>
      </c>
      <c r="J209" s="30" t="str">
        <f>IFERROR(IF(COUNT(Raw_Data!BX209:CI209)=0,"",SUM(Raw_Data!BX209:CI209)),"")</f>
        <v/>
      </c>
      <c r="K209" s="28">
        <f t="shared" si="21"/>
        <v>2.425655976676385</v>
      </c>
      <c r="L209" s="28">
        <f t="shared" si="22"/>
        <v>-1.4256559766763848</v>
      </c>
      <c r="M209" s="28">
        <f t="shared" si="23"/>
        <v>0.19083969465648856</v>
      </c>
      <c r="N209" s="28" t="str">
        <f t="shared" si="24"/>
        <v/>
      </c>
      <c r="O209" s="7" t="str">
        <f t="shared" si="25"/>
        <v>Invalid</v>
      </c>
      <c r="P209" s="13" t="str">
        <f t="shared" si="26"/>
        <v>Incomplete</v>
      </c>
      <c r="Q209" s="7" t="str">
        <f t="shared" si="27"/>
        <v>Incomplete</v>
      </c>
    </row>
    <row r="210" spans="1:17" ht="60">
      <c r="A210" s="7" t="str">
        <f>IF(Raw_Data!A210="","",TRIM(SUBSTITUTE(CLEAN(Raw_Data!A210),CHAR(160)," ")))</f>
        <v>Abuja Municipal Area Council</v>
      </c>
      <c r="B210" s="7" t="str">
        <f>IF(Raw_Data!B210="","",TRIM(SUBSTITUTE(CLEAN(Raw_Data!B210),CHAR(160)," ")))</f>
        <v>Orozo Ward</v>
      </c>
      <c r="C210" s="7" t="str">
        <f>IF(Raw_Data!C210="","",TRIM(SUBSTITUTE(CLEAN(Raw_Data!C210),CHAR(160)," ")))</f>
        <v>Kpeyegyi Primary Health Centre</v>
      </c>
      <c r="D210" s="28">
        <f>IFERROR(IF(COUNT(Raw_Data!D210:O210)=0,"",AVERAGE(Raw_Data!D210:O210)/100),"")</f>
        <v>0.93181818181818188</v>
      </c>
      <c r="E210" s="28">
        <f>IFERROR(IF(COUNT(Raw_Data!P210:AA210)=0,"",AVERAGE(Raw_Data!P210:AA210)/100),"")</f>
        <v>0.5</v>
      </c>
      <c r="F210" s="30">
        <f>IFERROR(IF(COUNT(Raw_Data!AB210:AM210)=0,"",SUM(Raw_Data!AB210:AM210)),"")</f>
        <v>141</v>
      </c>
      <c r="G210" s="30">
        <f>IFERROR(IF(COUNT(Raw_Data!AN210:AY210)=0,"",SUM(Raw_Data!AN210:AY210)),"")</f>
        <v>133</v>
      </c>
      <c r="H210" s="30">
        <f>IFERROR(IF(COUNT(Raw_Data!AZ210:BK210)=0,"",SUM(Raw_Data!AZ210:BK210)),"")</f>
        <v>44</v>
      </c>
      <c r="I210" s="30">
        <f>IFERROR(IF(COUNT(Raw_Data!BL210:BW210)=0,"",SUM(Raw_Data!BL210:BW210)),"")</f>
        <v>16</v>
      </c>
      <c r="J210" s="30" t="str">
        <f>IFERROR(IF(COUNT(Raw_Data!BX210:CI210)=0,"",SUM(Raw_Data!BX210:CI210)),"")</f>
        <v/>
      </c>
      <c r="K210" s="28">
        <f t="shared" si="21"/>
        <v>0.94326241134751776</v>
      </c>
      <c r="L210" s="28">
        <f t="shared" si="22"/>
        <v>5.6737588652482268E-2</v>
      </c>
      <c r="M210" s="28">
        <f t="shared" si="23"/>
        <v>0.36363636363636365</v>
      </c>
      <c r="N210" s="28" t="str">
        <f t="shared" si="24"/>
        <v/>
      </c>
      <c r="O210" s="7" t="str">
        <f t="shared" si="25"/>
        <v>Valid</v>
      </c>
      <c r="P210" s="13" t="str">
        <f t="shared" si="26"/>
        <v>Incomplete</v>
      </c>
      <c r="Q210" s="7" t="str">
        <f t="shared" si="27"/>
        <v>Incomplete</v>
      </c>
    </row>
    <row r="211" spans="1:17" ht="60">
      <c r="A211" s="7" t="str">
        <f>IF(Raw_Data!A211="","",TRIM(SUBSTITUTE(CLEAN(Raw_Data!A211),CHAR(160)," ")))</f>
        <v>Bwari Local Government Area</v>
      </c>
      <c r="B211" s="7" t="str">
        <f>IF(Raw_Data!B211="","",TRIM(SUBSTITUTE(CLEAN(Raw_Data!B211),CHAR(160)," ")))</f>
        <v>Usuma Ward</v>
      </c>
      <c r="C211" s="7" t="str">
        <f>IF(Raw_Data!C211="","",TRIM(SUBSTITUTE(CLEAN(Raw_Data!C211),CHAR(160)," ")))</f>
        <v>Kubwa General Hospital</v>
      </c>
      <c r="D211" s="28">
        <f>IFERROR(IF(COUNT(Raw_Data!D211:O211)=0,"",AVERAGE(Raw_Data!D211:O211)/100),"")</f>
        <v>1</v>
      </c>
      <c r="E211" s="28">
        <f>IFERROR(IF(COUNT(Raw_Data!P211:AA211)=0,"",AVERAGE(Raw_Data!P211:AA211)/100),"")</f>
        <v>1</v>
      </c>
      <c r="F211" s="30">
        <f>IFERROR(IF(COUNT(Raw_Data!AB211:AM211)=0,"",SUM(Raw_Data!AB211:AM211)),"")</f>
        <v>2586</v>
      </c>
      <c r="G211" s="30">
        <f>IFERROR(IF(COUNT(Raw_Data!AN211:AY211)=0,"",SUM(Raw_Data!AN211:AY211)),"")</f>
        <v>6412</v>
      </c>
      <c r="H211" s="30">
        <f>IFERROR(IF(COUNT(Raw_Data!AZ211:BK211)=0,"",SUM(Raw_Data!AZ211:BK211)),"")</f>
        <v>2242</v>
      </c>
      <c r="I211" s="30">
        <f>IFERROR(IF(COUNT(Raw_Data!BL211:BW211)=0,"",SUM(Raw_Data!BL211:BW211)),"")</f>
        <v>570</v>
      </c>
      <c r="J211" s="30">
        <f>IFERROR(IF(COUNT(Raw_Data!BX211:CI211)=0,"",SUM(Raw_Data!BX211:CI211)),"")</f>
        <v>149</v>
      </c>
      <c r="K211" s="28">
        <f t="shared" si="21"/>
        <v>2.4795050270688321</v>
      </c>
      <c r="L211" s="28">
        <f t="shared" si="22"/>
        <v>-1.4795050270688321</v>
      </c>
      <c r="M211" s="28">
        <f t="shared" si="23"/>
        <v>0.25423728813559321</v>
      </c>
      <c r="N211" s="28">
        <f t="shared" si="24"/>
        <v>6.645851917930419E-2</v>
      </c>
      <c r="O211" s="7" t="str">
        <f t="shared" si="25"/>
        <v>Invalid</v>
      </c>
      <c r="P211" s="13" t="str">
        <f t="shared" si="26"/>
        <v>Valid</v>
      </c>
      <c r="Q211" s="7" t="str">
        <f t="shared" si="27"/>
        <v>Invalid</v>
      </c>
    </row>
    <row r="212" spans="1:17" ht="75">
      <c r="A212" s="7" t="str">
        <f>IF(Raw_Data!A212="","",TRIM(SUBSTITUTE(CLEAN(Raw_Data!A212),CHAR(160)," ")))</f>
        <v>Bwari Local Government Area</v>
      </c>
      <c r="B212" s="7" t="str">
        <f>IF(Raw_Data!B212="","",TRIM(SUBSTITUTE(CLEAN(Raw_Data!B212),CHAR(160)," ")))</f>
        <v>Usuma Ward</v>
      </c>
      <c r="C212" s="7" t="str">
        <f>IF(Raw_Data!C212="","",TRIM(SUBSTITUTE(CLEAN(Raw_Data!C212),CHAR(160)," ")))</f>
        <v>Kubwa Muslim Community Hospital</v>
      </c>
      <c r="D212" s="28">
        <f>IFERROR(IF(COUNT(Raw_Data!D212:O212)=0,"",AVERAGE(Raw_Data!D212:O212)/100),"")</f>
        <v>1</v>
      </c>
      <c r="E212" s="28" t="str">
        <f>IFERROR(IF(COUNT(Raw_Data!P212:AA212)=0,"",AVERAGE(Raw_Data!P212:AA212)/100),"")</f>
        <v/>
      </c>
      <c r="F212" s="30">
        <f>IFERROR(IF(COUNT(Raw_Data!AB212:AM212)=0,"",SUM(Raw_Data!AB212:AM212)),"")</f>
        <v>6</v>
      </c>
      <c r="G212" s="30">
        <f>IFERROR(IF(COUNT(Raw_Data!AN212:AY212)=0,"",SUM(Raw_Data!AN212:AY212)),"")</f>
        <v>12</v>
      </c>
      <c r="H212" s="30">
        <f>IFERROR(IF(COUNT(Raw_Data!AZ212:BK212)=0,"",SUM(Raw_Data!AZ212:BK212)),"")</f>
        <v>17</v>
      </c>
      <c r="I212" s="30">
        <f>IFERROR(IF(COUNT(Raw_Data!BL212:BW212)=0,"",SUM(Raw_Data!BL212:BW212)),"")</f>
        <v>23</v>
      </c>
      <c r="J212" s="30">
        <f>IFERROR(IF(COUNT(Raw_Data!BX212:CI212)=0,"",SUM(Raw_Data!BX212:CI212)),"")</f>
        <v>8</v>
      </c>
      <c r="K212" s="28">
        <f t="shared" si="21"/>
        <v>2</v>
      </c>
      <c r="L212" s="28">
        <f t="shared" si="22"/>
        <v>-1</v>
      </c>
      <c r="M212" s="28">
        <f t="shared" si="23"/>
        <v>1.3529411764705883</v>
      </c>
      <c r="N212" s="28">
        <f t="shared" si="24"/>
        <v>0.47058823529411764</v>
      </c>
      <c r="O212" s="7" t="str">
        <f t="shared" si="25"/>
        <v>Invalid</v>
      </c>
      <c r="P212" s="13" t="str">
        <f t="shared" si="26"/>
        <v>Invalid</v>
      </c>
      <c r="Q212" s="7" t="str">
        <f t="shared" si="27"/>
        <v>Invalid</v>
      </c>
    </row>
    <row r="213" spans="1:17" ht="60">
      <c r="A213" s="7" t="str">
        <f>IF(Raw_Data!A213="","",TRIM(SUBSTITUTE(CLEAN(Raw_Data!A213),CHAR(160)," ")))</f>
        <v>Bwari Local Government Area</v>
      </c>
      <c r="B213" s="7" t="str">
        <f>IF(Raw_Data!B213="","",TRIM(SUBSTITUTE(CLEAN(Raw_Data!B213),CHAR(160)," ")))</f>
        <v>Kubwa Ward</v>
      </c>
      <c r="C213" s="7" t="str">
        <f>IF(Raw_Data!C213="","",TRIM(SUBSTITUTE(CLEAN(Raw_Data!C213),CHAR(160)," ")))</f>
        <v>Kubwa Police Hospital</v>
      </c>
      <c r="D213" s="28">
        <f>IFERROR(IF(COUNT(Raw_Data!D213:O213)=0,"",AVERAGE(Raw_Data!D213:O213)/100),"")</f>
        <v>1</v>
      </c>
      <c r="E213" s="28">
        <f>IFERROR(IF(COUNT(Raw_Data!P213:AA213)=0,"",AVERAGE(Raw_Data!P213:AA213)/100),"")</f>
        <v>1</v>
      </c>
      <c r="F213" s="30">
        <f>IFERROR(IF(COUNT(Raw_Data!AB213:AM213)=0,"",SUM(Raw_Data!AB213:AM213)),"")</f>
        <v>417</v>
      </c>
      <c r="G213" s="30">
        <f>IFERROR(IF(COUNT(Raw_Data!AN213:AY213)=0,"",SUM(Raw_Data!AN213:AY213)),"")</f>
        <v>458</v>
      </c>
      <c r="H213" s="30">
        <f>IFERROR(IF(COUNT(Raw_Data!AZ213:BK213)=0,"",SUM(Raw_Data!AZ213:BK213)),"")</f>
        <v>539</v>
      </c>
      <c r="I213" s="30">
        <f>IFERROR(IF(COUNT(Raw_Data!BL213:BW213)=0,"",SUM(Raw_Data!BL213:BW213)),"")</f>
        <v>529</v>
      </c>
      <c r="J213" s="30">
        <f>IFERROR(IF(COUNT(Raw_Data!BX213:CI213)=0,"",SUM(Raw_Data!BX213:CI213)),"")</f>
        <v>295</v>
      </c>
      <c r="K213" s="28">
        <f t="shared" si="21"/>
        <v>1.0983213429256595</v>
      </c>
      <c r="L213" s="28">
        <f t="shared" si="22"/>
        <v>-9.8321342925659472E-2</v>
      </c>
      <c r="M213" s="28">
        <f t="shared" si="23"/>
        <v>0.98144712430426717</v>
      </c>
      <c r="N213" s="28">
        <f t="shared" si="24"/>
        <v>0.54730983302411873</v>
      </c>
      <c r="O213" s="7" t="str">
        <f t="shared" si="25"/>
        <v>Invalid</v>
      </c>
      <c r="P213" s="13" t="str">
        <f t="shared" si="26"/>
        <v>Valid</v>
      </c>
      <c r="Q213" s="7" t="str">
        <f t="shared" si="27"/>
        <v>Invalid</v>
      </c>
    </row>
    <row r="214" spans="1:17" ht="60">
      <c r="A214" s="7" t="str">
        <f>IF(Raw_Data!A214="","",TRIM(SUBSTITUTE(CLEAN(Raw_Data!A214),CHAR(160)," ")))</f>
        <v>Bwari Local Government Area</v>
      </c>
      <c r="B214" s="7" t="str">
        <f>IF(Raw_Data!B214="","",TRIM(SUBSTITUTE(CLEAN(Raw_Data!B214),CHAR(160)," ")))</f>
        <v>Byazhin Ward</v>
      </c>
      <c r="C214" s="7" t="str">
        <f>IF(Raw_Data!C214="","",TRIM(SUBSTITUTE(CLEAN(Raw_Data!C214),CHAR(160)," ")))</f>
        <v>Kuchibuyi Primary Health Clinic</v>
      </c>
      <c r="D214" s="28">
        <f>IFERROR(IF(COUNT(Raw_Data!D214:O214)=0,"",AVERAGE(Raw_Data!D214:O214)/100),"")</f>
        <v>0.94545454545454544</v>
      </c>
      <c r="E214" s="28">
        <f>IFERROR(IF(COUNT(Raw_Data!P214:AA214)=0,"",AVERAGE(Raw_Data!P214:AA214)/100),"")</f>
        <v>0.75</v>
      </c>
      <c r="F214" s="30">
        <f>IFERROR(IF(COUNT(Raw_Data!AB214:AM214)=0,"",SUM(Raw_Data!AB214:AM214)),"")</f>
        <v>106</v>
      </c>
      <c r="G214" s="30">
        <f>IFERROR(IF(COUNT(Raw_Data!AN214:AY214)=0,"",SUM(Raw_Data!AN214:AY214)),"")</f>
        <v>85</v>
      </c>
      <c r="H214" s="30">
        <f>IFERROR(IF(COUNT(Raw_Data!AZ214:BK214)=0,"",SUM(Raw_Data!AZ214:BK214)),"")</f>
        <v>83</v>
      </c>
      <c r="I214" s="30">
        <f>IFERROR(IF(COUNT(Raw_Data!BL214:BW214)=0,"",SUM(Raw_Data!BL214:BW214)),"")</f>
        <v>36</v>
      </c>
      <c r="J214" s="30">
        <f>IFERROR(IF(COUNT(Raw_Data!BX214:CI214)=0,"",SUM(Raw_Data!BX214:CI214)),"")</f>
        <v>4</v>
      </c>
      <c r="K214" s="28">
        <f t="shared" si="21"/>
        <v>0.80188679245283023</v>
      </c>
      <c r="L214" s="28">
        <f t="shared" si="22"/>
        <v>0.19811320754716982</v>
      </c>
      <c r="M214" s="28">
        <f t="shared" si="23"/>
        <v>0.43373493975903615</v>
      </c>
      <c r="N214" s="28">
        <f t="shared" si="24"/>
        <v>4.8192771084337352E-2</v>
      </c>
      <c r="O214" s="7" t="str">
        <f t="shared" si="25"/>
        <v>Valid</v>
      </c>
      <c r="P214" s="13" t="str">
        <f t="shared" si="26"/>
        <v>Valid</v>
      </c>
      <c r="Q214" s="7" t="str">
        <f t="shared" si="27"/>
        <v>Valid</v>
      </c>
    </row>
    <row r="215" spans="1:17" ht="60">
      <c r="A215" s="7" t="str">
        <f>IF(Raw_Data!A215="","",TRIM(SUBSTITUTE(CLEAN(Raw_Data!A215),CHAR(160)," ")))</f>
        <v>Bwari Local Government Area</v>
      </c>
      <c r="B215" s="7" t="str">
        <f>IF(Raw_Data!B215="","",TRIM(SUBSTITUTE(CLEAN(Raw_Data!B215),CHAR(160)," ")))</f>
        <v>Kuduru Ward</v>
      </c>
      <c r="C215" s="7" t="str">
        <f>IF(Raw_Data!C215="","",TRIM(SUBSTITUTE(CLEAN(Raw_Data!C215),CHAR(160)," ")))</f>
        <v>Kuchiko Primary Health Clinic</v>
      </c>
      <c r="D215" s="28">
        <f>IFERROR(IF(COUNT(Raw_Data!D215:O215)=0,"",AVERAGE(Raw_Data!D215:O215)/100),"")</f>
        <v>0.90909090909090906</v>
      </c>
      <c r="E215" s="28">
        <f>IFERROR(IF(COUNT(Raw_Data!P215:AA215)=0,"",AVERAGE(Raw_Data!P215:AA215)/100),"")</f>
        <v>0.8</v>
      </c>
      <c r="F215" s="30">
        <f>IFERROR(IF(COUNT(Raw_Data!AB215:AM215)=0,"",SUM(Raw_Data!AB215:AM215)),"")</f>
        <v>131</v>
      </c>
      <c r="G215" s="30">
        <f>IFERROR(IF(COUNT(Raw_Data!AN215:AY215)=0,"",SUM(Raw_Data!AN215:AY215)),"")</f>
        <v>216</v>
      </c>
      <c r="H215" s="30">
        <f>IFERROR(IF(COUNT(Raw_Data!AZ215:BK215)=0,"",SUM(Raw_Data!AZ215:BK215)),"")</f>
        <v>106</v>
      </c>
      <c r="I215" s="30">
        <f>IFERROR(IF(COUNT(Raw_Data!BL215:BW215)=0,"",SUM(Raw_Data!BL215:BW215)),"")</f>
        <v>35</v>
      </c>
      <c r="J215" s="30" t="str">
        <f>IFERROR(IF(COUNT(Raw_Data!BX215:CI215)=0,"",SUM(Raw_Data!BX215:CI215)),"")</f>
        <v/>
      </c>
      <c r="K215" s="28">
        <f t="shared" si="21"/>
        <v>1.6488549618320612</v>
      </c>
      <c r="L215" s="28">
        <f t="shared" si="22"/>
        <v>-0.64885496183206104</v>
      </c>
      <c r="M215" s="28">
        <f t="shared" si="23"/>
        <v>0.330188679245283</v>
      </c>
      <c r="N215" s="28" t="str">
        <f t="shared" si="24"/>
        <v/>
      </c>
      <c r="O215" s="7" t="str">
        <f t="shared" si="25"/>
        <v>Invalid</v>
      </c>
      <c r="P215" s="13" t="str">
        <f t="shared" si="26"/>
        <v>Incomplete</v>
      </c>
      <c r="Q215" s="7" t="str">
        <f t="shared" si="27"/>
        <v>Incomplete</v>
      </c>
    </row>
    <row r="216" spans="1:17" ht="90">
      <c r="A216" s="7" t="str">
        <f>IF(Raw_Data!A216="","",TRIM(SUBSTITUTE(CLEAN(Raw_Data!A216),CHAR(160)," ")))</f>
        <v>Abuja Municipal Area Council</v>
      </c>
      <c r="B216" s="7" t="str">
        <f>IF(Raw_Data!B216="","",TRIM(SUBSTITUTE(CLEAN(Raw_Data!B216),CHAR(160)," ")))</f>
        <v>Gwarimpa Ward</v>
      </c>
      <c r="C216" s="7" t="str">
        <f>IF(Raw_Data!C216="","",TRIM(SUBSTITUTE(CLEAN(Raw_Data!C216),CHAR(160)," ")))</f>
        <v>Kuchingoro Primary Health Care Centre</v>
      </c>
      <c r="D216" s="28">
        <f>IFERROR(IF(COUNT(Raw_Data!D216:O216)=0,"",AVERAGE(Raw_Data!D216:O216)/100),"")</f>
        <v>1.0568181818181819</v>
      </c>
      <c r="E216" s="28">
        <f>IFERROR(IF(COUNT(Raw_Data!P216:AA216)=0,"",AVERAGE(Raw_Data!P216:AA216)/100),"")</f>
        <v>0.9</v>
      </c>
      <c r="F216" s="30">
        <f>IFERROR(IF(COUNT(Raw_Data!AB216:AM216)=0,"",SUM(Raw_Data!AB216:AM216)),"")</f>
        <v>856</v>
      </c>
      <c r="G216" s="30">
        <f>IFERROR(IF(COUNT(Raw_Data!AN216:AY216)=0,"",SUM(Raw_Data!AN216:AY216)),"")</f>
        <v>741</v>
      </c>
      <c r="H216" s="30">
        <f>IFERROR(IF(COUNT(Raw_Data!AZ216:BK216)=0,"",SUM(Raw_Data!AZ216:BK216)),"")</f>
        <v>931</v>
      </c>
      <c r="I216" s="30">
        <f>IFERROR(IF(COUNT(Raw_Data!BL216:BW216)=0,"",SUM(Raw_Data!BL216:BW216)),"")</f>
        <v>434</v>
      </c>
      <c r="J216" s="30">
        <f>IFERROR(IF(COUNT(Raw_Data!BX216:CI216)=0,"",SUM(Raw_Data!BX216:CI216)),"")</f>
        <v>55</v>
      </c>
      <c r="K216" s="28">
        <f t="shared" si="21"/>
        <v>0.86565420560747663</v>
      </c>
      <c r="L216" s="28">
        <f t="shared" si="22"/>
        <v>0.13434579439252337</v>
      </c>
      <c r="M216" s="28">
        <f t="shared" si="23"/>
        <v>0.46616541353383456</v>
      </c>
      <c r="N216" s="28">
        <f t="shared" si="24"/>
        <v>5.9076262083780882E-2</v>
      </c>
      <c r="O216" s="7" t="str">
        <f t="shared" si="25"/>
        <v>Valid</v>
      </c>
      <c r="P216" s="13" t="str">
        <f t="shared" si="26"/>
        <v>Valid</v>
      </c>
      <c r="Q216" s="7" t="str">
        <f t="shared" si="27"/>
        <v>Valid</v>
      </c>
    </row>
    <row r="217" spans="1:17" ht="75">
      <c r="A217" s="7" t="str">
        <f>IF(Raw_Data!A217="","",TRIM(SUBSTITUTE(CLEAN(Raw_Data!A217),CHAR(160)," ")))</f>
        <v>Kuje Local Government Area</v>
      </c>
      <c r="B217" s="7" t="str">
        <f>IF(Raw_Data!B217="","",TRIM(SUBSTITUTE(CLEAN(Raw_Data!B217),CHAR(160)," ")))</f>
        <v>Kuje Central Ward</v>
      </c>
      <c r="C217" s="7" t="str">
        <f>IF(Raw_Data!C217="","",TRIM(SUBSTITUTE(CLEAN(Raw_Data!C217),CHAR(160)," ")))</f>
        <v>Kuchiyako Primary Health Centre</v>
      </c>
      <c r="D217" s="28">
        <f>IFERROR(IF(COUNT(Raw_Data!D217:O217)=0,"",AVERAGE(Raw_Data!D217:O217)/100),"")</f>
        <v>0.95</v>
      </c>
      <c r="E217" s="28">
        <f>IFERROR(IF(COUNT(Raw_Data!P217:AA217)=0,"",AVERAGE(Raw_Data!P217:AA217)/100),"")</f>
        <v>1</v>
      </c>
      <c r="F217" s="30">
        <f>IFERROR(IF(COUNT(Raw_Data!AB217:AM217)=0,"",SUM(Raw_Data!AB217:AM217)),"")</f>
        <v>298</v>
      </c>
      <c r="G217" s="30">
        <f>IFERROR(IF(COUNT(Raw_Data!AN217:AY217)=0,"",SUM(Raw_Data!AN217:AY217)),"")</f>
        <v>208</v>
      </c>
      <c r="H217" s="30">
        <f>IFERROR(IF(COUNT(Raw_Data!AZ217:BK217)=0,"",SUM(Raw_Data!AZ217:BK217)),"")</f>
        <v>146</v>
      </c>
      <c r="I217" s="30">
        <f>IFERROR(IF(COUNT(Raw_Data!BL217:BW217)=0,"",SUM(Raw_Data!BL217:BW217)),"")</f>
        <v>11</v>
      </c>
      <c r="J217" s="30">
        <f>IFERROR(IF(COUNT(Raw_Data!BX217:CI217)=0,"",SUM(Raw_Data!BX217:CI217)),"")</f>
        <v>59</v>
      </c>
      <c r="K217" s="28">
        <f t="shared" si="21"/>
        <v>0.69798657718120805</v>
      </c>
      <c r="L217" s="28">
        <f t="shared" si="22"/>
        <v>0.30201342281879195</v>
      </c>
      <c r="M217" s="28">
        <f t="shared" si="23"/>
        <v>7.5342465753424653E-2</v>
      </c>
      <c r="N217" s="28">
        <f t="shared" si="24"/>
        <v>0.4041095890410959</v>
      </c>
      <c r="O217" s="7" t="str">
        <f t="shared" si="25"/>
        <v>Valid</v>
      </c>
      <c r="P217" s="13" t="str">
        <f t="shared" si="26"/>
        <v>Invalid</v>
      </c>
      <c r="Q217" s="7" t="str">
        <f t="shared" si="27"/>
        <v>Invalid</v>
      </c>
    </row>
    <row r="218" spans="1:17" ht="60">
      <c r="A218" s="7" t="str">
        <f>IF(Raw_Data!A218="","",TRIM(SUBSTITUTE(CLEAN(Raw_Data!A218),CHAR(160)," ")))</f>
        <v>Bwari Local Government Area</v>
      </c>
      <c r="B218" s="7" t="str">
        <f>IF(Raw_Data!B218="","",TRIM(SUBSTITUTE(CLEAN(Raw_Data!B218),CHAR(160)," ")))</f>
        <v>Kuduru Ward</v>
      </c>
      <c r="C218" s="7" t="str">
        <f>IF(Raw_Data!C218="","",TRIM(SUBSTITUTE(CLEAN(Raw_Data!C218),CHAR(160)," ")))</f>
        <v>Kuduru Primary Health Clinic</v>
      </c>
      <c r="D218" s="28">
        <f>IFERROR(IF(COUNT(Raw_Data!D218:O218)=0,"",AVERAGE(Raw_Data!D218:O218)/100),"")</f>
        <v>0.93889</v>
      </c>
      <c r="E218" s="28">
        <f>IFERROR(IF(COUNT(Raw_Data!P218:AA218)=0,"",AVERAGE(Raw_Data!P218:AA218)/100),"")</f>
        <v>0.82499999999999996</v>
      </c>
      <c r="F218" s="30">
        <f>IFERROR(IF(COUNT(Raw_Data!AB218:AM218)=0,"",SUM(Raw_Data!AB218:AM218)),"")</f>
        <v>199</v>
      </c>
      <c r="G218" s="30">
        <f>IFERROR(IF(COUNT(Raw_Data!AN218:AY218)=0,"",SUM(Raw_Data!AN218:AY218)),"")</f>
        <v>187</v>
      </c>
      <c r="H218" s="30">
        <f>IFERROR(IF(COUNT(Raw_Data!AZ218:BK218)=0,"",SUM(Raw_Data!AZ218:BK218)),"")</f>
        <v>106</v>
      </c>
      <c r="I218" s="30">
        <f>IFERROR(IF(COUNT(Raw_Data!BL218:BW218)=0,"",SUM(Raw_Data!BL218:BW218)),"")</f>
        <v>77</v>
      </c>
      <c r="J218" s="30">
        <f>IFERROR(IF(COUNT(Raw_Data!BX218:CI218)=0,"",SUM(Raw_Data!BX218:CI218)),"")</f>
        <v>2</v>
      </c>
      <c r="K218" s="28">
        <f t="shared" si="21"/>
        <v>0.93969849246231152</v>
      </c>
      <c r="L218" s="28">
        <f t="shared" si="22"/>
        <v>6.030150753768844E-2</v>
      </c>
      <c r="M218" s="28">
        <f t="shared" si="23"/>
        <v>0.72641509433962259</v>
      </c>
      <c r="N218" s="28">
        <f t="shared" si="24"/>
        <v>1.8867924528301886E-2</v>
      </c>
      <c r="O218" s="7" t="str">
        <f t="shared" si="25"/>
        <v>Valid</v>
      </c>
      <c r="P218" s="13" t="str">
        <f t="shared" si="26"/>
        <v>Valid</v>
      </c>
      <c r="Q218" s="7" t="str">
        <f t="shared" si="27"/>
        <v>Valid</v>
      </c>
    </row>
    <row r="219" spans="1:17" ht="75">
      <c r="A219" s="7" t="str">
        <f>IF(Raw_Data!A219="","",TRIM(SUBSTITUTE(CLEAN(Raw_Data!A219),CHAR(160)," ")))</f>
        <v>Bwari Local Government Area</v>
      </c>
      <c r="B219" s="7" t="str">
        <f>IF(Raw_Data!B219="","",TRIM(SUBSTITUTE(CLEAN(Raw_Data!B219),CHAR(160)," ")))</f>
        <v>Byazhin Ward</v>
      </c>
      <c r="C219" s="7" t="str">
        <f>IF(Raw_Data!C219="","",TRIM(SUBSTITUTE(CLEAN(Raw_Data!C219),CHAR(160)," ")))</f>
        <v>Kugbobokun Primary Health Clinic</v>
      </c>
      <c r="D219" s="28">
        <f>IFERROR(IF(COUNT(Raw_Data!D219:O219)=0,"",AVERAGE(Raw_Data!D219:O219)/100),"")</f>
        <v>0.97499999999999998</v>
      </c>
      <c r="E219" s="28">
        <f>IFERROR(IF(COUNT(Raw_Data!P219:AA219)=0,"",AVERAGE(Raw_Data!P219:AA219)/100),"")</f>
        <v>0.75</v>
      </c>
      <c r="F219" s="30">
        <f>IFERROR(IF(COUNT(Raw_Data!AB219:AM219)=0,"",SUM(Raw_Data!AB219:AM219)),"")</f>
        <v>130</v>
      </c>
      <c r="G219" s="30">
        <f>IFERROR(IF(COUNT(Raw_Data!AN219:AY219)=0,"",SUM(Raw_Data!AN219:AY219)),"")</f>
        <v>135</v>
      </c>
      <c r="H219" s="30">
        <f>IFERROR(IF(COUNT(Raw_Data!AZ219:BK219)=0,"",SUM(Raw_Data!AZ219:BK219)),"")</f>
        <v>86</v>
      </c>
      <c r="I219" s="30">
        <f>IFERROR(IF(COUNT(Raw_Data!BL219:BW219)=0,"",SUM(Raw_Data!BL219:BW219)),"")</f>
        <v>85</v>
      </c>
      <c r="J219" s="30">
        <f>IFERROR(IF(COUNT(Raw_Data!BX219:CI219)=0,"",SUM(Raw_Data!BX219:CI219)),"")</f>
        <v>4</v>
      </c>
      <c r="K219" s="28">
        <f t="shared" si="21"/>
        <v>1.0384615384615385</v>
      </c>
      <c r="L219" s="28">
        <f t="shared" si="22"/>
        <v>-3.8461538461538464E-2</v>
      </c>
      <c r="M219" s="28">
        <f t="shared" si="23"/>
        <v>0.98837209302325579</v>
      </c>
      <c r="N219" s="28">
        <f t="shared" si="24"/>
        <v>4.6511627906976744E-2</v>
      </c>
      <c r="O219" s="7" t="str">
        <f t="shared" si="25"/>
        <v>Invalid</v>
      </c>
      <c r="P219" s="13" t="str">
        <f t="shared" si="26"/>
        <v>Valid</v>
      </c>
      <c r="Q219" s="7" t="str">
        <f t="shared" si="27"/>
        <v>Invalid</v>
      </c>
    </row>
    <row r="220" spans="1:17" ht="60">
      <c r="A220" s="7" t="str">
        <f>IF(Raw_Data!A220="","",TRIM(SUBSTITUTE(CLEAN(Raw_Data!A220),CHAR(160)," ")))</f>
        <v>Kuje Local Government Area</v>
      </c>
      <c r="B220" s="7" t="str">
        <f>IF(Raw_Data!B220="","",TRIM(SUBSTITUTE(CLEAN(Raw_Data!B220),CHAR(160)," ")))</f>
        <v>Kuje Central Ward</v>
      </c>
      <c r="C220" s="7" t="str">
        <f>IF(Raw_Data!C220="","",TRIM(SUBSTITUTE(CLEAN(Raw_Data!C220),CHAR(160)," ")))</f>
        <v>Kuje General Hospital</v>
      </c>
      <c r="D220" s="28" t="str">
        <f>IFERROR(IF(COUNT(Raw_Data!D220:O220)=0,"",AVERAGE(Raw_Data!D220:O220)/100),"")</f>
        <v/>
      </c>
      <c r="E220" s="28" t="str">
        <f>IFERROR(IF(COUNT(Raw_Data!P220:AA220)=0,"",AVERAGE(Raw_Data!P220:AA220)/100),"")</f>
        <v/>
      </c>
      <c r="F220" s="30">
        <f>IFERROR(IF(COUNT(Raw_Data!AB220:AM220)=0,"",SUM(Raw_Data!AB220:AM220)),"")</f>
        <v>1577</v>
      </c>
      <c r="G220" s="30">
        <f>IFERROR(IF(COUNT(Raw_Data!AN220:AY220)=0,"",SUM(Raw_Data!AN220:AY220)),"")</f>
        <v>1544</v>
      </c>
      <c r="H220" s="30">
        <f>IFERROR(IF(COUNT(Raw_Data!AZ220:BK220)=0,"",SUM(Raw_Data!AZ220:BK220)),"")</f>
        <v>1784</v>
      </c>
      <c r="I220" s="30">
        <f>IFERROR(IF(COUNT(Raw_Data!BL220:BW220)=0,"",SUM(Raw_Data!BL220:BW220)),"")</f>
        <v>446</v>
      </c>
      <c r="J220" s="30">
        <f>IFERROR(IF(COUNT(Raw_Data!BX220:CI220)=0,"",SUM(Raw_Data!BX220:CI220)),"")</f>
        <v>55</v>
      </c>
      <c r="K220" s="28">
        <f t="shared" si="21"/>
        <v>0.97907419150285357</v>
      </c>
      <c r="L220" s="28">
        <f t="shared" si="22"/>
        <v>2.0925808497146481E-2</v>
      </c>
      <c r="M220" s="28">
        <f t="shared" si="23"/>
        <v>0.25</v>
      </c>
      <c r="N220" s="28">
        <f t="shared" si="24"/>
        <v>3.0829596412556053E-2</v>
      </c>
      <c r="O220" s="7" t="str">
        <f t="shared" si="25"/>
        <v>Valid</v>
      </c>
      <c r="P220" s="13" t="str">
        <f t="shared" si="26"/>
        <v>Valid</v>
      </c>
      <c r="Q220" s="7" t="str">
        <f t="shared" si="27"/>
        <v>Valid</v>
      </c>
    </row>
    <row r="221" spans="1:17" ht="60">
      <c r="A221" s="7" t="str">
        <f>IF(Raw_Data!A221="","",TRIM(SUBSTITUTE(CLEAN(Raw_Data!A221),CHAR(160)," ")))</f>
        <v>Kuje Local Government Area</v>
      </c>
      <c r="B221" s="7" t="str">
        <f>IF(Raw_Data!B221="","",TRIM(SUBSTITUTE(CLEAN(Raw_Data!B221),CHAR(160)," ")))</f>
        <v>Kuje Central Ward</v>
      </c>
      <c r="C221" s="7" t="str">
        <f>IF(Raw_Data!C221="","",TRIM(SUBSTITUTE(CLEAN(Raw_Data!C221),CHAR(160)," ")))</f>
        <v>Kuje Primary Health Centre</v>
      </c>
      <c r="D221" s="28">
        <f>IFERROR(IF(COUNT(Raw_Data!D221:O221)=0,"",AVERAGE(Raw_Data!D221:O221)/100),"")</f>
        <v>1</v>
      </c>
      <c r="E221" s="28">
        <f>IFERROR(IF(COUNT(Raw_Data!P221:AA221)=0,"",AVERAGE(Raw_Data!P221:AA221)/100),"")</f>
        <v>1</v>
      </c>
      <c r="F221" s="30">
        <f>IFERROR(IF(COUNT(Raw_Data!AB221:AM221)=0,"",SUM(Raw_Data!AB221:AM221)),"")</f>
        <v>1612</v>
      </c>
      <c r="G221" s="30">
        <f>IFERROR(IF(COUNT(Raw_Data!AN221:AY221)=0,"",SUM(Raw_Data!AN221:AY221)),"")</f>
        <v>1602</v>
      </c>
      <c r="H221" s="30">
        <f>IFERROR(IF(COUNT(Raw_Data!AZ221:BK221)=0,"",SUM(Raw_Data!AZ221:BK221)),"")</f>
        <v>889</v>
      </c>
      <c r="I221" s="30">
        <f>IFERROR(IF(COUNT(Raw_Data!BL221:BW221)=0,"",SUM(Raw_Data!BL221:BW221)),"")</f>
        <v>306</v>
      </c>
      <c r="J221" s="30">
        <f>IFERROR(IF(COUNT(Raw_Data!BX221:CI221)=0,"",SUM(Raw_Data!BX221:CI221)),"")</f>
        <v>11</v>
      </c>
      <c r="K221" s="28">
        <f t="shared" si="21"/>
        <v>0.99379652605459057</v>
      </c>
      <c r="L221" s="28">
        <f t="shared" si="22"/>
        <v>6.2034739454094297E-3</v>
      </c>
      <c r="M221" s="28">
        <f t="shared" si="23"/>
        <v>0.34420697412823398</v>
      </c>
      <c r="N221" s="28">
        <f t="shared" si="24"/>
        <v>1.2373453318335208E-2</v>
      </c>
      <c r="O221" s="7" t="str">
        <f t="shared" si="25"/>
        <v>Valid</v>
      </c>
      <c r="P221" s="13" t="str">
        <f t="shared" si="26"/>
        <v>Valid</v>
      </c>
      <c r="Q221" s="7" t="str">
        <f t="shared" si="27"/>
        <v>Valid</v>
      </c>
    </row>
    <row r="222" spans="1:17" ht="60">
      <c r="A222" s="7" t="str">
        <f>IF(Raw_Data!A222="","",TRIM(SUBSTITUTE(CLEAN(Raw_Data!A222),CHAR(160)," ")))</f>
        <v>Kuje Local Government Area</v>
      </c>
      <c r="B222" s="7" t="str">
        <f>IF(Raw_Data!B222="","",TRIM(SUBSTITUTE(CLEAN(Raw_Data!B222),CHAR(160)," ")))</f>
        <v>Kujekwa Ward</v>
      </c>
      <c r="C222" s="7" t="str">
        <f>IF(Raw_Data!C222="","",TRIM(SUBSTITUTE(CLEAN(Raw_Data!C222),CHAR(160)," ")))</f>
        <v>Kujekwa Primary Health Centre</v>
      </c>
      <c r="D222" s="28">
        <f>IFERROR(IF(COUNT(Raw_Data!D222:O222)=0,"",AVERAGE(Raw_Data!D222:O222)/100),"")</f>
        <v>0.85</v>
      </c>
      <c r="E222" s="28">
        <f>IFERROR(IF(COUNT(Raw_Data!P222:AA222)=0,"",AVERAGE(Raw_Data!P222:AA222)/100),"")</f>
        <v>0.85</v>
      </c>
      <c r="F222" s="30">
        <f>IFERROR(IF(COUNT(Raw_Data!AB222:AM222)=0,"",SUM(Raw_Data!AB222:AM222)),"")</f>
        <v>192</v>
      </c>
      <c r="G222" s="30">
        <f>IFERROR(IF(COUNT(Raw_Data!AN222:AY222)=0,"",SUM(Raw_Data!AN222:AY222)),"")</f>
        <v>228</v>
      </c>
      <c r="H222" s="30">
        <f>IFERROR(IF(COUNT(Raw_Data!AZ222:BK222)=0,"",SUM(Raw_Data!AZ222:BK222)),"")</f>
        <v>67</v>
      </c>
      <c r="I222" s="30">
        <f>IFERROR(IF(COUNT(Raw_Data!BL222:BW222)=0,"",SUM(Raw_Data!BL222:BW222)),"")</f>
        <v>15</v>
      </c>
      <c r="J222" s="30">
        <f>IFERROR(IF(COUNT(Raw_Data!BX222:CI222)=0,"",SUM(Raw_Data!BX222:CI222)),"")</f>
        <v>8</v>
      </c>
      <c r="K222" s="28">
        <f t="shared" si="21"/>
        <v>1.1875</v>
      </c>
      <c r="L222" s="28">
        <f t="shared" si="22"/>
        <v>-0.1875</v>
      </c>
      <c r="M222" s="28">
        <f t="shared" si="23"/>
        <v>0.22388059701492538</v>
      </c>
      <c r="N222" s="28">
        <f t="shared" si="24"/>
        <v>0.11940298507462686</v>
      </c>
      <c r="O222" s="7" t="str">
        <f t="shared" si="25"/>
        <v>Invalid</v>
      </c>
      <c r="P222" s="13" t="str">
        <f t="shared" si="26"/>
        <v>Valid</v>
      </c>
      <c r="Q222" s="7" t="str">
        <f t="shared" si="27"/>
        <v>Invalid</v>
      </c>
    </row>
    <row r="223" spans="1:17" ht="60">
      <c r="A223" s="7" t="str">
        <f>IF(Raw_Data!A223="","",TRIM(SUBSTITUTE(CLEAN(Raw_Data!A223),CHAR(160)," ")))</f>
        <v>Kuje Local Government Area</v>
      </c>
      <c r="B223" s="7" t="str">
        <f>IF(Raw_Data!B223="","",TRIM(SUBSTITUTE(CLEAN(Raw_Data!B223),CHAR(160)," ")))</f>
        <v>Rubochi Ward</v>
      </c>
      <c r="C223" s="7" t="str">
        <f>IF(Raw_Data!C223="","",TRIM(SUBSTITUTE(CLEAN(Raw_Data!C223),CHAR(160)," ")))</f>
        <v>Kulo Primary Health Centre</v>
      </c>
      <c r="D223" s="28">
        <f>IFERROR(IF(COUNT(Raw_Data!D223:O223)=0,"",AVERAGE(Raw_Data!D223:O223)/100),"")</f>
        <v>1</v>
      </c>
      <c r="E223" s="28">
        <f>IFERROR(IF(COUNT(Raw_Data!P223:AA223)=0,"",AVERAGE(Raw_Data!P223:AA223)/100),"")</f>
        <v>1.0249999999999999</v>
      </c>
      <c r="F223" s="30">
        <f>IFERROR(IF(COUNT(Raw_Data!AB223:AM223)=0,"",SUM(Raw_Data!AB223:AM223)),"")</f>
        <v>335</v>
      </c>
      <c r="G223" s="30">
        <f>IFERROR(IF(COUNT(Raw_Data!AN223:AY223)=0,"",SUM(Raw_Data!AN223:AY223)),"")</f>
        <v>335</v>
      </c>
      <c r="H223" s="30">
        <f>IFERROR(IF(COUNT(Raw_Data!AZ223:BK223)=0,"",SUM(Raw_Data!AZ223:BK223)),"")</f>
        <v>136</v>
      </c>
      <c r="I223" s="30">
        <f>IFERROR(IF(COUNT(Raw_Data!BL223:BW223)=0,"",SUM(Raw_Data!BL223:BW223)),"")</f>
        <v>12</v>
      </c>
      <c r="J223" s="30">
        <f>IFERROR(IF(COUNT(Raw_Data!BX223:CI223)=0,"",SUM(Raw_Data!BX223:CI223)),"")</f>
        <v>27</v>
      </c>
      <c r="K223" s="28">
        <f t="shared" si="21"/>
        <v>1</v>
      </c>
      <c r="L223" s="28">
        <f t="shared" si="22"/>
        <v>0</v>
      </c>
      <c r="M223" s="28">
        <f t="shared" si="23"/>
        <v>8.8235294117647065E-2</v>
      </c>
      <c r="N223" s="28">
        <f t="shared" si="24"/>
        <v>0.19852941176470587</v>
      </c>
      <c r="O223" s="7" t="str">
        <f t="shared" si="25"/>
        <v>Valid</v>
      </c>
      <c r="P223" s="13" t="str">
        <f t="shared" si="26"/>
        <v>Invalid</v>
      </c>
      <c r="Q223" s="7" t="str">
        <f t="shared" si="27"/>
        <v>Invalid</v>
      </c>
    </row>
    <row r="224" spans="1:17" ht="60">
      <c r="A224" s="7" t="str">
        <f>IF(Raw_Data!A224="","",TRIM(SUBSTITUTE(CLEAN(Raw_Data!A224),CHAR(160)," ")))</f>
        <v>Kwali Local Government Area</v>
      </c>
      <c r="B224" s="7" t="str">
        <f>IF(Raw_Data!B224="","",TRIM(SUBSTITUTE(CLEAN(Raw_Data!B224),CHAR(160)," ")))</f>
        <v>Kundu Ward</v>
      </c>
      <c r="C224" s="7" t="str">
        <f>IF(Raw_Data!C224="","",TRIM(SUBSTITUTE(CLEAN(Raw_Data!C224),CHAR(160)," ")))</f>
        <v>Kundu Primary Health Centre</v>
      </c>
      <c r="D224" s="28">
        <f>IFERROR(IF(COUNT(Raw_Data!D224:O224)=0,"",AVERAGE(Raw_Data!D224:O224)/100),"")</f>
        <v>0.95454545454545459</v>
      </c>
      <c r="E224" s="28">
        <f>IFERROR(IF(COUNT(Raw_Data!P224:AA224)=0,"",AVERAGE(Raw_Data!P224:AA224)/100),"")</f>
        <v>1</v>
      </c>
      <c r="F224" s="30">
        <f>IFERROR(IF(COUNT(Raw_Data!AB224:AM224)=0,"",SUM(Raw_Data!AB224:AM224)),"")</f>
        <v>295</v>
      </c>
      <c r="G224" s="30">
        <f>IFERROR(IF(COUNT(Raw_Data!AN224:AY224)=0,"",SUM(Raw_Data!AN224:AY224)),"")</f>
        <v>256</v>
      </c>
      <c r="H224" s="30">
        <f>IFERROR(IF(COUNT(Raw_Data!AZ224:BK224)=0,"",SUM(Raw_Data!AZ224:BK224)),"")</f>
        <v>191</v>
      </c>
      <c r="I224" s="30">
        <f>IFERROR(IF(COUNT(Raw_Data!BL224:BW224)=0,"",SUM(Raw_Data!BL224:BW224)),"")</f>
        <v>33</v>
      </c>
      <c r="J224" s="30" t="str">
        <f>IFERROR(IF(COUNT(Raw_Data!BX224:CI224)=0,"",SUM(Raw_Data!BX224:CI224)),"")</f>
        <v/>
      </c>
      <c r="K224" s="28">
        <f t="shared" si="21"/>
        <v>0.8677966101694915</v>
      </c>
      <c r="L224" s="28">
        <f t="shared" si="22"/>
        <v>0.13220338983050847</v>
      </c>
      <c r="M224" s="28">
        <f t="shared" si="23"/>
        <v>0.17277486910994763</v>
      </c>
      <c r="N224" s="28" t="str">
        <f t="shared" si="24"/>
        <v/>
      </c>
      <c r="O224" s="7" t="str">
        <f t="shared" si="25"/>
        <v>Valid</v>
      </c>
      <c r="P224" s="13" t="str">
        <f t="shared" si="26"/>
        <v>Incomplete</v>
      </c>
      <c r="Q224" s="7" t="str">
        <f t="shared" si="27"/>
        <v>Incomplete</v>
      </c>
    </row>
    <row r="225" spans="1:17" ht="90">
      <c r="A225" s="7" t="str">
        <f>IF(Raw_Data!A225="","",TRIM(SUBSTITUTE(CLEAN(Raw_Data!A225),CHAR(160)," ")))</f>
        <v>Bwari Local Government Area</v>
      </c>
      <c r="B225" s="7" t="str">
        <f>IF(Raw_Data!B225="","",TRIM(SUBSTITUTE(CLEAN(Raw_Data!B225),CHAR(160)," ")))</f>
        <v>Kawu Ward</v>
      </c>
      <c r="C225" s="7" t="str">
        <f>IF(Raw_Data!C225="","",TRIM(SUBSTITUTE(CLEAN(Raw_Data!C225),CHAR(160)," ")))</f>
        <v>Kurmi Daudu Model Primary Health Centre</v>
      </c>
      <c r="D225" s="28">
        <f>IFERROR(IF(COUNT(Raw_Data!D225:O225)=0,"",AVERAGE(Raw_Data!D225:O225)/100),"")</f>
        <v>0.97222222222222232</v>
      </c>
      <c r="E225" s="28">
        <f>IFERROR(IF(COUNT(Raw_Data!P225:AA225)=0,"",AVERAGE(Raw_Data!P225:AA225)/100),"")</f>
        <v>0.77083750000000006</v>
      </c>
      <c r="F225" s="30">
        <f>IFERROR(IF(COUNT(Raw_Data!AB225:AM225)=0,"",SUM(Raw_Data!AB225:AM225)),"")</f>
        <v>305</v>
      </c>
      <c r="G225" s="30">
        <f>IFERROR(IF(COUNT(Raw_Data!AN225:AY225)=0,"",SUM(Raw_Data!AN225:AY225)),"")</f>
        <v>288</v>
      </c>
      <c r="H225" s="30">
        <f>IFERROR(IF(COUNT(Raw_Data!AZ225:BK225)=0,"",SUM(Raw_Data!AZ225:BK225)),"")</f>
        <v>47</v>
      </c>
      <c r="I225" s="30">
        <f>IFERROR(IF(COUNT(Raw_Data!BL225:BW225)=0,"",SUM(Raw_Data!BL225:BW225)),"")</f>
        <v>26</v>
      </c>
      <c r="J225" s="30">
        <f>IFERROR(IF(COUNT(Raw_Data!BX225:CI225)=0,"",SUM(Raw_Data!BX225:CI225)),"")</f>
        <v>1</v>
      </c>
      <c r="K225" s="28">
        <f t="shared" si="21"/>
        <v>0.94426229508196724</v>
      </c>
      <c r="L225" s="28">
        <f t="shared" si="22"/>
        <v>5.5737704918032788E-2</v>
      </c>
      <c r="M225" s="28">
        <f t="shared" si="23"/>
        <v>0.55319148936170215</v>
      </c>
      <c r="N225" s="28">
        <f t="shared" si="24"/>
        <v>2.1276595744680851E-2</v>
      </c>
      <c r="O225" s="7" t="str">
        <f t="shared" si="25"/>
        <v>Valid</v>
      </c>
      <c r="P225" s="13" t="str">
        <f t="shared" si="26"/>
        <v>Valid</v>
      </c>
      <c r="Q225" s="7" t="str">
        <f t="shared" si="27"/>
        <v>Valid</v>
      </c>
    </row>
    <row r="226" spans="1:17" ht="60">
      <c r="A226" s="7" t="str">
        <f>IF(Raw_Data!A226="","",TRIM(SUBSTITUTE(CLEAN(Raw_Data!A226),CHAR(160)," ")))</f>
        <v>Abuja Municipal Area Council</v>
      </c>
      <c r="B226" s="7" t="str">
        <f>IF(Raw_Data!B226="","",TRIM(SUBSTITUTE(CLEAN(Raw_Data!B226),CHAR(160)," ")))</f>
        <v>Orozo Ward</v>
      </c>
      <c r="C226" s="7" t="str">
        <f>IF(Raw_Data!C226="","",TRIM(SUBSTITUTE(CLEAN(Raw_Data!C226),CHAR(160)," ")))</f>
        <v>Kurudu Primary Health Clinic</v>
      </c>
      <c r="D226" s="28">
        <f>IFERROR(IF(COUNT(Raw_Data!D226:O226)=0,"",AVERAGE(Raw_Data!D226:O226)/100),"")</f>
        <v>0.97638999999999998</v>
      </c>
      <c r="E226" s="28">
        <f>IFERROR(IF(COUNT(Raw_Data!P226:AA226)=0,"",AVERAGE(Raw_Data!P226:AA226)/100),"")</f>
        <v>1</v>
      </c>
      <c r="F226" s="30">
        <f>IFERROR(IF(COUNT(Raw_Data!AB226:AM226)=0,"",SUM(Raw_Data!AB226:AM226)),"")</f>
        <v>591</v>
      </c>
      <c r="G226" s="30">
        <f>IFERROR(IF(COUNT(Raw_Data!AN226:AY226)=0,"",SUM(Raw_Data!AN226:AY226)),"")</f>
        <v>601</v>
      </c>
      <c r="H226" s="30">
        <f>IFERROR(IF(COUNT(Raw_Data!AZ226:BK226)=0,"",SUM(Raw_Data!AZ226:BK226)),"")</f>
        <v>248</v>
      </c>
      <c r="I226" s="30">
        <f>IFERROR(IF(COUNT(Raw_Data!BL226:BW226)=0,"",SUM(Raw_Data!BL226:BW226)),"")</f>
        <v>104</v>
      </c>
      <c r="J226" s="30">
        <f>IFERROR(IF(COUNT(Raw_Data!BX226:CI226)=0,"",SUM(Raw_Data!BX226:CI226)),"")</f>
        <v>4</v>
      </c>
      <c r="K226" s="28">
        <f t="shared" si="21"/>
        <v>1.0169204737732656</v>
      </c>
      <c r="L226" s="28">
        <f t="shared" si="22"/>
        <v>-1.6920473773265651E-2</v>
      </c>
      <c r="M226" s="28">
        <f t="shared" si="23"/>
        <v>0.41935483870967744</v>
      </c>
      <c r="N226" s="28">
        <f t="shared" si="24"/>
        <v>1.6129032258064516E-2</v>
      </c>
      <c r="O226" s="7" t="str">
        <f t="shared" si="25"/>
        <v>Invalid</v>
      </c>
      <c r="P226" s="13" t="str">
        <f t="shared" si="26"/>
        <v>Valid</v>
      </c>
      <c r="Q226" s="7" t="str">
        <f t="shared" si="27"/>
        <v>Invalid</v>
      </c>
    </row>
    <row r="227" spans="1:17" ht="60">
      <c r="A227" s="7" t="str">
        <f>IF(Raw_Data!A227="","",TRIM(SUBSTITUTE(CLEAN(Raw_Data!A227),CHAR(160)," ")))</f>
        <v>Kuje Local Government Area</v>
      </c>
      <c r="B227" s="7" t="str">
        <f>IF(Raw_Data!B227="","",TRIM(SUBSTITUTE(CLEAN(Raw_Data!B227),CHAR(160)," ")))</f>
        <v>Gaube Ward</v>
      </c>
      <c r="C227" s="7" t="str">
        <f>IF(Raw_Data!C227="","",TRIM(SUBSTITUTE(CLEAN(Raw_Data!C227),CHAR(160)," ")))</f>
        <v>Kusaki Primary Health Centre</v>
      </c>
      <c r="D227" s="28">
        <f>IFERROR(IF(COUNT(Raw_Data!D227:O227)=0,"",AVERAGE(Raw_Data!D227:O227)/100),"")</f>
        <v>1</v>
      </c>
      <c r="E227" s="28">
        <f>IFERROR(IF(COUNT(Raw_Data!P227:AA227)=0,"",AVERAGE(Raw_Data!P227:AA227)/100),"")</f>
        <v>1.1000000000000001</v>
      </c>
      <c r="F227" s="30">
        <f>IFERROR(IF(COUNT(Raw_Data!AB227:AM227)=0,"",SUM(Raw_Data!AB227:AM227)),"")</f>
        <v>133</v>
      </c>
      <c r="G227" s="30">
        <f>IFERROR(IF(COUNT(Raw_Data!AN227:AY227)=0,"",SUM(Raw_Data!AN227:AY227)),"")</f>
        <v>150</v>
      </c>
      <c r="H227" s="30">
        <f>IFERROR(IF(COUNT(Raw_Data!AZ227:BK227)=0,"",SUM(Raw_Data!AZ227:BK227)),"")</f>
        <v>40</v>
      </c>
      <c r="I227" s="30">
        <f>IFERROR(IF(COUNT(Raw_Data!BL227:BW227)=0,"",SUM(Raw_Data!BL227:BW227)),"")</f>
        <v>5</v>
      </c>
      <c r="J227" s="30" t="str">
        <f>IFERROR(IF(COUNT(Raw_Data!BX227:CI227)=0,"",SUM(Raw_Data!BX227:CI227)),"")</f>
        <v/>
      </c>
      <c r="K227" s="28">
        <f t="shared" si="21"/>
        <v>1.1278195488721805</v>
      </c>
      <c r="L227" s="28">
        <f t="shared" si="22"/>
        <v>-0.12781954887218044</v>
      </c>
      <c r="M227" s="28">
        <f t="shared" si="23"/>
        <v>0.125</v>
      </c>
      <c r="N227" s="28" t="str">
        <f t="shared" si="24"/>
        <v/>
      </c>
      <c r="O227" s="7" t="str">
        <f t="shared" si="25"/>
        <v>Invalid</v>
      </c>
      <c r="P227" s="13" t="str">
        <f t="shared" si="26"/>
        <v>Incomplete</v>
      </c>
      <c r="Q227" s="7" t="str">
        <f t="shared" si="27"/>
        <v>Incomplete</v>
      </c>
    </row>
    <row r="228" spans="1:17" ht="60">
      <c r="A228" s="7" t="str">
        <f>IF(Raw_Data!A228="","",TRIM(SUBSTITUTE(CLEAN(Raw_Data!A228),CHAR(160)," ")))</f>
        <v>Abuja Municipal Area Council</v>
      </c>
      <c r="B228" s="7" t="str">
        <f>IF(Raw_Data!B228="","",TRIM(SUBSTITUTE(CLEAN(Raw_Data!B228),CHAR(160)," ")))</f>
        <v>Karshi Ward</v>
      </c>
      <c r="C228" s="7" t="str">
        <f>IF(Raw_Data!C228="","",TRIM(SUBSTITUTE(CLEAN(Raw_Data!C228),CHAR(160)," ")))</f>
        <v>Kuseki Primary Health Clinic</v>
      </c>
      <c r="D228" s="28">
        <f>IFERROR(IF(COUNT(Raw_Data!D228:O228)=0,"",AVERAGE(Raw_Data!D228:O228)/100),"")</f>
        <v>0.82352000000000003</v>
      </c>
      <c r="E228" s="28">
        <f>IFERROR(IF(COUNT(Raw_Data!P228:AA228)=0,"",AVERAGE(Raw_Data!P228:AA228)/100),"")</f>
        <v>1</v>
      </c>
      <c r="F228" s="30">
        <f>IFERROR(IF(COUNT(Raw_Data!AB228:AM228)=0,"",SUM(Raw_Data!AB228:AM228)),"")</f>
        <v>188</v>
      </c>
      <c r="G228" s="30">
        <f>IFERROR(IF(COUNT(Raw_Data!AN228:AY228)=0,"",SUM(Raw_Data!AN228:AY228)),"")</f>
        <v>148</v>
      </c>
      <c r="H228" s="30">
        <f>IFERROR(IF(COUNT(Raw_Data!AZ228:BK228)=0,"",SUM(Raw_Data!AZ228:BK228)),"")</f>
        <v>35</v>
      </c>
      <c r="I228" s="30">
        <f>IFERROR(IF(COUNT(Raw_Data!BL228:BW228)=0,"",SUM(Raw_Data!BL228:BW228)),"")</f>
        <v>31</v>
      </c>
      <c r="J228" s="30">
        <f>IFERROR(IF(COUNT(Raw_Data!BX228:CI228)=0,"",SUM(Raw_Data!BX228:CI228)),"")</f>
        <v>12</v>
      </c>
      <c r="K228" s="28">
        <f t="shared" si="21"/>
        <v>0.78723404255319152</v>
      </c>
      <c r="L228" s="28">
        <f t="shared" si="22"/>
        <v>0.21276595744680851</v>
      </c>
      <c r="M228" s="28">
        <f t="shared" si="23"/>
        <v>0.88571428571428568</v>
      </c>
      <c r="N228" s="28">
        <f t="shared" si="24"/>
        <v>0.34285714285714286</v>
      </c>
      <c r="O228" s="7" t="str">
        <f t="shared" si="25"/>
        <v>Valid</v>
      </c>
      <c r="P228" s="13" t="str">
        <f t="shared" si="26"/>
        <v>Valid</v>
      </c>
      <c r="Q228" s="7" t="str">
        <f t="shared" si="27"/>
        <v>Valid</v>
      </c>
    </row>
    <row r="229" spans="1:17" ht="60">
      <c r="A229" s="7" t="str">
        <f>IF(Raw_Data!A229="","",TRIM(SUBSTITUTE(CLEAN(Raw_Data!A229),CHAR(160)," ")))</f>
        <v>Kuje Local Government Area</v>
      </c>
      <c r="B229" s="7" t="str">
        <f>IF(Raw_Data!B229="","",TRIM(SUBSTITUTE(CLEAN(Raw_Data!B229),CHAR(160)," ")))</f>
        <v>Kabi Ward</v>
      </c>
      <c r="C229" s="7" t="str">
        <f>IF(Raw_Data!C229="","",TRIM(SUBSTITUTE(CLEAN(Raw_Data!C229),CHAR(160)," ")))</f>
        <v>Kutada Primary Health Centre</v>
      </c>
      <c r="D229" s="28">
        <f>IFERROR(IF(COUNT(Raw_Data!D229:O229)=0,"",AVERAGE(Raw_Data!D229:O229)/100),"")</f>
        <v>1</v>
      </c>
      <c r="E229" s="28">
        <f>IFERROR(IF(COUNT(Raw_Data!P229:AA229)=0,"",AVERAGE(Raw_Data!P229:AA229)/100),"")</f>
        <v>0.94445000000000012</v>
      </c>
      <c r="F229" s="30">
        <f>IFERROR(IF(COUNT(Raw_Data!AB229:AM229)=0,"",SUM(Raw_Data!AB229:AM229)),"")</f>
        <v>73</v>
      </c>
      <c r="G229" s="30">
        <f>IFERROR(IF(COUNT(Raw_Data!AN229:AY229)=0,"",SUM(Raw_Data!AN229:AY229)),"")</f>
        <v>134</v>
      </c>
      <c r="H229" s="30">
        <f>IFERROR(IF(COUNT(Raw_Data!AZ229:BK229)=0,"",SUM(Raw_Data!AZ229:BK229)),"")</f>
        <v>10</v>
      </c>
      <c r="I229" s="30">
        <f>IFERROR(IF(COUNT(Raw_Data!BL229:BW229)=0,"",SUM(Raw_Data!BL229:BW229)),"")</f>
        <v>9</v>
      </c>
      <c r="J229" s="30">
        <f>IFERROR(IF(COUNT(Raw_Data!BX229:CI229)=0,"",SUM(Raw_Data!BX229:CI229)),"")</f>
        <v>6</v>
      </c>
      <c r="K229" s="28">
        <f t="shared" si="21"/>
        <v>1.8356164383561644</v>
      </c>
      <c r="L229" s="28">
        <f t="shared" si="22"/>
        <v>-0.83561643835616439</v>
      </c>
      <c r="M229" s="28">
        <f t="shared" si="23"/>
        <v>0.9</v>
      </c>
      <c r="N229" s="28">
        <f t="shared" si="24"/>
        <v>0.6</v>
      </c>
      <c r="O229" s="7" t="str">
        <f t="shared" si="25"/>
        <v>Invalid</v>
      </c>
      <c r="P229" s="13" t="str">
        <f t="shared" si="26"/>
        <v>Valid</v>
      </c>
      <c r="Q229" s="7" t="str">
        <f t="shared" si="27"/>
        <v>Invalid</v>
      </c>
    </row>
    <row r="230" spans="1:17" ht="60">
      <c r="A230" s="7" t="str">
        <f>IF(Raw_Data!A230="","",TRIM(SUBSTITUTE(CLEAN(Raw_Data!A230),CHAR(160)," ")))</f>
        <v>Abaji Local Government Area</v>
      </c>
      <c r="B230" s="7" t="str">
        <f>IF(Raw_Data!B230="","",TRIM(SUBSTITUTE(CLEAN(Raw_Data!B230),CHAR(160)," ")))</f>
        <v>Gurdi Ward</v>
      </c>
      <c r="C230" s="7" t="str">
        <f>IF(Raw_Data!C230="","",TRIM(SUBSTITUTE(CLEAN(Raw_Data!C230),CHAR(160)," ")))</f>
        <v>Kutara Primary Health Clinic</v>
      </c>
      <c r="D230" s="28">
        <f>IFERROR(IF(COUNT(Raw_Data!D230:O230)=0,"",AVERAGE(Raw_Data!D230:O230)/100),"")</f>
        <v>1.5</v>
      </c>
      <c r="E230" s="28">
        <f>IFERROR(IF(COUNT(Raw_Data!P230:AA230)=0,"",AVERAGE(Raw_Data!P230:AA230)/100),"")</f>
        <v>1.5</v>
      </c>
      <c r="F230" s="30">
        <f>IFERROR(IF(COUNT(Raw_Data!AB230:AM230)=0,"",SUM(Raw_Data!AB230:AM230)),"")</f>
        <v>35</v>
      </c>
      <c r="G230" s="30">
        <f>IFERROR(IF(COUNT(Raw_Data!AN230:AY230)=0,"",SUM(Raw_Data!AN230:AY230)),"")</f>
        <v>20</v>
      </c>
      <c r="H230" s="30">
        <f>IFERROR(IF(COUNT(Raw_Data!AZ230:BK230)=0,"",SUM(Raw_Data!AZ230:BK230)),"")</f>
        <v>21</v>
      </c>
      <c r="I230" s="30">
        <f>IFERROR(IF(COUNT(Raw_Data!BL230:BW230)=0,"",SUM(Raw_Data!BL230:BW230)),"")</f>
        <v>1</v>
      </c>
      <c r="J230" s="30">
        <f>IFERROR(IF(COUNT(Raw_Data!BX230:CI230)=0,"",SUM(Raw_Data!BX230:CI230)),"")</f>
        <v>10</v>
      </c>
      <c r="K230" s="28">
        <f t="shared" si="21"/>
        <v>0.5714285714285714</v>
      </c>
      <c r="L230" s="28">
        <f t="shared" si="22"/>
        <v>0.42857142857142855</v>
      </c>
      <c r="M230" s="28">
        <f t="shared" si="23"/>
        <v>4.7619047619047616E-2</v>
      </c>
      <c r="N230" s="28">
        <f t="shared" si="24"/>
        <v>0.47619047619047616</v>
      </c>
      <c r="O230" s="7" t="str">
        <f t="shared" si="25"/>
        <v>Valid</v>
      </c>
      <c r="P230" s="13" t="str">
        <f t="shared" si="26"/>
        <v>Invalid</v>
      </c>
      <c r="Q230" s="7" t="str">
        <f t="shared" si="27"/>
        <v>Invalid</v>
      </c>
    </row>
    <row r="231" spans="1:17" ht="60">
      <c r="A231" s="7" t="str">
        <f>IF(Raw_Data!A231="","",TRIM(SUBSTITUTE(CLEAN(Raw_Data!A231),CHAR(160)," ")))</f>
        <v>Bwari Local Government Area</v>
      </c>
      <c r="B231" s="7" t="str">
        <f>IF(Raw_Data!B231="","",TRIM(SUBSTITUTE(CLEAN(Raw_Data!B231),CHAR(160)," ")))</f>
        <v>Kawu Ward</v>
      </c>
      <c r="C231" s="7" t="str">
        <f>IF(Raw_Data!C231="","",TRIM(SUBSTITUTE(CLEAN(Raw_Data!C231),CHAR(160)," ")))</f>
        <v>Kute Primary Health Clinic</v>
      </c>
      <c r="D231" s="28">
        <f>IFERROR(IF(COUNT(Raw_Data!D231:O231)=0,"",AVERAGE(Raw_Data!D231:O231)/100),"")</f>
        <v>1.0454545454545454</v>
      </c>
      <c r="E231" s="28">
        <f>IFERROR(IF(COUNT(Raw_Data!P231:AA231)=0,"",AVERAGE(Raw_Data!P231:AA231)/100),"")</f>
        <v>1</v>
      </c>
      <c r="F231" s="30">
        <f>IFERROR(IF(COUNT(Raw_Data!AB231:AM231)=0,"",SUM(Raw_Data!AB231:AM231)),"")</f>
        <v>382</v>
      </c>
      <c r="G231" s="30">
        <f>IFERROR(IF(COUNT(Raw_Data!AN231:AY231)=0,"",SUM(Raw_Data!AN231:AY231)),"")</f>
        <v>400</v>
      </c>
      <c r="H231" s="30">
        <f>IFERROR(IF(COUNT(Raw_Data!AZ231:BK231)=0,"",SUM(Raw_Data!AZ231:BK231)),"")</f>
        <v>88</v>
      </c>
      <c r="I231" s="30">
        <f>IFERROR(IF(COUNT(Raw_Data!BL231:BW231)=0,"",SUM(Raw_Data!BL231:BW231)),"")</f>
        <v>62</v>
      </c>
      <c r="J231" s="30" t="str">
        <f>IFERROR(IF(COUNT(Raw_Data!BX231:CI231)=0,"",SUM(Raw_Data!BX231:CI231)),"")</f>
        <v/>
      </c>
      <c r="K231" s="28">
        <f t="shared" si="21"/>
        <v>1.0471204188481675</v>
      </c>
      <c r="L231" s="28">
        <f t="shared" si="22"/>
        <v>-4.712041884816754E-2</v>
      </c>
      <c r="M231" s="28">
        <f t="shared" si="23"/>
        <v>0.70454545454545459</v>
      </c>
      <c r="N231" s="28" t="str">
        <f t="shared" si="24"/>
        <v/>
      </c>
      <c r="O231" s="7" t="str">
        <f t="shared" si="25"/>
        <v>Invalid</v>
      </c>
      <c r="P231" s="13" t="str">
        <f t="shared" si="26"/>
        <v>Incomplete</v>
      </c>
      <c r="Q231" s="7" t="str">
        <f t="shared" si="27"/>
        <v>Incomplete</v>
      </c>
    </row>
    <row r="232" spans="1:17" ht="75">
      <c r="A232" s="7" t="str">
        <f>IF(Raw_Data!A232="","",TRIM(SUBSTITUTE(CLEAN(Raw_Data!A232),CHAR(160)," ")))</f>
        <v>Gwagwalada Local Government Area</v>
      </c>
      <c r="B232" s="7" t="str">
        <f>IF(Raw_Data!B232="","",TRIM(SUBSTITUTE(CLEAN(Raw_Data!B232),CHAR(160)," ")))</f>
        <v>Kutunku Ward</v>
      </c>
      <c r="C232" s="7" t="str">
        <f>IF(Raw_Data!C232="","",TRIM(SUBSTITUTE(CLEAN(Raw_Data!C232),CHAR(160)," ")))</f>
        <v>Kutunku 2 Primary Health Clinic</v>
      </c>
      <c r="D232" s="28">
        <f>IFERROR(IF(COUNT(Raw_Data!D232:O232)=0,"",AVERAGE(Raw_Data!D232:O232)/100),"")</f>
        <v>0.92222000000000004</v>
      </c>
      <c r="E232" s="28">
        <f>IFERROR(IF(COUNT(Raw_Data!P232:AA232)=0,"",AVERAGE(Raw_Data!P232:AA232)/100),"")</f>
        <v>0.82144285714285714</v>
      </c>
      <c r="F232" s="30">
        <f>IFERROR(IF(COUNT(Raw_Data!AB232:AM232)=0,"",SUM(Raw_Data!AB232:AM232)),"")</f>
        <v>759</v>
      </c>
      <c r="G232" s="30">
        <f>IFERROR(IF(COUNT(Raw_Data!AN232:AY232)=0,"",SUM(Raw_Data!AN232:AY232)),"")</f>
        <v>747</v>
      </c>
      <c r="H232" s="30">
        <f>IFERROR(IF(COUNT(Raw_Data!AZ232:BK232)=0,"",SUM(Raw_Data!AZ232:BK232)),"")</f>
        <v>328</v>
      </c>
      <c r="I232" s="30">
        <f>IFERROR(IF(COUNT(Raw_Data!BL232:BW232)=0,"",SUM(Raw_Data!BL232:BW232)),"")</f>
        <v>119</v>
      </c>
      <c r="J232" s="30">
        <f>IFERROR(IF(COUNT(Raw_Data!BX232:CI232)=0,"",SUM(Raw_Data!BX232:CI232)),"")</f>
        <v>17</v>
      </c>
      <c r="K232" s="28">
        <f t="shared" si="21"/>
        <v>0.98418972332015808</v>
      </c>
      <c r="L232" s="28">
        <f t="shared" si="22"/>
        <v>1.5810276679841896E-2</v>
      </c>
      <c r="M232" s="28">
        <f t="shared" si="23"/>
        <v>0.36280487804878048</v>
      </c>
      <c r="N232" s="28">
        <f t="shared" si="24"/>
        <v>5.1829268292682924E-2</v>
      </c>
      <c r="O232" s="7" t="str">
        <f t="shared" si="25"/>
        <v>Valid</v>
      </c>
      <c r="P232" s="13" t="str">
        <f t="shared" si="26"/>
        <v>Valid</v>
      </c>
      <c r="Q232" s="7" t="str">
        <f t="shared" si="27"/>
        <v>Valid</v>
      </c>
    </row>
    <row r="233" spans="1:17" ht="60">
      <c r="A233" s="7" t="str">
        <f>IF(Raw_Data!A233="","",TRIM(SUBSTITUTE(CLEAN(Raw_Data!A233),CHAR(160)," ")))</f>
        <v>Kuje Local Government Area</v>
      </c>
      <c r="B233" s="7" t="str">
        <f>IF(Raw_Data!B233="","",TRIM(SUBSTITUTE(CLEAN(Raw_Data!B233),CHAR(160)," ")))</f>
        <v>Gaube Ward</v>
      </c>
      <c r="C233" s="7" t="str">
        <f>IF(Raw_Data!C233="","",TRIM(SUBSTITUTE(CLEAN(Raw_Data!C233),CHAR(160)," ")))</f>
        <v>Kuwyizhi Primary Health Centre</v>
      </c>
      <c r="D233" s="28">
        <f>IFERROR(IF(COUNT(Raw_Data!D233:O233)=0,"",AVERAGE(Raw_Data!D233:O233)/100),"")</f>
        <v>1.25</v>
      </c>
      <c r="E233" s="28">
        <f>IFERROR(IF(COUNT(Raw_Data!P233:AA233)=0,"",AVERAGE(Raw_Data!P233:AA233)/100),"")</f>
        <v>1</v>
      </c>
      <c r="F233" s="30">
        <f>IFERROR(IF(COUNT(Raw_Data!AB233:AM233)=0,"",SUM(Raw_Data!AB233:AM233)),"")</f>
        <v>62</v>
      </c>
      <c r="G233" s="30">
        <f>IFERROR(IF(COUNT(Raw_Data!AN233:AY233)=0,"",SUM(Raw_Data!AN233:AY233)),"")</f>
        <v>50</v>
      </c>
      <c r="H233" s="30">
        <f>IFERROR(IF(COUNT(Raw_Data!AZ233:BK233)=0,"",SUM(Raw_Data!AZ233:BK233)),"")</f>
        <v>23</v>
      </c>
      <c r="I233" s="30">
        <f>IFERROR(IF(COUNT(Raw_Data!BL233:BW233)=0,"",SUM(Raw_Data!BL233:BW233)),"")</f>
        <v>5</v>
      </c>
      <c r="J233" s="30" t="str">
        <f>IFERROR(IF(COUNT(Raw_Data!BX233:CI233)=0,"",SUM(Raw_Data!BX233:CI233)),"")</f>
        <v/>
      </c>
      <c r="K233" s="28">
        <f t="shared" si="21"/>
        <v>0.80645161290322576</v>
      </c>
      <c r="L233" s="28">
        <f t="shared" si="22"/>
        <v>0.19354838709677419</v>
      </c>
      <c r="M233" s="28">
        <f t="shared" si="23"/>
        <v>0.21739130434782608</v>
      </c>
      <c r="N233" s="28" t="str">
        <f t="shared" si="24"/>
        <v/>
      </c>
      <c r="O233" s="7" t="str">
        <f t="shared" si="25"/>
        <v>Valid</v>
      </c>
      <c r="P233" s="13" t="str">
        <f t="shared" si="26"/>
        <v>Incomplete</v>
      </c>
      <c r="Q233" s="7" t="str">
        <f t="shared" si="27"/>
        <v>Incomplete</v>
      </c>
    </row>
    <row r="234" spans="1:17" ht="75">
      <c r="A234" s="7" t="str">
        <f>IF(Raw_Data!A234="","",TRIM(SUBSTITUTE(CLEAN(Raw_Data!A234),CHAR(160)," ")))</f>
        <v>Kwali Local Government Area</v>
      </c>
      <c r="B234" s="7" t="str">
        <f>IF(Raw_Data!B234="","",TRIM(SUBSTITUTE(CLEAN(Raw_Data!B234),CHAR(160)," ")))</f>
        <v>Gumbo Ward</v>
      </c>
      <c r="C234" s="7" t="str">
        <f>IF(Raw_Data!C234="","",TRIM(SUBSTITUTE(CLEAN(Raw_Data!C234),CHAR(160)," ")))</f>
        <v>Kwaita Hausa Primary Health Clinic</v>
      </c>
      <c r="D234" s="28">
        <f>IFERROR(IF(COUNT(Raw_Data!D234:O234)=0,"",AVERAGE(Raw_Data!D234:O234)/100),"")</f>
        <v>0.86363636363636365</v>
      </c>
      <c r="E234" s="28">
        <f>IFERROR(IF(COUNT(Raw_Data!P234:AA234)=0,"",AVERAGE(Raw_Data!P234:AA234)/100),"")</f>
        <v>1</v>
      </c>
      <c r="F234" s="30">
        <f>IFERROR(IF(COUNT(Raw_Data!AB234:AM234)=0,"",SUM(Raw_Data!AB234:AM234)),"")</f>
        <v>426</v>
      </c>
      <c r="G234" s="30">
        <f>IFERROR(IF(COUNT(Raw_Data!AN234:AY234)=0,"",SUM(Raw_Data!AN234:AY234)),"")</f>
        <v>854</v>
      </c>
      <c r="H234" s="30">
        <f>IFERROR(IF(COUNT(Raw_Data!AZ234:BK234)=0,"",SUM(Raw_Data!AZ234:BK234)),"")</f>
        <v>383</v>
      </c>
      <c r="I234" s="30">
        <f>IFERROR(IF(COUNT(Raw_Data!BL234:BW234)=0,"",SUM(Raw_Data!BL234:BW234)),"")</f>
        <v>181</v>
      </c>
      <c r="J234" s="30">
        <f>IFERROR(IF(COUNT(Raw_Data!BX234:CI234)=0,"",SUM(Raw_Data!BX234:CI234)),"")</f>
        <v>43</v>
      </c>
      <c r="K234" s="28">
        <f t="shared" si="21"/>
        <v>2.004694835680751</v>
      </c>
      <c r="L234" s="28">
        <f t="shared" si="22"/>
        <v>-1.0046948356807512</v>
      </c>
      <c r="M234" s="28">
        <f t="shared" si="23"/>
        <v>0.47258485639686681</v>
      </c>
      <c r="N234" s="28">
        <f t="shared" si="24"/>
        <v>0.1122715404699739</v>
      </c>
      <c r="O234" s="7" t="str">
        <f t="shared" si="25"/>
        <v>Invalid</v>
      </c>
      <c r="P234" s="13" t="str">
        <f t="shared" si="26"/>
        <v>Valid</v>
      </c>
      <c r="Q234" s="7" t="str">
        <f t="shared" si="27"/>
        <v>Invalid</v>
      </c>
    </row>
    <row r="235" spans="1:17" ht="75">
      <c r="A235" s="7" t="str">
        <f>IF(Raw_Data!A235="","",TRIM(SUBSTITUTE(CLEAN(Raw_Data!A235),CHAR(160)," ")))</f>
        <v>Kwali Local Government Area</v>
      </c>
      <c r="B235" s="7" t="str">
        <f>IF(Raw_Data!B235="","",TRIM(SUBSTITUTE(CLEAN(Raw_Data!B235),CHAR(160)," ")))</f>
        <v>Yebu Ward</v>
      </c>
      <c r="C235" s="7" t="str">
        <f>IF(Raw_Data!C235="","",TRIM(SUBSTITUTE(CLEAN(Raw_Data!C235),CHAR(160)," ")))</f>
        <v>Kwaita Model Primary Health Centre</v>
      </c>
      <c r="D235" s="28">
        <f>IFERROR(IF(COUNT(Raw_Data!D235:O235)=0,"",AVERAGE(Raw_Data!D235:O235)/100),"")</f>
        <v>1</v>
      </c>
      <c r="E235" s="28">
        <f>IFERROR(IF(COUNT(Raw_Data!P235:AA235)=0,"",AVERAGE(Raw_Data!P235:AA235)/100),"")</f>
        <v>0.83334000000000008</v>
      </c>
      <c r="F235" s="30">
        <f>IFERROR(IF(COUNT(Raw_Data!AB235:AM235)=0,"",SUM(Raw_Data!AB235:AM235)),"")</f>
        <v>147</v>
      </c>
      <c r="G235" s="30">
        <f>IFERROR(IF(COUNT(Raw_Data!AN235:AY235)=0,"",SUM(Raw_Data!AN235:AY235)),"")</f>
        <v>146</v>
      </c>
      <c r="H235" s="30">
        <f>IFERROR(IF(COUNT(Raw_Data!AZ235:BK235)=0,"",SUM(Raw_Data!AZ235:BK235)),"")</f>
        <v>49</v>
      </c>
      <c r="I235" s="30">
        <f>IFERROR(IF(COUNT(Raw_Data!BL235:BW235)=0,"",SUM(Raw_Data!BL235:BW235)),"")</f>
        <v>43</v>
      </c>
      <c r="J235" s="30">
        <f>IFERROR(IF(COUNT(Raw_Data!BX235:CI235)=0,"",SUM(Raw_Data!BX235:CI235)),"")</f>
        <v>6</v>
      </c>
      <c r="K235" s="28">
        <f t="shared" si="21"/>
        <v>0.99319727891156462</v>
      </c>
      <c r="L235" s="28">
        <f t="shared" si="22"/>
        <v>6.8027210884353739E-3</v>
      </c>
      <c r="M235" s="28">
        <f t="shared" si="23"/>
        <v>0.87755102040816324</v>
      </c>
      <c r="N235" s="28">
        <f t="shared" si="24"/>
        <v>0.12244897959183673</v>
      </c>
      <c r="O235" s="7" t="str">
        <f t="shared" si="25"/>
        <v>Valid</v>
      </c>
      <c r="P235" s="13" t="str">
        <f t="shared" si="26"/>
        <v>Valid</v>
      </c>
      <c r="Q235" s="7" t="str">
        <f t="shared" si="27"/>
        <v>Valid</v>
      </c>
    </row>
    <row r="236" spans="1:17" ht="60">
      <c r="A236" s="7" t="str">
        <f>IF(Raw_Data!A236="","",TRIM(SUBSTITUTE(CLEAN(Raw_Data!A236),CHAR(160)," ")))</f>
        <v>Kuje Local Government Area</v>
      </c>
      <c r="B236" s="7" t="str">
        <f>IF(Raw_Data!B236="","",TRIM(SUBSTITUTE(CLEAN(Raw_Data!B236),CHAR(160)," ")))</f>
        <v>Kwaku Ward</v>
      </c>
      <c r="C236" s="7" t="str">
        <f>IF(Raw_Data!C236="","",TRIM(SUBSTITUTE(CLEAN(Raw_Data!C236),CHAR(160)," ")))</f>
        <v>Kwaku Primary Health Centre</v>
      </c>
      <c r="D236" s="28">
        <f>IFERROR(IF(COUNT(Raw_Data!D236:O236)=0,"",AVERAGE(Raw_Data!D236:O236)/100),"")</f>
        <v>1</v>
      </c>
      <c r="E236" s="28">
        <f>IFERROR(IF(COUNT(Raw_Data!P236:AA236)=0,"",AVERAGE(Raw_Data!P236:AA236)/100),"")</f>
        <v>1</v>
      </c>
      <c r="F236" s="30">
        <f>IFERROR(IF(COUNT(Raw_Data!AB236:AM236)=0,"",SUM(Raw_Data!AB236:AM236)),"")</f>
        <v>272</v>
      </c>
      <c r="G236" s="30">
        <f>IFERROR(IF(COUNT(Raw_Data!AN236:AY236)=0,"",SUM(Raw_Data!AN236:AY236)),"")</f>
        <v>265</v>
      </c>
      <c r="H236" s="30">
        <f>IFERROR(IF(COUNT(Raw_Data!AZ236:BK236)=0,"",SUM(Raw_Data!AZ236:BK236)),"")</f>
        <v>111</v>
      </c>
      <c r="I236" s="30">
        <f>IFERROR(IF(COUNT(Raw_Data!BL236:BW236)=0,"",SUM(Raw_Data!BL236:BW236)),"")</f>
        <v>24</v>
      </c>
      <c r="J236" s="30">
        <f>IFERROR(IF(COUNT(Raw_Data!BX236:CI236)=0,"",SUM(Raw_Data!BX236:CI236)),"")</f>
        <v>11</v>
      </c>
      <c r="K236" s="28">
        <f t="shared" si="21"/>
        <v>0.97426470588235292</v>
      </c>
      <c r="L236" s="28">
        <f t="shared" si="22"/>
        <v>2.5735294117647058E-2</v>
      </c>
      <c r="M236" s="28">
        <f t="shared" si="23"/>
        <v>0.21621621621621623</v>
      </c>
      <c r="N236" s="28">
        <f t="shared" si="24"/>
        <v>9.90990990990991E-2</v>
      </c>
      <c r="O236" s="7" t="str">
        <f t="shared" si="25"/>
        <v>Valid</v>
      </c>
      <c r="P236" s="13" t="str">
        <f t="shared" si="26"/>
        <v>Valid</v>
      </c>
      <c r="Q236" s="7" t="str">
        <f t="shared" si="27"/>
        <v>Valid</v>
      </c>
    </row>
    <row r="237" spans="1:17" ht="60">
      <c r="A237" s="7" t="str">
        <f>IF(Raw_Data!A237="","",TRIM(SUBSTITUTE(CLEAN(Raw_Data!A237),CHAR(160)," ")))</f>
        <v>Abaji Local Government Area</v>
      </c>
      <c r="B237" s="7" t="str">
        <f>IF(Raw_Data!B237="","",TRIM(SUBSTITUTE(CLEAN(Raw_Data!B237),CHAR(160)," ")))</f>
        <v>Gurdi Ward</v>
      </c>
      <c r="C237" s="7" t="str">
        <f>IF(Raw_Data!C237="","",TRIM(SUBSTITUTE(CLEAN(Raw_Data!C237),CHAR(160)," ")))</f>
        <v>Kwakwa Primary Health Clinic</v>
      </c>
      <c r="D237" s="28">
        <f>IFERROR(IF(COUNT(Raw_Data!D237:O237)=0,"",AVERAGE(Raw_Data!D237:O237)/100),"")</f>
        <v>1</v>
      </c>
      <c r="E237" s="28">
        <f>IFERROR(IF(COUNT(Raw_Data!P237:AA237)=0,"",AVERAGE(Raw_Data!P237:AA237)/100),"")</f>
        <v>1</v>
      </c>
      <c r="F237" s="30">
        <f>IFERROR(IF(COUNT(Raw_Data!AB237:AM237)=0,"",SUM(Raw_Data!AB237:AM237)),"")</f>
        <v>266</v>
      </c>
      <c r="G237" s="30">
        <f>IFERROR(IF(COUNT(Raw_Data!AN237:AY237)=0,"",SUM(Raw_Data!AN237:AY237)),"")</f>
        <v>256</v>
      </c>
      <c r="H237" s="30">
        <f>IFERROR(IF(COUNT(Raw_Data!AZ237:BK237)=0,"",SUM(Raw_Data!AZ237:BK237)),"")</f>
        <v>90</v>
      </c>
      <c r="I237" s="30" t="str">
        <f>IFERROR(IF(COUNT(Raw_Data!BL237:BW237)=0,"",SUM(Raw_Data!BL237:BW237)),"")</f>
        <v/>
      </c>
      <c r="J237" s="30" t="str">
        <f>IFERROR(IF(COUNT(Raw_Data!BX237:CI237)=0,"",SUM(Raw_Data!BX237:CI237)),"")</f>
        <v/>
      </c>
      <c r="K237" s="28">
        <f t="shared" si="21"/>
        <v>0.96240601503759393</v>
      </c>
      <c r="L237" s="28">
        <f t="shared" si="22"/>
        <v>3.7593984962406013E-2</v>
      </c>
      <c r="M237" s="28" t="str">
        <f t="shared" si="23"/>
        <v/>
      </c>
      <c r="N237" s="28" t="str">
        <f t="shared" si="24"/>
        <v/>
      </c>
      <c r="O237" s="7" t="str">
        <f t="shared" si="25"/>
        <v>Valid</v>
      </c>
      <c r="P237" s="13" t="str">
        <f t="shared" si="26"/>
        <v>Incomplete</v>
      </c>
      <c r="Q237" s="7" t="str">
        <f t="shared" si="27"/>
        <v>Incomplete</v>
      </c>
    </row>
    <row r="238" spans="1:17" ht="60">
      <c r="A238" s="7" t="str">
        <f>IF(Raw_Data!A238="","",TRIM(SUBSTITUTE(CLEAN(Raw_Data!A238),CHAR(160)," ")))</f>
        <v>Kwali Local Government Area</v>
      </c>
      <c r="B238" s="7" t="str">
        <f>IF(Raw_Data!B238="","",TRIM(SUBSTITUTE(CLEAN(Raw_Data!B238),CHAR(160)," ")))</f>
        <v>Kwali Ward</v>
      </c>
      <c r="C238" s="7" t="str">
        <f>IF(Raw_Data!C238="","",TRIM(SUBSTITUTE(CLEAN(Raw_Data!C238),CHAR(160)," ")))</f>
        <v>Kwali Basic Health Centre</v>
      </c>
      <c r="D238" s="28">
        <f>IFERROR(IF(COUNT(Raw_Data!D238:O238)=0,"",AVERAGE(Raw_Data!D238:O238)/100),"")</f>
        <v>0.84021818181818175</v>
      </c>
      <c r="E238" s="28">
        <f>IFERROR(IF(COUNT(Raw_Data!P238:AA238)=0,"",AVERAGE(Raw_Data!P238:AA238)/100),"")</f>
        <v>0.375</v>
      </c>
      <c r="F238" s="30">
        <f>IFERROR(IF(COUNT(Raw_Data!AB238:AM238)=0,"",SUM(Raw_Data!AB238:AM238)),"")</f>
        <v>669</v>
      </c>
      <c r="G238" s="30">
        <f>IFERROR(IF(COUNT(Raw_Data!AN238:AY238)=0,"",SUM(Raw_Data!AN238:AY238)),"")</f>
        <v>620</v>
      </c>
      <c r="H238" s="30">
        <f>IFERROR(IF(COUNT(Raw_Data!AZ238:BK238)=0,"",SUM(Raw_Data!AZ238:BK238)),"")</f>
        <v>461</v>
      </c>
      <c r="I238" s="30">
        <f>IFERROR(IF(COUNT(Raw_Data!BL238:BW238)=0,"",SUM(Raw_Data!BL238:BW238)),"")</f>
        <v>221</v>
      </c>
      <c r="J238" s="30">
        <f>IFERROR(IF(COUNT(Raw_Data!BX238:CI238)=0,"",SUM(Raw_Data!BX238:CI238)),"")</f>
        <v>49</v>
      </c>
      <c r="K238" s="28">
        <f t="shared" si="21"/>
        <v>0.92675635276532142</v>
      </c>
      <c r="L238" s="28">
        <f t="shared" si="22"/>
        <v>7.3243647234678619E-2</v>
      </c>
      <c r="M238" s="28">
        <f t="shared" si="23"/>
        <v>0.4793926247288503</v>
      </c>
      <c r="N238" s="28">
        <f t="shared" si="24"/>
        <v>0.10629067245119306</v>
      </c>
      <c r="O238" s="7" t="str">
        <f t="shared" si="25"/>
        <v>Valid</v>
      </c>
      <c r="P238" s="13" t="str">
        <f t="shared" si="26"/>
        <v>Valid</v>
      </c>
      <c r="Q238" s="7" t="str">
        <f t="shared" si="27"/>
        <v>Valid</v>
      </c>
    </row>
    <row r="239" spans="1:17" ht="60">
      <c r="A239" s="7" t="str">
        <f>IF(Raw_Data!A239="","",TRIM(SUBSTITUTE(CLEAN(Raw_Data!A239),CHAR(160)," ")))</f>
        <v>Kwali Local Government Area</v>
      </c>
      <c r="B239" s="7" t="str">
        <f>IF(Raw_Data!B239="","",TRIM(SUBSTITUTE(CLEAN(Raw_Data!B239),CHAR(160)," ")))</f>
        <v>Kwali Ward</v>
      </c>
      <c r="C239" s="7" t="str">
        <f>IF(Raw_Data!C239="","",TRIM(SUBSTITUTE(CLEAN(Raw_Data!C239),CHAR(160)," ")))</f>
        <v>Kwali General Hospital</v>
      </c>
      <c r="D239" s="28" t="str">
        <f>IFERROR(IF(COUNT(Raw_Data!D239:O239)=0,"",AVERAGE(Raw_Data!D239:O239)/100),"")</f>
        <v/>
      </c>
      <c r="E239" s="28" t="str">
        <f>IFERROR(IF(COUNT(Raw_Data!P239:AA239)=0,"",AVERAGE(Raw_Data!P239:AA239)/100),"")</f>
        <v/>
      </c>
      <c r="F239" s="30">
        <f>IFERROR(IF(COUNT(Raw_Data!AB239:AM239)=0,"",SUM(Raw_Data!AB239:AM239)),"")</f>
        <v>495</v>
      </c>
      <c r="G239" s="30">
        <f>IFERROR(IF(COUNT(Raw_Data!AN239:AY239)=0,"",SUM(Raw_Data!AN239:AY239)),"")</f>
        <v>454</v>
      </c>
      <c r="H239" s="30">
        <f>IFERROR(IF(COUNT(Raw_Data!AZ239:BK239)=0,"",SUM(Raw_Data!AZ239:BK239)),"")</f>
        <v>673</v>
      </c>
      <c r="I239" s="30">
        <f>IFERROR(IF(COUNT(Raw_Data!BL239:BW239)=0,"",SUM(Raw_Data!BL239:BW239)),"")</f>
        <v>532</v>
      </c>
      <c r="J239" s="30">
        <f>IFERROR(IF(COUNT(Raw_Data!BX239:CI239)=0,"",SUM(Raw_Data!BX239:CI239)),"")</f>
        <v>127</v>
      </c>
      <c r="K239" s="28">
        <f t="shared" si="21"/>
        <v>0.91717171717171719</v>
      </c>
      <c r="L239" s="28">
        <f t="shared" si="22"/>
        <v>8.2828282828282834E-2</v>
      </c>
      <c r="M239" s="28">
        <f t="shared" si="23"/>
        <v>0.79049034175334321</v>
      </c>
      <c r="N239" s="28">
        <f t="shared" si="24"/>
        <v>0.18870728083209509</v>
      </c>
      <c r="O239" s="7" t="str">
        <f t="shared" si="25"/>
        <v>Valid</v>
      </c>
      <c r="P239" s="13" t="str">
        <f t="shared" si="26"/>
        <v>Valid</v>
      </c>
      <c r="Q239" s="7" t="str">
        <f t="shared" si="27"/>
        <v>Valid</v>
      </c>
    </row>
    <row r="240" spans="1:17" ht="60">
      <c r="A240" s="7" t="str">
        <f>IF(Raw_Data!A240="","",TRIM(SUBSTITUTE(CLEAN(Raw_Data!A240),CHAR(160)," ")))</f>
        <v>Kuje Local Government Area</v>
      </c>
      <c r="B240" s="7" t="str">
        <f>IF(Raw_Data!B240="","",TRIM(SUBSTITUTE(CLEAN(Raw_Data!B240),CHAR(160)," ")))</f>
        <v>Chibiri Ward</v>
      </c>
      <c r="C240" s="7" t="str">
        <f>IF(Raw_Data!C240="","",TRIM(SUBSTITUTE(CLEAN(Raw_Data!C240),CHAR(160)," ")))</f>
        <v>Lanto Primary Health Centre</v>
      </c>
      <c r="D240" s="28">
        <f>IFERROR(IF(COUNT(Raw_Data!D240:O240)=0,"",AVERAGE(Raw_Data!D240:O240)/100),"")</f>
        <v>1</v>
      </c>
      <c r="E240" s="28">
        <f>IFERROR(IF(COUNT(Raw_Data!P240:AA240)=0,"",AVERAGE(Raw_Data!P240:AA240)/100),"")</f>
        <v>0.93332999999999999</v>
      </c>
      <c r="F240" s="30">
        <f>IFERROR(IF(COUNT(Raw_Data!AB240:AM240)=0,"",SUM(Raw_Data!AB240:AM240)),"")</f>
        <v>139</v>
      </c>
      <c r="G240" s="30">
        <f>IFERROR(IF(COUNT(Raw_Data!AN240:AY240)=0,"",SUM(Raw_Data!AN240:AY240)),"")</f>
        <v>169</v>
      </c>
      <c r="H240" s="30">
        <f>IFERROR(IF(COUNT(Raw_Data!AZ240:BK240)=0,"",SUM(Raw_Data!AZ240:BK240)),"")</f>
        <v>83</v>
      </c>
      <c r="I240" s="30">
        <f>IFERROR(IF(COUNT(Raw_Data!BL240:BW240)=0,"",SUM(Raw_Data!BL240:BW240)),"")</f>
        <v>10</v>
      </c>
      <c r="J240" s="30">
        <f>IFERROR(IF(COUNT(Raw_Data!BX240:CI240)=0,"",SUM(Raw_Data!BX240:CI240)),"")</f>
        <v>17</v>
      </c>
      <c r="K240" s="28">
        <f t="shared" si="21"/>
        <v>1.2158273381294964</v>
      </c>
      <c r="L240" s="28">
        <f t="shared" si="22"/>
        <v>-0.21582733812949639</v>
      </c>
      <c r="M240" s="28">
        <f t="shared" si="23"/>
        <v>0.12048192771084337</v>
      </c>
      <c r="N240" s="28">
        <f t="shared" si="24"/>
        <v>0.20481927710843373</v>
      </c>
      <c r="O240" s="7" t="str">
        <f t="shared" si="25"/>
        <v>Invalid</v>
      </c>
      <c r="P240" s="13" t="str">
        <f t="shared" si="26"/>
        <v>Invalid</v>
      </c>
      <c r="Q240" s="7" t="str">
        <f t="shared" si="27"/>
        <v>Invalid</v>
      </c>
    </row>
    <row r="241" spans="1:17" ht="75">
      <c r="A241" s="7" t="str">
        <f>IF(Raw_Data!A241="","",TRIM(SUBSTITUTE(CLEAN(Raw_Data!A241),CHAR(160)," ")))</f>
        <v>Bwari Local Government Area</v>
      </c>
      <c r="B241" s="7" t="str">
        <f>IF(Raw_Data!B241="","",TRIM(SUBSTITUTE(CLEAN(Raw_Data!B241),CHAR(160)," ")))</f>
        <v>Bwari Central Ward</v>
      </c>
      <c r="C241" s="7" t="str">
        <f>IF(Raw_Data!C241="","",TRIM(SUBSTITUTE(CLEAN(Raw_Data!C241),CHAR(160)," ")))</f>
        <v>Laura Hospital And Maternity</v>
      </c>
      <c r="D241" s="28" t="str">
        <f>IFERROR(IF(COUNT(Raw_Data!D241:O241)=0,"",AVERAGE(Raw_Data!D241:O241)/100),"")</f>
        <v/>
      </c>
      <c r="E241" s="28" t="str">
        <f>IFERROR(IF(COUNT(Raw_Data!P241:AA241)=0,"",AVERAGE(Raw_Data!P241:AA241)/100),"")</f>
        <v/>
      </c>
      <c r="F241" s="30" t="str">
        <f>IFERROR(IF(COUNT(Raw_Data!AB241:AM241)=0,"",SUM(Raw_Data!AB241:AM241)),"")</f>
        <v/>
      </c>
      <c r="G241" s="30" t="str">
        <f>IFERROR(IF(COUNT(Raw_Data!AN241:AY241)=0,"",SUM(Raw_Data!AN241:AY241)),"")</f>
        <v/>
      </c>
      <c r="H241" s="30">
        <f>IFERROR(IF(COUNT(Raw_Data!AZ241:BK241)=0,"",SUM(Raw_Data!AZ241:BK241)),"")</f>
        <v>2</v>
      </c>
      <c r="I241" s="30">
        <f>IFERROR(IF(COUNT(Raw_Data!BL241:BW241)=0,"",SUM(Raw_Data!BL241:BW241)),"")</f>
        <v>1</v>
      </c>
      <c r="J241" s="30">
        <f>IFERROR(IF(COUNT(Raw_Data!BX241:CI241)=0,"",SUM(Raw_Data!BX241:CI241)),"")</f>
        <v>1</v>
      </c>
      <c r="K241" s="28" t="str">
        <f t="shared" si="21"/>
        <v/>
      </c>
      <c r="L241" s="28" t="str">
        <f t="shared" si="22"/>
        <v/>
      </c>
      <c r="M241" s="28">
        <f t="shared" si="23"/>
        <v>0.5</v>
      </c>
      <c r="N241" s="28">
        <f t="shared" si="24"/>
        <v>0.5</v>
      </c>
      <c r="O241" s="7" t="str">
        <f t="shared" si="25"/>
        <v>No Data</v>
      </c>
      <c r="P241" s="13" t="str">
        <f t="shared" si="26"/>
        <v>Valid</v>
      </c>
      <c r="Q241" s="7" t="str">
        <f t="shared" si="27"/>
        <v>No Data</v>
      </c>
    </row>
    <row r="242" spans="1:17" ht="60">
      <c r="A242" s="7" t="str">
        <f>IF(Raw_Data!A242="","",TRIM(SUBSTITUTE(CLEAN(Raw_Data!A242),CHAR(160)," ")))</f>
        <v>Kwali Local Government Area</v>
      </c>
      <c r="B242" s="7" t="str">
        <f>IF(Raw_Data!B242="","",TRIM(SUBSTITUTE(CLEAN(Raw_Data!B242),CHAR(160)," ")))</f>
        <v>Yebu Ward</v>
      </c>
      <c r="C242" s="7" t="str">
        <f>IF(Raw_Data!C242="","",TRIM(SUBSTITUTE(CLEAN(Raw_Data!C242),CHAR(160)," ")))</f>
        <v>Leda Primary Health Centre</v>
      </c>
      <c r="D242" s="28">
        <f>IFERROR(IF(COUNT(Raw_Data!D242:O242)=0,"",AVERAGE(Raw_Data!D242:O242)/100),"")</f>
        <v>1</v>
      </c>
      <c r="E242" s="28">
        <f>IFERROR(IF(COUNT(Raw_Data!P242:AA242)=0,"",AVERAGE(Raw_Data!P242:AA242)/100),"")</f>
        <v>1</v>
      </c>
      <c r="F242" s="30">
        <f>IFERROR(IF(COUNT(Raw_Data!AB242:AM242)=0,"",SUM(Raw_Data!AB242:AM242)),"")</f>
        <v>129</v>
      </c>
      <c r="G242" s="30">
        <f>IFERROR(IF(COUNT(Raw_Data!AN242:AY242)=0,"",SUM(Raw_Data!AN242:AY242)),"")</f>
        <v>133</v>
      </c>
      <c r="H242" s="30">
        <f>IFERROR(IF(COUNT(Raw_Data!AZ242:BK242)=0,"",SUM(Raw_Data!AZ242:BK242)),"")</f>
        <v>99</v>
      </c>
      <c r="I242" s="30">
        <f>IFERROR(IF(COUNT(Raw_Data!BL242:BW242)=0,"",SUM(Raw_Data!BL242:BW242)),"")</f>
        <v>85</v>
      </c>
      <c r="J242" s="30" t="str">
        <f>IFERROR(IF(COUNT(Raw_Data!BX242:CI242)=0,"",SUM(Raw_Data!BX242:CI242)),"")</f>
        <v/>
      </c>
      <c r="K242" s="28">
        <f t="shared" si="21"/>
        <v>1.0310077519379846</v>
      </c>
      <c r="L242" s="28">
        <f t="shared" si="22"/>
        <v>-3.1007751937984496E-2</v>
      </c>
      <c r="M242" s="28">
        <f t="shared" si="23"/>
        <v>0.85858585858585856</v>
      </c>
      <c r="N242" s="28" t="str">
        <f t="shared" si="24"/>
        <v/>
      </c>
      <c r="O242" s="7" t="str">
        <f t="shared" si="25"/>
        <v>Invalid</v>
      </c>
      <c r="P242" s="13" t="str">
        <f t="shared" si="26"/>
        <v>Incomplete</v>
      </c>
      <c r="Q242" s="7" t="str">
        <f t="shared" si="27"/>
        <v>Incomplete</v>
      </c>
    </row>
    <row r="243" spans="1:17" ht="60">
      <c r="A243" s="7" t="str">
        <f>IF(Raw_Data!A243="","",TRIM(SUBSTITUTE(CLEAN(Raw_Data!A243),CHAR(160)," ")))</f>
        <v>Gwagwalada Local Government Area</v>
      </c>
      <c r="B243" s="7" t="str">
        <f>IF(Raw_Data!B243="","",TRIM(SUBSTITUTE(CLEAN(Raw_Data!B243),CHAR(160)," ")))</f>
        <v>Dobi Ward</v>
      </c>
      <c r="C243" s="7" t="str">
        <f>IF(Raw_Data!C243="","",TRIM(SUBSTITUTE(CLEAN(Raw_Data!C243),CHAR(160)," ")))</f>
        <v>Ledi Primary Health Clinic</v>
      </c>
      <c r="D243" s="28">
        <f>IFERROR(IF(COUNT(Raw_Data!D243:O243)=0,"",AVERAGE(Raw_Data!D243:O243)/100),"")</f>
        <v>0.9</v>
      </c>
      <c r="E243" s="28">
        <f>IFERROR(IF(COUNT(Raw_Data!P243:AA243)=0,"",AVERAGE(Raw_Data!P243:AA243)/100),"")</f>
        <v>0.93</v>
      </c>
      <c r="F243" s="30">
        <f>IFERROR(IF(COUNT(Raw_Data!AB243:AM243)=0,"",SUM(Raw_Data!AB243:AM243)),"")</f>
        <v>203</v>
      </c>
      <c r="G243" s="30">
        <f>IFERROR(IF(COUNT(Raw_Data!AN243:AY243)=0,"",SUM(Raw_Data!AN243:AY243)),"")</f>
        <v>483</v>
      </c>
      <c r="H243" s="30">
        <f>IFERROR(IF(COUNT(Raw_Data!AZ243:BK243)=0,"",SUM(Raw_Data!AZ243:BK243)),"")</f>
        <v>35</v>
      </c>
      <c r="I243" s="30">
        <f>IFERROR(IF(COUNT(Raw_Data!BL243:BW243)=0,"",SUM(Raw_Data!BL243:BW243)),"")</f>
        <v>4</v>
      </c>
      <c r="J243" s="30">
        <f>IFERROR(IF(COUNT(Raw_Data!BX243:CI243)=0,"",SUM(Raw_Data!BX243:CI243)),"")</f>
        <v>59</v>
      </c>
      <c r="K243" s="28">
        <f t="shared" si="21"/>
        <v>2.3793103448275863</v>
      </c>
      <c r="L243" s="28">
        <f t="shared" si="22"/>
        <v>-1.3793103448275863</v>
      </c>
      <c r="M243" s="28">
        <f t="shared" si="23"/>
        <v>0.11428571428571428</v>
      </c>
      <c r="N243" s="28">
        <f t="shared" si="24"/>
        <v>1.6857142857142857</v>
      </c>
      <c r="O243" s="7" t="str">
        <f t="shared" si="25"/>
        <v>Invalid</v>
      </c>
      <c r="P243" s="13" t="str">
        <f t="shared" si="26"/>
        <v>Invalid</v>
      </c>
      <c r="Q243" s="7" t="str">
        <f t="shared" si="27"/>
        <v>Invalid</v>
      </c>
    </row>
    <row r="244" spans="1:17" ht="75">
      <c r="A244" s="7" t="str">
        <f>IF(Raw_Data!A244="","",TRIM(SUBSTITUTE(CLEAN(Raw_Data!A244),CHAR(160)," ")))</f>
        <v>Kwali Local Government Area</v>
      </c>
      <c r="B244" s="7" t="str">
        <f>IF(Raw_Data!B244="","",TRIM(SUBSTITUTE(CLEAN(Raw_Data!B244),CHAR(160)," ")))</f>
        <v>Pai Ward</v>
      </c>
      <c r="C244" s="7" t="str">
        <f>IF(Raw_Data!C244="","",TRIM(SUBSTITUTE(CLEAN(Raw_Data!C244),CHAR(160)," ")))</f>
        <v>Leleyi Gwari Primary Health Centre</v>
      </c>
      <c r="D244" s="28">
        <f>IFERROR(IF(COUNT(Raw_Data!D244:O244)=0,"",AVERAGE(Raw_Data!D244:O244)/100),"")</f>
        <v>1</v>
      </c>
      <c r="E244" s="28">
        <f>IFERROR(IF(COUNT(Raw_Data!P244:AA244)=0,"",AVERAGE(Raw_Data!P244:AA244)/100),"")</f>
        <v>0.97727272727272729</v>
      </c>
      <c r="F244" s="30">
        <f>IFERROR(IF(COUNT(Raw_Data!AB244:AM244)=0,"",SUM(Raw_Data!AB244:AM244)),"")</f>
        <v>457</v>
      </c>
      <c r="G244" s="30">
        <f>IFERROR(IF(COUNT(Raw_Data!AN244:AY244)=0,"",SUM(Raw_Data!AN244:AY244)),"")</f>
        <v>495</v>
      </c>
      <c r="H244" s="30">
        <f>IFERROR(IF(COUNT(Raw_Data!AZ244:BK244)=0,"",SUM(Raw_Data!AZ244:BK244)),"")</f>
        <v>161</v>
      </c>
      <c r="I244" s="30">
        <f>IFERROR(IF(COUNT(Raw_Data!BL244:BW244)=0,"",SUM(Raw_Data!BL244:BW244)),"")</f>
        <v>6</v>
      </c>
      <c r="J244" s="30" t="str">
        <f>IFERROR(IF(COUNT(Raw_Data!BX244:CI244)=0,"",SUM(Raw_Data!BX244:CI244)),"")</f>
        <v/>
      </c>
      <c r="K244" s="28">
        <f t="shared" si="21"/>
        <v>1.0831509846827134</v>
      </c>
      <c r="L244" s="28">
        <f t="shared" si="22"/>
        <v>-8.3150984682713341E-2</v>
      </c>
      <c r="M244" s="28">
        <f t="shared" si="23"/>
        <v>3.7267080745341616E-2</v>
      </c>
      <c r="N244" s="28" t="str">
        <f t="shared" si="24"/>
        <v/>
      </c>
      <c r="O244" s="7" t="str">
        <f t="shared" si="25"/>
        <v>Invalid</v>
      </c>
      <c r="P244" s="13" t="str">
        <f t="shared" si="26"/>
        <v>Incomplete</v>
      </c>
      <c r="Q244" s="7" t="str">
        <f t="shared" si="27"/>
        <v>Incomplete</v>
      </c>
    </row>
    <row r="245" spans="1:17" ht="60">
      <c r="A245" s="7" t="str">
        <f>IF(Raw_Data!A245="","",TRIM(SUBSTITUTE(CLEAN(Raw_Data!A245),CHAR(160)," ")))</f>
        <v>Abuja Municipal Area Council</v>
      </c>
      <c r="B245" s="7" t="str">
        <f>IF(Raw_Data!B245="","",TRIM(SUBSTITUTE(CLEAN(Raw_Data!B245),CHAR(160)," ")))</f>
        <v>Gwarimpa Ward</v>
      </c>
      <c r="C245" s="7" t="str">
        <f>IF(Raw_Data!C245="","",TRIM(SUBSTITUTE(CLEAN(Raw_Data!C245),CHAR(160)," ")))</f>
        <v>Life Point Hospital</v>
      </c>
      <c r="D245" s="28">
        <f>IFERROR(IF(COUNT(Raw_Data!D245:O245)=0,"",AVERAGE(Raw_Data!D245:O245)/100),"")</f>
        <v>1</v>
      </c>
      <c r="E245" s="28" t="str">
        <f>IFERROR(IF(COUNT(Raw_Data!P245:AA245)=0,"",AVERAGE(Raw_Data!P245:AA245)/100),"")</f>
        <v/>
      </c>
      <c r="F245" s="30">
        <f>IFERROR(IF(COUNT(Raw_Data!AB245:AM245)=0,"",SUM(Raw_Data!AB245:AM245)),"")</f>
        <v>229</v>
      </c>
      <c r="G245" s="30">
        <f>IFERROR(IF(COUNT(Raw_Data!AN245:AY245)=0,"",SUM(Raw_Data!AN245:AY245)),"")</f>
        <v>206</v>
      </c>
      <c r="H245" s="30">
        <f>IFERROR(IF(COUNT(Raw_Data!AZ245:BK245)=0,"",SUM(Raw_Data!AZ245:BK245)),"")</f>
        <v>55</v>
      </c>
      <c r="I245" s="30">
        <f>IFERROR(IF(COUNT(Raw_Data!BL245:BW245)=0,"",SUM(Raw_Data!BL245:BW245)),"")</f>
        <v>45</v>
      </c>
      <c r="J245" s="30">
        <f>IFERROR(IF(COUNT(Raw_Data!BX245:CI245)=0,"",SUM(Raw_Data!BX245:CI245)),"")</f>
        <v>38</v>
      </c>
      <c r="K245" s="28">
        <f t="shared" si="21"/>
        <v>0.89956331877729256</v>
      </c>
      <c r="L245" s="28">
        <f t="shared" si="22"/>
        <v>0.10043668122270742</v>
      </c>
      <c r="M245" s="28">
        <f t="shared" si="23"/>
        <v>0.81818181818181823</v>
      </c>
      <c r="N245" s="28">
        <f t="shared" si="24"/>
        <v>0.69090909090909092</v>
      </c>
      <c r="O245" s="7" t="str">
        <f t="shared" si="25"/>
        <v>Valid</v>
      </c>
      <c r="P245" s="13" t="str">
        <f t="shared" si="26"/>
        <v>Valid</v>
      </c>
      <c r="Q245" s="7" t="str">
        <f t="shared" si="27"/>
        <v>Valid</v>
      </c>
    </row>
    <row r="246" spans="1:17" ht="60">
      <c r="A246" s="7" t="str">
        <f>IF(Raw_Data!A246="","",TRIM(SUBSTITUTE(CLEAN(Raw_Data!A246),CHAR(160)," ")))</f>
        <v>Abuja Municipal Area Council</v>
      </c>
      <c r="B246" s="7" t="str">
        <f>IF(Raw_Data!B246="","",TRIM(SUBSTITUTE(CLEAN(Raw_Data!B246),CHAR(160)," ")))</f>
        <v>City Centre Ward</v>
      </c>
      <c r="C246" s="7" t="str">
        <f>IF(Raw_Data!C246="","",TRIM(SUBSTITUTE(CLEAN(Raw_Data!C246),CHAR(160)," ")))</f>
        <v>Limi Hospital</v>
      </c>
      <c r="D246" s="28">
        <f>IFERROR(IF(COUNT(Raw_Data!D246:O246)=0,"",AVERAGE(Raw_Data!D246:O246)/100),"")</f>
        <v>1</v>
      </c>
      <c r="E246" s="28" t="str">
        <f>IFERROR(IF(COUNT(Raw_Data!P246:AA246)=0,"",AVERAGE(Raw_Data!P246:AA246)/100),"")</f>
        <v/>
      </c>
      <c r="F246" s="30">
        <f>IFERROR(IF(COUNT(Raw_Data!AB246:AM246)=0,"",SUM(Raw_Data!AB246:AM246)),"")</f>
        <v>475</v>
      </c>
      <c r="G246" s="30">
        <f>IFERROR(IF(COUNT(Raw_Data!AN246:AY246)=0,"",SUM(Raw_Data!AN246:AY246)),"")</f>
        <v>405</v>
      </c>
      <c r="H246" s="30">
        <f>IFERROR(IF(COUNT(Raw_Data!AZ246:BK246)=0,"",SUM(Raw_Data!AZ246:BK246)),"")</f>
        <v>358</v>
      </c>
      <c r="I246" s="30">
        <f>IFERROR(IF(COUNT(Raw_Data!BL246:BW246)=0,"",SUM(Raw_Data!BL246:BW246)),"")</f>
        <v>298</v>
      </c>
      <c r="J246" s="30">
        <f>IFERROR(IF(COUNT(Raw_Data!BX246:CI246)=0,"",SUM(Raw_Data!BX246:CI246)),"")</f>
        <v>328</v>
      </c>
      <c r="K246" s="28">
        <f t="shared" si="21"/>
        <v>0.85263157894736841</v>
      </c>
      <c r="L246" s="28">
        <f t="shared" si="22"/>
        <v>0.14736842105263157</v>
      </c>
      <c r="M246" s="28">
        <f t="shared" si="23"/>
        <v>0.83240223463687146</v>
      </c>
      <c r="N246" s="28">
        <f t="shared" si="24"/>
        <v>0.91620111731843579</v>
      </c>
      <c r="O246" s="7" t="str">
        <f t="shared" si="25"/>
        <v>Valid</v>
      </c>
      <c r="P246" s="13" t="str">
        <f t="shared" si="26"/>
        <v>Invalid</v>
      </c>
      <c r="Q246" s="7" t="str">
        <f t="shared" si="27"/>
        <v>Invalid</v>
      </c>
    </row>
    <row r="247" spans="1:17" ht="90">
      <c r="A247" s="7" t="str">
        <f>IF(Raw_Data!A247="","",TRIM(SUBSTITUTE(CLEAN(Raw_Data!A247),CHAR(160)," ")))</f>
        <v>Gwagwalada Local Government Area</v>
      </c>
      <c r="B247" s="7" t="str">
        <f>IF(Raw_Data!B247="","",TRIM(SUBSTITUTE(CLEAN(Raw_Data!B247),CHAR(160)," ")))</f>
        <v>Zuba Ward</v>
      </c>
      <c r="C247" s="7" t="str">
        <f>IF(Raw_Data!C247="","",TRIM(SUBSTITUTE(CLEAN(Raw_Data!C247),CHAR(160)," ")))</f>
        <v>Living Rock Hospital and Maternity</v>
      </c>
      <c r="D247" s="28" t="str">
        <f>IFERROR(IF(COUNT(Raw_Data!D247:O247)=0,"",AVERAGE(Raw_Data!D247:O247)/100),"")</f>
        <v/>
      </c>
      <c r="E247" s="28" t="str">
        <f>IFERROR(IF(COUNT(Raw_Data!P247:AA247)=0,"",AVERAGE(Raw_Data!P247:AA247)/100),"")</f>
        <v/>
      </c>
      <c r="F247" s="30" t="str">
        <f>IFERROR(IF(COUNT(Raw_Data!AB247:AM247)=0,"",SUM(Raw_Data!AB247:AM247)),"")</f>
        <v/>
      </c>
      <c r="G247" s="30" t="str">
        <f>IFERROR(IF(COUNT(Raw_Data!AN247:AY247)=0,"",SUM(Raw_Data!AN247:AY247)),"")</f>
        <v/>
      </c>
      <c r="H247" s="30">
        <f>IFERROR(IF(COUNT(Raw_Data!AZ247:BK247)=0,"",SUM(Raw_Data!AZ247:BK247)),"")</f>
        <v>57</v>
      </c>
      <c r="I247" s="30">
        <f>IFERROR(IF(COUNT(Raw_Data!BL247:BW247)=0,"",SUM(Raw_Data!BL247:BW247)),"")</f>
        <v>7</v>
      </c>
      <c r="J247" s="30">
        <f>IFERROR(IF(COUNT(Raw_Data!BX247:CI247)=0,"",SUM(Raw_Data!BX247:CI247)),"")</f>
        <v>2</v>
      </c>
      <c r="K247" s="28" t="str">
        <f t="shared" si="21"/>
        <v/>
      </c>
      <c r="L247" s="28" t="str">
        <f t="shared" si="22"/>
        <v/>
      </c>
      <c r="M247" s="28">
        <f t="shared" si="23"/>
        <v>0.12280701754385964</v>
      </c>
      <c r="N247" s="28">
        <f t="shared" si="24"/>
        <v>3.5087719298245612E-2</v>
      </c>
      <c r="O247" s="7" t="str">
        <f t="shared" si="25"/>
        <v>No Data</v>
      </c>
      <c r="P247" s="13" t="str">
        <f t="shared" si="26"/>
        <v>Valid</v>
      </c>
      <c r="Q247" s="7" t="str">
        <f t="shared" si="27"/>
        <v>No Data</v>
      </c>
    </row>
    <row r="248" spans="1:17" ht="120">
      <c r="A248" s="7" t="str">
        <f>IF(Raw_Data!A248="","",TRIM(SUBSTITUTE(CLEAN(Raw_Data!A248),CHAR(160)," ")))</f>
        <v>Gwagwalada Local Government Area</v>
      </c>
      <c r="B248" s="7" t="str">
        <f>IF(Raw_Data!B248="","",TRIM(SUBSTITUTE(CLEAN(Raw_Data!B248),CHAR(160)," ")))</f>
        <v>Quarters Ward</v>
      </c>
      <c r="C248" s="7" t="str">
        <f>IF(Raw_Data!C248="","",TRIM(SUBSTITUTE(CLEAN(Raw_Data!C248),CHAR(160)," ")))</f>
        <v>Living Stream Specialist Medical Center Phase 3 Gwagwalada</v>
      </c>
      <c r="D248" s="28">
        <f>IFERROR(IF(COUNT(Raw_Data!D248:O248)=0,"",AVERAGE(Raw_Data!D248:O248)/100),"")</f>
        <v>1</v>
      </c>
      <c r="E248" s="28" t="str">
        <f>IFERROR(IF(COUNT(Raw_Data!P248:AA248)=0,"",AVERAGE(Raw_Data!P248:AA248)/100),"")</f>
        <v/>
      </c>
      <c r="F248" s="30">
        <f>IFERROR(IF(COUNT(Raw_Data!AB248:AM248)=0,"",SUM(Raw_Data!AB248:AM248)),"")</f>
        <v>46</v>
      </c>
      <c r="G248" s="30">
        <f>IFERROR(IF(COUNT(Raw_Data!AN248:AY248)=0,"",SUM(Raw_Data!AN248:AY248)),"")</f>
        <v>36</v>
      </c>
      <c r="H248" s="30">
        <f>IFERROR(IF(COUNT(Raw_Data!AZ248:BK248)=0,"",SUM(Raw_Data!AZ248:BK248)),"")</f>
        <v>62</v>
      </c>
      <c r="I248" s="30">
        <f>IFERROR(IF(COUNT(Raw_Data!BL248:BW248)=0,"",SUM(Raw_Data!BL248:BW248)),"")</f>
        <v>33</v>
      </c>
      <c r="J248" s="30">
        <f>IFERROR(IF(COUNT(Raw_Data!BX248:CI248)=0,"",SUM(Raw_Data!BX248:CI248)),"")</f>
        <v>23</v>
      </c>
      <c r="K248" s="28">
        <f t="shared" si="21"/>
        <v>0.78260869565217395</v>
      </c>
      <c r="L248" s="28">
        <f t="shared" si="22"/>
        <v>0.21739130434782608</v>
      </c>
      <c r="M248" s="28">
        <f t="shared" si="23"/>
        <v>0.532258064516129</v>
      </c>
      <c r="N248" s="28">
        <f t="shared" si="24"/>
        <v>0.37096774193548387</v>
      </c>
      <c r="O248" s="7" t="str">
        <f t="shared" si="25"/>
        <v>Valid</v>
      </c>
      <c r="P248" s="13" t="str">
        <f t="shared" si="26"/>
        <v>Valid</v>
      </c>
      <c r="Q248" s="7" t="str">
        <f t="shared" si="27"/>
        <v>Valid</v>
      </c>
    </row>
    <row r="249" spans="1:17" ht="75">
      <c r="A249" s="7" t="str">
        <f>IF(Raw_Data!A249="","",TRIM(SUBSTITUTE(CLEAN(Raw_Data!A249),CHAR(160)," ")))</f>
        <v>Abaji Local Government Area</v>
      </c>
      <c r="B249" s="7" t="str">
        <f>IF(Raw_Data!B249="","",TRIM(SUBSTITUTE(CLEAN(Raw_Data!B249),CHAR(160)," ")))</f>
        <v>Nuku Sabon Gari Ward</v>
      </c>
      <c r="C249" s="7" t="str">
        <f>IF(Raw_Data!C249="","",TRIM(SUBSTITUTE(CLEAN(Raw_Data!C249),CHAR(160)," ")))</f>
        <v>Lowcost -Barrack Primary Health Clinic</v>
      </c>
      <c r="D249" s="28">
        <f>IFERROR(IF(COUNT(Raw_Data!D249:O249)=0,"",AVERAGE(Raw_Data!D249:O249)/100),"")</f>
        <v>0.97499999999999998</v>
      </c>
      <c r="E249" s="28" t="str">
        <f>IFERROR(IF(COUNT(Raw_Data!P249:AA249)=0,"",AVERAGE(Raw_Data!P249:AA249)/100),"")</f>
        <v/>
      </c>
      <c r="F249" s="30">
        <f>IFERROR(IF(COUNT(Raw_Data!AB249:AM249)=0,"",SUM(Raw_Data!AB249:AM249)),"")</f>
        <v>95</v>
      </c>
      <c r="G249" s="30">
        <f>IFERROR(IF(COUNT(Raw_Data!AN249:AY249)=0,"",SUM(Raw_Data!AN249:AY249)),"")</f>
        <v>88</v>
      </c>
      <c r="H249" s="30">
        <f>IFERROR(IF(COUNT(Raw_Data!AZ249:BK249)=0,"",SUM(Raw_Data!AZ249:BK249)),"")</f>
        <v>44</v>
      </c>
      <c r="I249" s="30">
        <f>IFERROR(IF(COUNT(Raw_Data!BL249:BW249)=0,"",SUM(Raw_Data!BL249:BW249)),"")</f>
        <v>7</v>
      </c>
      <c r="J249" s="30" t="str">
        <f>IFERROR(IF(COUNT(Raw_Data!BX249:CI249)=0,"",SUM(Raw_Data!BX249:CI249)),"")</f>
        <v/>
      </c>
      <c r="K249" s="28">
        <f t="shared" si="21"/>
        <v>0.9263157894736842</v>
      </c>
      <c r="L249" s="28">
        <f t="shared" si="22"/>
        <v>7.3684210526315783E-2</v>
      </c>
      <c r="M249" s="28">
        <f t="shared" si="23"/>
        <v>0.15909090909090909</v>
      </c>
      <c r="N249" s="28" t="str">
        <f t="shared" si="24"/>
        <v/>
      </c>
      <c r="O249" s="7" t="str">
        <f t="shared" si="25"/>
        <v>Valid</v>
      </c>
      <c r="P249" s="13" t="str">
        <f t="shared" si="26"/>
        <v>Incomplete</v>
      </c>
      <c r="Q249" s="7" t="str">
        <f t="shared" si="27"/>
        <v>Incomplete</v>
      </c>
    </row>
    <row r="250" spans="1:17" ht="90">
      <c r="A250" s="7" t="str">
        <f>IF(Raw_Data!A250="","",TRIM(SUBSTITUTE(CLEAN(Raw_Data!A250),CHAR(160)," ")))</f>
        <v>Bwari Local Government Area</v>
      </c>
      <c r="B250" s="7" t="str">
        <f>IF(Raw_Data!B250="","",TRIM(SUBSTITUTE(CLEAN(Raw_Data!B250),CHAR(160)," ")))</f>
        <v>Ushafa Ward</v>
      </c>
      <c r="C250" s="7" t="str">
        <f>IF(Raw_Data!C250="","",TRIM(SUBSTITUTE(CLEAN(Raw_Data!C250),CHAR(160)," ")))</f>
        <v>Lower Usuma Dam Primary Health Clinic</v>
      </c>
      <c r="D250" s="28">
        <f>IFERROR(IF(COUNT(Raw_Data!D250:O250)=0,"",AVERAGE(Raw_Data!D250:O250)/100),"")</f>
        <v>0.95</v>
      </c>
      <c r="E250" s="28">
        <f>IFERROR(IF(COUNT(Raw_Data!P250:AA250)=0,"",AVERAGE(Raw_Data!P250:AA250)/100),"")</f>
        <v>1</v>
      </c>
      <c r="F250" s="30">
        <f>IFERROR(IF(COUNT(Raw_Data!AB250:AM250)=0,"",SUM(Raw_Data!AB250:AM250)),"")</f>
        <v>53</v>
      </c>
      <c r="G250" s="30">
        <f>IFERROR(IF(COUNT(Raw_Data!AN250:AY250)=0,"",SUM(Raw_Data!AN250:AY250)),"")</f>
        <v>56</v>
      </c>
      <c r="H250" s="30">
        <f>IFERROR(IF(COUNT(Raw_Data!AZ250:BK250)=0,"",SUM(Raw_Data!AZ250:BK250)),"")</f>
        <v>36</v>
      </c>
      <c r="I250" s="30">
        <f>IFERROR(IF(COUNT(Raw_Data!BL250:BW250)=0,"",SUM(Raw_Data!BL250:BW250)),"")</f>
        <v>8</v>
      </c>
      <c r="J250" s="30" t="str">
        <f>IFERROR(IF(COUNT(Raw_Data!BX250:CI250)=0,"",SUM(Raw_Data!BX250:CI250)),"")</f>
        <v/>
      </c>
      <c r="K250" s="28">
        <f t="shared" si="21"/>
        <v>1.0566037735849056</v>
      </c>
      <c r="L250" s="28">
        <f t="shared" si="22"/>
        <v>-5.6603773584905662E-2</v>
      </c>
      <c r="M250" s="28">
        <f t="shared" si="23"/>
        <v>0.22222222222222221</v>
      </c>
      <c r="N250" s="28" t="str">
        <f t="shared" si="24"/>
        <v/>
      </c>
      <c r="O250" s="7" t="str">
        <f t="shared" si="25"/>
        <v>Invalid</v>
      </c>
      <c r="P250" s="13" t="str">
        <f t="shared" si="26"/>
        <v>Incomplete</v>
      </c>
      <c r="Q250" s="7" t="str">
        <f t="shared" si="27"/>
        <v>Incomplete</v>
      </c>
    </row>
    <row r="251" spans="1:17" ht="75">
      <c r="A251" s="7" t="str">
        <f>IF(Raw_Data!A251="","",TRIM(SUBSTITUTE(CLEAN(Raw_Data!A251),CHAR(160)," ")))</f>
        <v>Abuja Municipal Area Council</v>
      </c>
      <c r="B251" s="7" t="str">
        <f>IF(Raw_Data!B251="","",TRIM(SUBSTITUTE(CLEAN(Raw_Data!B251),CHAR(160)," ")))</f>
        <v>Kabusa Ward</v>
      </c>
      <c r="C251" s="7" t="str">
        <f>IF(Raw_Data!C251="","",TRIM(SUBSTITUTE(CLEAN(Raw_Data!C251),CHAR(160)," ")))</f>
        <v>Lugbe Primary Health Care Centre</v>
      </c>
      <c r="D251" s="28">
        <f>IFERROR(IF(COUNT(Raw_Data!D251:O251)=0,"",AVERAGE(Raw_Data!D251:O251)/100),"")</f>
        <v>0.96103636363636358</v>
      </c>
      <c r="E251" s="28">
        <f>IFERROR(IF(COUNT(Raw_Data!P251:AA251)=0,"",AVERAGE(Raw_Data!P251:AA251)/100),"")</f>
        <v>0.97499999999999998</v>
      </c>
      <c r="F251" s="30">
        <f>IFERROR(IF(COUNT(Raw_Data!AB251:AM251)=0,"",SUM(Raw_Data!AB251:AM251)),"")</f>
        <v>1576</v>
      </c>
      <c r="G251" s="30">
        <f>IFERROR(IF(COUNT(Raw_Data!AN251:AY251)=0,"",SUM(Raw_Data!AN251:AY251)),"")</f>
        <v>1624</v>
      </c>
      <c r="H251" s="30">
        <f>IFERROR(IF(COUNT(Raw_Data!AZ251:BK251)=0,"",SUM(Raw_Data!AZ251:BK251)),"")</f>
        <v>1208</v>
      </c>
      <c r="I251" s="30">
        <f>IFERROR(IF(COUNT(Raw_Data!BL251:BW251)=0,"",SUM(Raw_Data!BL251:BW251)),"")</f>
        <v>398</v>
      </c>
      <c r="J251" s="30">
        <f>IFERROR(IF(COUNT(Raw_Data!BX251:CI251)=0,"",SUM(Raw_Data!BX251:CI251)),"")</f>
        <v>16</v>
      </c>
      <c r="K251" s="28">
        <f t="shared" si="21"/>
        <v>1.0304568527918783</v>
      </c>
      <c r="L251" s="28">
        <f t="shared" si="22"/>
        <v>-3.0456852791878174E-2</v>
      </c>
      <c r="M251" s="28">
        <f t="shared" si="23"/>
        <v>0.32947019867549671</v>
      </c>
      <c r="N251" s="28">
        <f t="shared" si="24"/>
        <v>1.3245033112582781E-2</v>
      </c>
      <c r="O251" s="7" t="str">
        <f t="shared" si="25"/>
        <v>Invalid</v>
      </c>
      <c r="P251" s="13" t="str">
        <f t="shared" si="26"/>
        <v>Valid</v>
      </c>
      <c r="Q251" s="7" t="str">
        <f t="shared" si="27"/>
        <v>Invalid</v>
      </c>
    </row>
    <row r="252" spans="1:17" ht="60">
      <c r="A252" s="7" t="str">
        <f>IF(Raw_Data!A252="","",TRIM(SUBSTITUTE(CLEAN(Raw_Data!A252),CHAR(160)," ")))</f>
        <v>Abuja Municipal Area Council</v>
      </c>
      <c r="B252" s="7" t="str">
        <f>IF(Raw_Data!B252="","",TRIM(SUBSTITUTE(CLEAN(Raw_Data!B252),CHAR(160)," ")))</f>
        <v>Gwarimpa Ward</v>
      </c>
      <c r="C252" s="7" t="str">
        <f>IF(Raw_Data!C252="","",TRIM(SUBSTITUTE(CLEAN(Raw_Data!C252),CHAR(160)," ")))</f>
        <v>Mabushi Primary Health Centre</v>
      </c>
      <c r="D252" s="28">
        <f>IFERROR(IF(COUNT(Raw_Data!D252:O252)=0,"",AVERAGE(Raw_Data!D252:O252)/100),"")</f>
        <v>0.94167000000000001</v>
      </c>
      <c r="E252" s="28">
        <f>IFERROR(IF(COUNT(Raw_Data!P252:AA252)=0,"",AVERAGE(Raw_Data!P252:AA252)/100),"")</f>
        <v>0.875</v>
      </c>
      <c r="F252" s="30">
        <f>IFERROR(IF(COUNT(Raw_Data!AB252:AM252)=0,"",SUM(Raw_Data!AB252:AM252)),"")</f>
        <v>310</v>
      </c>
      <c r="G252" s="30">
        <f>IFERROR(IF(COUNT(Raw_Data!AN252:AY252)=0,"",SUM(Raw_Data!AN252:AY252)),"")</f>
        <v>285</v>
      </c>
      <c r="H252" s="30">
        <f>IFERROR(IF(COUNT(Raw_Data!AZ252:BK252)=0,"",SUM(Raw_Data!AZ252:BK252)),"")</f>
        <v>188</v>
      </c>
      <c r="I252" s="30">
        <f>IFERROR(IF(COUNT(Raw_Data!BL252:BW252)=0,"",SUM(Raw_Data!BL252:BW252)),"")</f>
        <v>70</v>
      </c>
      <c r="J252" s="30">
        <f>IFERROR(IF(COUNT(Raw_Data!BX252:CI252)=0,"",SUM(Raw_Data!BX252:CI252)),"")</f>
        <v>6</v>
      </c>
      <c r="K252" s="28">
        <f t="shared" si="21"/>
        <v>0.91935483870967738</v>
      </c>
      <c r="L252" s="28">
        <f t="shared" si="22"/>
        <v>8.0645161290322578E-2</v>
      </c>
      <c r="M252" s="28">
        <f t="shared" si="23"/>
        <v>0.37234042553191488</v>
      </c>
      <c r="N252" s="28">
        <f t="shared" si="24"/>
        <v>3.1914893617021274E-2</v>
      </c>
      <c r="O252" s="7" t="str">
        <f t="shared" si="25"/>
        <v>Valid</v>
      </c>
      <c r="P252" s="13" t="str">
        <f t="shared" si="26"/>
        <v>Valid</v>
      </c>
      <c r="Q252" s="7" t="str">
        <f t="shared" si="27"/>
        <v>Valid</v>
      </c>
    </row>
    <row r="253" spans="1:17" ht="60">
      <c r="A253" s="7" t="str">
        <f>IF(Raw_Data!A253="","",TRIM(SUBSTITUTE(CLEAN(Raw_Data!A253),CHAR(160)," ")))</f>
        <v>Kwali Local Government Area</v>
      </c>
      <c r="B253" s="7" t="str">
        <f>IF(Raw_Data!B253="","",TRIM(SUBSTITUTE(CLEAN(Raw_Data!B253),CHAR(160)," ")))</f>
        <v>Ashara Ward</v>
      </c>
      <c r="C253" s="7" t="str">
        <f>IF(Raw_Data!C253="","",TRIM(SUBSTITUTE(CLEAN(Raw_Data!C253),CHAR(160)," ")))</f>
        <v>Maikwari Primary Health Clinic</v>
      </c>
      <c r="D253" s="28">
        <f>IFERROR(IF(COUNT(Raw_Data!D253:O253)=0,"",AVERAGE(Raw_Data!D253:O253)/100),"")</f>
        <v>0.88888888888888884</v>
      </c>
      <c r="E253" s="28">
        <f>IFERROR(IF(COUNT(Raw_Data!P253:AA253)=0,"",AVERAGE(Raw_Data!P253:AA253)/100),"")</f>
        <v>0.97499999999999998</v>
      </c>
      <c r="F253" s="30">
        <f>IFERROR(IF(COUNT(Raw_Data!AB253:AM253)=0,"",SUM(Raw_Data!AB253:AM253)),"")</f>
        <v>315</v>
      </c>
      <c r="G253" s="30">
        <f>IFERROR(IF(COUNT(Raw_Data!AN253:AY253)=0,"",SUM(Raw_Data!AN253:AY253)),"")</f>
        <v>296</v>
      </c>
      <c r="H253" s="30">
        <f>IFERROR(IF(COUNT(Raw_Data!AZ253:BK253)=0,"",SUM(Raw_Data!AZ253:BK253)),"")</f>
        <v>164</v>
      </c>
      <c r="I253" s="30">
        <f>IFERROR(IF(COUNT(Raw_Data!BL253:BW253)=0,"",SUM(Raw_Data!BL253:BW253)),"")</f>
        <v>2</v>
      </c>
      <c r="J253" s="30" t="str">
        <f>IFERROR(IF(COUNT(Raw_Data!BX253:CI253)=0,"",SUM(Raw_Data!BX253:CI253)),"")</f>
        <v/>
      </c>
      <c r="K253" s="28">
        <f t="shared" si="21"/>
        <v>0.93968253968253967</v>
      </c>
      <c r="L253" s="28">
        <f t="shared" si="22"/>
        <v>6.0317460317460318E-2</v>
      </c>
      <c r="M253" s="28">
        <f t="shared" si="23"/>
        <v>1.2195121951219513E-2</v>
      </c>
      <c r="N253" s="28" t="str">
        <f t="shared" si="24"/>
        <v/>
      </c>
      <c r="O253" s="7" t="str">
        <f t="shared" si="25"/>
        <v>Valid</v>
      </c>
      <c r="P253" s="13" t="str">
        <f t="shared" si="26"/>
        <v>Incomplete</v>
      </c>
      <c r="Q253" s="7" t="str">
        <f t="shared" si="27"/>
        <v>Incomplete</v>
      </c>
    </row>
    <row r="254" spans="1:17" ht="60">
      <c r="A254" s="7" t="str">
        <f>IF(Raw_Data!A254="","",TRIM(SUBSTITUTE(CLEAN(Raw_Data!A254),CHAR(160)," ")))</f>
        <v>Abuja Municipal Area Council</v>
      </c>
      <c r="B254" s="7" t="str">
        <f>IF(Raw_Data!B254="","",TRIM(SUBSTITUTE(CLEAN(Raw_Data!B254),CHAR(160)," ")))</f>
        <v>Wuse Ward</v>
      </c>
      <c r="C254" s="7" t="str">
        <f>IF(Raw_Data!C254="","",TRIM(SUBSTITUTE(CLEAN(Raw_Data!C254),CHAR(160)," ")))</f>
        <v>Maitama General Hospital</v>
      </c>
      <c r="D254" s="28">
        <f>IFERROR(IF(COUNT(Raw_Data!D254:O254)=0,"",AVERAGE(Raw_Data!D254:O254)/100),"")</f>
        <v>0.68272727272727263</v>
      </c>
      <c r="E254" s="28" t="str">
        <f>IFERROR(IF(COUNT(Raw_Data!P254:AA254)=0,"",AVERAGE(Raw_Data!P254:AA254)/100),"")</f>
        <v/>
      </c>
      <c r="F254" s="30">
        <f>IFERROR(IF(COUNT(Raw_Data!AB254:AM254)=0,"",SUM(Raw_Data!AB254:AM254)),"")</f>
        <v>747</v>
      </c>
      <c r="G254" s="30">
        <f>IFERROR(IF(COUNT(Raw_Data!AN254:AY254)=0,"",SUM(Raw_Data!AN254:AY254)),"")</f>
        <v>738</v>
      </c>
      <c r="H254" s="30">
        <f>IFERROR(IF(COUNT(Raw_Data!AZ254:BK254)=0,"",SUM(Raw_Data!AZ254:BK254)),"")</f>
        <v>1022</v>
      </c>
      <c r="I254" s="30">
        <f>IFERROR(IF(COUNT(Raw_Data!BL254:BW254)=0,"",SUM(Raw_Data!BL254:BW254)),"")</f>
        <v>1152</v>
      </c>
      <c r="J254" s="30">
        <f>IFERROR(IF(COUNT(Raw_Data!BX254:CI254)=0,"",SUM(Raw_Data!BX254:CI254)),"")</f>
        <v>159</v>
      </c>
      <c r="K254" s="28">
        <f t="shared" si="21"/>
        <v>0.98795180722891562</v>
      </c>
      <c r="L254" s="28">
        <f t="shared" si="22"/>
        <v>1.2048192771084338E-2</v>
      </c>
      <c r="M254" s="28">
        <f t="shared" si="23"/>
        <v>1.1272015655577299</v>
      </c>
      <c r="N254" s="28">
        <f t="shared" si="24"/>
        <v>0.15557729941291584</v>
      </c>
      <c r="O254" s="7" t="str">
        <f t="shared" si="25"/>
        <v>Valid</v>
      </c>
      <c r="P254" s="13" t="str">
        <f t="shared" si="26"/>
        <v>Invalid</v>
      </c>
      <c r="Q254" s="7" t="str">
        <f t="shared" si="27"/>
        <v>Invalid</v>
      </c>
    </row>
    <row r="255" spans="1:17" ht="60">
      <c r="A255" s="7" t="str">
        <f>IF(Raw_Data!A255="","",TRIM(SUBSTITUTE(CLEAN(Raw_Data!A255),CHAR(160)," ")))</f>
        <v>Abaji Local Government Area</v>
      </c>
      <c r="B255" s="7" t="str">
        <f>IF(Raw_Data!B255="","",TRIM(SUBSTITUTE(CLEAN(Raw_Data!B255),CHAR(160)," ")))</f>
        <v>South East Ward</v>
      </c>
      <c r="C255" s="7" t="str">
        <f>IF(Raw_Data!C255="","",TRIM(SUBSTITUTE(CLEAN(Raw_Data!C255),CHAR(160)," ")))</f>
        <v>Makana Primary Health Clinic</v>
      </c>
      <c r="D255" s="28">
        <f>IFERROR(IF(COUNT(Raw_Data!D255:O255)=0,"",AVERAGE(Raw_Data!D255:O255)/100),"")</f>
        <v>0.97499999999999998</v>
      </c>
      <c r="E255" s="28">
        <f>IFERROR(IF(COUNT(Raw_Data!P255:AA255)=0,"",AVERAGE(Raw_Data!P255:AA255)/100),"")</f>
        <v>0.6</v>
      </c>
      <c r="F255" s="30">
        <f>IFERROR(IF(COUNT(Raw_Data!AB255:AM255)=0,"",SUM(Raw_Data!AB255:AM255)),"")</f>
        <v>53</v>
      </c>
      <c r="G255" s="30">
        <f>IFERROR(IF(COUNT(Raw_Data!AN255:AY255)=0,"",SUM(Raw_Data!AN255:AY255)),"")</f>
        <v>44</v>
      </c>
      <c r="H255" s="30">
        <f>IFERROR(IF(COUNT(Raw_Data!AZ255:BK255)=0,"",SUM(Raw_Data!AZ255:BK255)),"")</f>
        <v>61</v>
      </c>
      <c r="I255" s="30">
        <f>IFERROR(IF(COUNT(Raw_Data!BL255:BW255)=0,"",SUM(Raw_Data!BL255:BW255)),"")</f>
        <v>12</v>
      </c>
      <c r="J255" s="30" t="str">
        <f>IFERROR(IF(COUNT(Raw_Data!BX255:CI255)=0,"",SUM(Raw_Data!BX255:CI255)),"")</f>
        <v/>
      </c>
      <c r="K255" s="28">
        <f t="shared" si="21"/>
        <v>0.83018867924528306</v>
      </c>
      <c r="L255" s="28">
        <f t="shared" si="22"/>
        <v>0.16981132075471697</v>
      </c>
      <c r="M255" s="28">
        <f t="shared" si="23"/>
        <v>0.19672131147540983</v>
      </c>
      <c r="N255" s="28" t="str">
        <f t="shared" si="24"/>
        <v/>
      </c>
      <c r="O255" s="7" t="str">
        <f t="shared" si="25"/>
        <v>Valid</v>
      </c>
      <c r="P255" s="13" t="str">
        <f t="shared" si="26"/>
        <v>Incomplete</v>
      </c>
      <c r="Q255" s="7" t="str">
        <f t="shared" si="27"/>
        <v>Incomplete</v>
      </c>
    </row>
    <row r="256" spans="1:17" ht="60">
      <c r="A256" s="7" t="str">
        <f>IF(Raw_Data!A256="","",TRIM(SUBSTITUTE(CLEAN(Raw_Data!A256),CHAR(160)," ")))</f>
        <v>Abaji Local Government Area</v>
      </c>
      <c r="B256" s="7" t="str">
        <f>IF(Raw_Data!B256="","",TRIM(SUBSTITUTE(CLEAN(Raw_Data!B256),CHAR(160)," ")))</f>
        <v>Alumamagi Ward</v>
      </c>
      <c r="C256" s="7" t="str">
        <f>IF(Raw_Data!C256="","",TRIM(SUBSTITUTE(CLEAN(Raw_Data!C256),CHAR(160)," ")))</f>
        <v>Mamagi Primary Health Clinic</v>
      </c>
      <c r="D256" s="28">
        <f>IFERROR(IF(COUNT(Raw_Data!D256:O256)=0,"",AVERAGE(Raw_Data!D256:O256)/100),"")</f>
        <v>1</v>
      </c>
      <c r="E256" s="28">
        <f>IFERROR(IF(COUNT(Raw_Data!P256:AA256)=0,"",AVERAGE(Raw_Data!P256:AA256)/100),"")</f>
        <v>1</v>
      </c>
      <c r="F256" s="30">
        <f>IFERROR(IF(COUNT(Raw_Data!AB256:AM256)=0,"",SUM(Raw_Data!AB256:AM256)),"")</f>
        <v>153</v>
      </c>
      <c r="G256" s="30">
        <f>IFERROR(IF(COUNT(Raw_Data!AN256:AY256)=0,"",SUM(Raw_Data!AN256:AY256)),"")</f>
        <v>152</v>
      </c>
      <c r="H256" s="30">
        <f>IFERROR(IF(COUNT(Raw_Data!AZ256:BK256)=0,"",SUM(Raw_Data!AZ256:BK256)),"")</f>
        <v>60</v>
      </c>
      <c r="I256" s="30">
        <f>IFERROR(IF(COUNT(Raw_Data!BL256:BW256)=0,"",SUM(Raw_Data!BL256:BW256)),"")</f>
        <v>24</v>
      </c>
      <c r="J256" s="30" t="str">
        <f>IFERROR(IF(COUNT(Raw_Data!BX256:CI256)=0,"",SUM(Raw_Data!BX256:CI256)),"")</f>
        <v/>
      </c>
      <c r="K256" s="28">
        <f t="shared" si="21"/>
        <v>0.99346405228758172</v>
      </c>
      <c r="L256" s="28">
        <f t="shared" si="22"/>
        <v>6.5359477124183009E-3</v>
      </c>
      <c r="M256" s="28">
        <f t="shared" si="23"/>
        <v>0.4</v>
      </c>
      <c r="N256" s="28" t="str">
        <f t="shared" si="24"/>
        <v/>
      </c>
      <c r="O256" s="7" t="str">
        <f t="shared" si="25"/>
        <v>Valid</v>
      </c>
      <c r="P256" s="13" t="str">
        <f t="shared" si="26"/>
        <v>Incomplete</v>
      </c>
      <c r="Q256" s="7" t="str">
        <f t="shared" si="27"/>
        <v>Incomplete</v>
      </c>
    </row>
    <row r="257" spans="1:17" ht="60">
      <c r="A257" s="7" t="str">
        <f>IF(Raw_Data!A257="","",TRIM(SUBSTITUTE(CLEAN(Raw_Data!A257),CHAR(160)," ")))</f>
        <v>Abuja Municipal Area Council</v>
      </c>
      <c r="B257" s="7" t="str">
        <f>IF(Raw_Data!B257="","",TRIM(SUBSTITUTE(CLEAN(Raw_Data!B257),CHAR(160)," ")))</f>
        <v>City Centre Ward</v>
      </c>
      <c r="C257" s="7" t="str">
        <f>IF(Raw_Data!C257="","",TRIM(SUBSTITUTE(CLEAN(Raw_Data!C257),CHAR(160)," ")))</f>
        <v>Mambilla Barrack Medical Centre</v>
      </c>
      <c r="D257" s="28">
        <f>IFERROR(IF(COUNT(Raw_Data!D257:O257)=0,"",AVERAGE(Raw_Data!D257:O257)/100),"")</f>
        <v>0.92130000000000001</v>
      </c>
      <c r="E257" s="28" t="str">
        <f>IFERROR(IF(COUNT(Raw_Data!P257:AA257)=0,"",AVERAGE(Raw_Data!P257:AA257)/100),"")</f>
        <v/>
      </c>
      <c r="F257" s="30">
        <f>IFERROR(IF(COUNT(Raw_Data!AB257:AM257)=0,"",SUM(Raw_Data!AB257:AM257)),"")</f>
        <v>43</v>
      </c>
      <c r="G257" s="30">
        <f>IFERROR(IF(COUNT(Raw_Data!AN257:AY257)=0,"",SUM(Raw_Data!AN257:AY257)),"")</f>
        <v>42</v>
      </c>
      <c r="H257" s="30">
        <f>IFERROR(IF(COUNT(Raw_Data!AZ257:BK257)=0,"",SUM(Raw_Data!AZ257:BK257)),"")</f>
        <v>54</v>
      </c>
      <c r="I257" s="30">
        <f>IFERROR(IF(COUNT(Raw_Data!BL257:BW257)=0,"",SUM(Raw_Data!BL257:BW257)),"")</f>
        <v>65</v>
      </c>
      <c r="J257" s="30">
        <f>IFERROR(IF(COUNT(Raw_Data!BX257:CI257)=0,"",SUM(Raw_Data!BX257:CI257)),"")</f>
        <v>68</v>
      </c>
      <c r="K257" s="28">
        <f t="shared" si="21"/>
        <v>0.97674418604651159</v>
      </c>
      <c r="L257" s="28">
        <f t="shared" si="22"/>
        <v>2.3255813953488372E-2</v>
      </c>
      <c r="M257" s="28">
        <f t="shared" si="23"/>
        <v>1.2037037037037037</v>
      </c>
      <c r="N257" s="28">
        <f t="shared" si="24"/>
        <v>1.2592592592592593</v>
      </c>
      <c r="O257" s="7" t="str">
        <f t="shared" si="25"/>
        <v>Valid</v>
      </c>
      <c r="P257" s="13" t="str">
        <f t="shared" si="26"/>
        <v>Invalid</v>
      </c>
      <c r="Q257" s="7" t="str">
        <f t="shared" si="27"/>
        <v>Invalid</v>
      </c>
    </row>
    <row r="258" spans="1:17" ht="75">
      <c r="A258" s="7" t="str">
        <f>IF(Raw_Data!A258="","",TRIM(SUBSTITUTE(CLEAN(Raw_Data!A258),CHAR(160)," ")))</f>
        <v>Abaji Local Government Area</v>
      </c>
      <c r="B258" s="7" t="str">
        <f>IF(Raw_Data!B258="","",TRIM(SUBSTITUTE(CLEAN(Raw_Data!B258),CHAR(160)," ")))</f>
        <v>Nuku Sabon Gari Ward</v>
      </c>
      <c r="C258" s="7" t="str">
        <f>IF(Raw_Data!C258="","",TRIM(SUBSTITUTE(CLEAN(Raw_Data!C258),CHAR(160)," ")))</f>
        <v>Manderegi Primary Health Clinic</v>
      </c>
      <c r="D258" s="28">
        <f>IFERROR(IF(COUNT(Raw_Data!D258:O258)=0,"",AVERAGE(Raw_Data!D258:O258)/100),"")</f>
        <v>0.93181818181818188</v>
      </c>
      <c r="E258" s="28">
        <f>IFERROR(IF(COUNT(Raw_Data!P258:AA258)=0,"",AVERAGE(Raw_Data!P258:AA258)/100),"")</f>
        <v>0.90909090909090906</v>
      </c>
      <c r="F258" s="30">
        <f>IFERROR(IF(COUNT(Raw_Data!AB258:AM258)=0,"",SUM(Raw_Data!AB258:AM258)),"")</f>
        <v>99</v>
      </c>
      <c r="G258" s="30">
        <f>IFERROR(IF(COUNT(Raw_Data!AN258:AY258)=0,"",SUM(Raw_Data!AN258:AY258)),"")</f>
        <v>96</v>
      </c>
      <c r="H258" s="30">
        <f>IFERROR(IF(COUNT(Raw_Data!AZ258:BK258)=0,"",SUM(Raw_Data!AZ258:BK258)),"")</f>
        <v>32</v>
      </c>
      <c r="I258" s="30">
        <f>IFERROR(IF(COUNT(Raw_Data!BL258:BW258)=0,"",SUM(Raw_Data!BL258:BW258)),"")</f>
        <v>8</v>
      </c>
      <c r="J258" s="30" t="str">
        <f>IFERROR(IF(COUNT(Raw_Data!BX258:CI258)=0,"",SUM(Raw_Data!BX258:CI258)),"")</f>
        <v/>
      </c>
      <c r="K258" s="28">
        <f t="shared" si="21"/>
        <v>0.96969696969696972</v>
      </c>
      <c r="L258" s="28">
        <f t="shared" si="22"/>
        <v>3.0303030303030304E-2</v>
      </c>
      <c r="M258" s="28">
        <f t="shared" si="23"/>
        <v>0.25</v>
      </c>
      <c r="N258" s="28" t="str">
        <f t="shared" si="24"/>
        <v/>
      </c>
      <c r="O258" s="7" t="str">
        <f t="shared" si="25"/>
        <v>Valid</v>
      </c>
      <c r="P258" s="13" t="str">
        <f t="shared" si="26"/>
        <v>Incomplete</v>
      </c>
      <c r="Q258" s="7" t="str">
        <f t="shared" si="27"/>
        <v>Incomplete</v>
      </c>
    </row>
    <row r="259" spans="1:17" ht="60">
      <c r="A259" s="7" t="str">
        <f>IF(Raw_Data!A259="","",TRIM(SUBSTITUTE(CLEAN(Raw_Data!A259),CHAR(160)," ")))</f>
        <v>Bwari Local Government Area</v>
      </c>
      <c r="B259" s="7" t="str">
        <f>IF(Raw_Data!B259="","",TRIM(SUBSTITUTE(CLEAN(Raw_Data!B259),CHAR(160)," ")))</f>
        <v>Dutse Ward</v>
      </c>
      <c r="C259" s="7" t="str">
        <f>IF(Raw_Data!C259="","",TRIM(SUBSTITUTE(CLEAN(Raw_Data!C259),CHAR(160)," ")))</f>
        <v>Mapa Primary Health Clinic</v>
      </c>
      <c r="D259" s="28">
        <f>IFERROR(IF(COUNT(Raw_Data!D259:O259)=0,"",AVERAGE(Raw_Data!D259:O259)/100),"")</f>
        <v>0.95833333333333326</v>
      </c>
      <c r="E259" s="28">
        <f>IFERROR(IF(COUNT(Raw_Data!P259:AA259)=0,"",AVERAGE(Raw_Data!P259:AA259)/100),"")</f>
        <v>1</v>
      </c>
      <c r="F259" s="30">
        <f>IFERROR(IF(COUNT(Raw_Data!AB259:AM259)=0,"",SUM(Raw_Data!AB259:AM259)),"")</f>
        <v>156</v>
      </c>
      <c r="G259" s="30">
        <f>IFERROR(IF(COUNT(Raw_Data!AN259:AY259)=0,"",SUM(Raw_Data!AN259:AY259)),"")</f>
        <v>282</v>
      </c>
      <c r="H259" s="30">
        <f>IFERROR(IF(COUNT(Raw_Data!AZ259:BK259)=0,"",SUM(Raw_Data!AZ259:BK259)),"")</f>
        <v>49</v>
      </c>
      <c r="I259" s="30">
        <f>IFERROR(IF(COUNT(Raw_Data!BL259:BW259)=0,"",SUM(Raw_Data!BL259:BW259)),"")</f>
        <v>20</v>
      </c>
      <c r="J259" s="30">
        <f>IFERROR(IF(COUNT(Raw_Data!BX259:CI259)=0,"",SUM(Raw_Data!BX259:CI259)),"")</f>
        <v>52</v>
      </c>
      <c r="K259" s="28">
        <f t="shared" ref="K259:K322" si="28">IFERROR(IF(OR(F259="",G259="",F259&lt;=0),"",G259/F259),"")</f>
        <v>1.8076923076923077</v>
      </c>
      <c r="L259" s="28">
        <f t="shared" ref="L259:L322" si="29">IFERROR(IF(OR(F259="",G259="",F259&lt;=0),"",(F259-G259)/F259),"")</f>
        <v>-0.80769230769230771</v>
      </c>
      <c r="M259" s="28">
        <f t="shared" ref="M259:M322" si="30">IFERROR(IF(OR(H259="",I259="",H259&lt;=0),"",I259/H259),"")</f>
        <v>0.40816326530612246</v>
      </c>
      <c r="N259" s="28">
        <f t="shared" ref="N259:N322" si="31">IFERROR(IF(OR(H259="",J259="",H259&lt;=0),"",J259/H259),"")</f>
        <v>1.0612244897959184</v>
      </c>
      <c r="O259" s="7" t="str">
        <f t="shared" ref="O259:O322" si="32">IFERROR(IF(AND(F259="",G259=""),"No Data",IF(OR(F259="",G259="",F259&lt;=0),"Incomplete",IF(OR(G259&gt;F259,K259&lt;0,K259&gt;1,L259&lt;0,L259&gt;1),"Invalid","Valid"))),"Invalid")</f>
        <v>Invalid</v>
      </c>
      <c r="P259" s="13" t="str">
        <f t="shared" ref="P259:P322" si="33">IFERROR(IF(AND(H259="",I259="",J259=""),"No Data",IF(OR(H259="",I259="",J259="",H259&lt;=0),"Incomplete",IF(OR(I259&gt;H259,J259&gt;H259,J259&gt;I259,M259&lt;0,M259&gt;1,N259&lt;0,N259&gt;1),"Invalid","Valid"))),"Invalid")</f>
        <v>Invalid</v>
      </c>
      <c r="Q259" s="7" t="str">
        <f t="shared" ref="Q259:Q322" si="34">IF(OR(O259="No Data",P259="No Data"),"No Data",IF(OR(O259="Incomplete",P259="Incomplete"),"Incomplete",IF(OR(O259="Invalid",P259="Invalid"),"Invalid","Valid")))</f>
        <v>Invalid</v>
      </c>
    </row>
    <row r="260" spans="1:17" ht="105">
      <c r="A260" s="7" t="str">
        <f>IF(Raw_Data!A260="","",TRIM(SUBSTITUTE(CLEAN(Raw_Data!A260),CHAR(160)," ")))</f>
        <v>Abuja Municipal Area Council</v>
      </c>
      <c r="B260" s="7" t="str">
        <f>IF(Raw_Data!B260="","",TRIM(SUBSTITUTE(CLEAN(Raw_Data!B260),CHAR(160)," ")))</f>
        <v>Gwagwa Ward</v>
      </c>
      <c r="C260" s="7" t="str">
        <f>IF(Raw_Data!C260="","",TRIM(SUBSTITUTE(CLEAN(Raw_Data!C260),CHAR(160)," ")))</f>
        <v>Marvellous Clinic &amp; Maternity { Gwagwa }</v>
      </c>
      <c r="D260" s="28">
        <f>IFERROR(IF(COUNT(Raw_Data!D260:O260)=0,"",AVERAGE(Raw_Data!D260:O260)/100),"")</f>
        <v>0.875</v>
      </c>
      <c r="E260" s="28">
        <f>IFERROR(IF(COUNT(Raw_Data!P260:AA260)=0,"",AVERAGE(Raw_Data!P260:AA260)/100),"")</f>
        <v>1</v>
      </c>
      <c r="F260" s="30">
        <f>IFERROR(IF(COUNT(Raw_Data!AB260:AM260)=0,"",SUM(Raw_Data!AB260:AM260)),"")</f>
        <v>28</v>
      </c>
      <c r="G260" s="30">
        <f>IFERROR(IF(COUNT(Raw_Data!AN260:AY260)=0,"",SUM(Raw_Data!AN260:AY260)),"")</f>
        <v>60</v>
      </c>
      <c r="H260" s="30">
        <f>IFERROR(IF(COUNT(Raw_Data!AZ260:BK260)=0,"",SUM(Raw_Data!AZ260:BK260)),"")</f>
        <v>25</v>
      </c>
      <c r="I260" s="30">
        <f>IFERROR(IF(COUNT(Raw_Data!BL260:BW260)=0,"",SUM(Raw_Data!BL260:BW260)),"")</f>
        <v>42</v>
      </c>
      <c r="J260" s="30">
        <f>IFERROR(IF(COUNT(Raw_Data!BX260:CI260)=0,"",SUM(Raw_Data!BX260:CI260)),"")</f>
        <v>23</v>
      </c>
      <c r="K260" s="28">
        <f t="shared" si="28"/>
        <v>2.1428571428571428</v>
      </c>
      <c r="L260" s="28">
        <f t="shared" si="29"/>
        <v>-1.1428571428571428</v>
      </c>
      <c r="M260" s="28">
        <f t="shared" si="30"/>
        <v>1.68</v>
      </c>
      <c r="N260" s="28">
        <f t="shared" si="31"/>
        <v>0.92</v>
      </c>
      <c r="O260" s="7" t="str">
        <f t="shared" si="32"/>
        <v>Invalid</v>
      </c>
      <c r="P260" s="13" t="str">
        <f t="shared" si="33"/>
        <v>Invalid</v>
      </c>
      <c r="Q260" s="7" t="str">
        <f t="shared" si="34"/>
        <v>Invalid</v>
      </c>
    </row>
    <row r="261" spans="1:17" ht="60">
      <c r="A261" s="7" t="str">
        <f>IF(Raw_Data!A261="","",TRIM(SUBSTITUTE(CLEAN(Raw_Data!A261),CHAR(160)," ")))</f>
        <v>Abuja Municipal Area Council</v>
      </c>
      <c r="B261" s="7" t="str">
        <f>IF(Raw_Data!B261="","",TRIM(SUBSTITUTE(CLEAN(Raw_Data!B261),CHAR(160)," ")))</f>
        <v>Kabusa Ward</v>
      </c>
      <c r="C261" s="7" t="str">
        <f>IF(Raw_Data!C261="","",TRIM(SUBSTITUTE(CLEAN(Raw_Data!C261),CHAR(160)," ")))</f>
        <v>Massan Clinic Ltd</v>
      </c>
      <c r="D261" s="28">
        <f>IFERROR(IF(COUNT(Raw_Data!D261:O261)=0,"",AVERAGE(Raw_Data!D261:O261)/100),"")</f>
        <v>1</v>
      </c>
      <c r="E261" s="28" t="str">
        <f>IFERROR(IF(COUNT(Raw_Data!P261:AA261)=0,"",AVERAGE(Raw_Data!P261:AA261)/100),"")</f>
        <v/>
      </c>
      <c r="F261" s="30">
        <f>IFERROR(IF(COUNT(Raw_Data!AB261:AM261)=0,"",SUM(Raw_Data!AB261:AM261)),"")</f>
        <v>221</v>
      </c>
      <c r="G261" s="30">
        <f>IFERROR(IF(COUNT(Raw_Data!AN261:AY261)=0,"",SUM(Raw_Data!AN261:AY261)),"")</f>
        <v>265</v>
      </c>
      <c r="H261" s="30">
        <f>IFERROR(IF(COUNT(Raw_Data!AZ261:BK261)=0,"",SUM(Raw_Data!AZ261:BK261)),"")</f>
        <v>5</v>
      </c>
      <c r="I261" s="30">
        <f>IFERROR(IF(COUNT(Raw_Data!BL261:BW261)=0,"",SUM(Raw_Data!BL261:BW261)),"")</f>
        <v>4</v>
      </c>
      <c r="J261" s="30">
        <f>IFERROR(IF(COUNT(Raw_Data!BX261:CI261)=0,"",SUM(Raw_Data!BX261:CI261)),"")</f>
        <v>1</v>
      </c>
      <c r="K261" s="28">
        <f t="shared" si="28"/>
        <v>1.1990950226244343</v>
      </c>
      <c r="L261" s="28">
        <f t="shared" si="29"/>
        <v>-0.19909502262443438</v>
      </c>
      <c r="M261" s="28">
        <f t="shared" si="30"/>
        <v>0.8</v>
      </c>
      <c r="N261" s="28">
        <f t="shared" si="31"/>
        <v>0.2</v>
      </c>
      <c r="O261" s="7" t="str">
        <f t="shared" si="32"/>
        <v>Invalid</v>
      </c>
      <c r="P261" s="13" t="str">
        <f t="shared" si="33"/>
        <v>Valid</v>
      </c>
      <c r="Q261" s="7" t="str">
        <f t="shared" si="34"/>
        <v>Invalid</v>
      </c>
    </row>
    <row r="262" spans="1:17" ht="60">
      <c r="A262" s="7" t="str">
        <f>IF(Raw_Data!A262="","",TRIM(SUBSTITUTE(CLEAN(Raw_Data!A262),CHAR(160)," ")))</f>
        <v>Abaji Local Government Area</v>
      </c>
      <c r="B262" s="7" t="str">
        <f>IF(Raw_Data!B262="","",TRIM(SUBSTITUTE(CLEAN(Raw_Data!B262),CHAR(160)," ")))</f>
        <v>Alumamagi Ward</v>
      </c>
      <c r="C262" s="7" t="str">
        <f>IF(Raw_Data!C262="","",TRIM(SUBSTITUTE(CLEAN(Raw_Data!C262),CHAR(160)," ")))</f>
        <v>Mawogi Primary Health Clinic</v>
      </c>
      <c r="D262" s="28">
        <f>IFERROR(IF(COUNT(Raw_Data!D262:O262)=0,"",AVERAGE(Raw_Data!D262:O262)/100),"")</f>
        <v>0.97727272727272729</v>
      </c>
      <c r="E262" s="28">
        <f>IFERROR(IF(COUNT(Raw_Data!P262:AA262)=0,"",AVERAGE(Raw_Data!P262:AA262)/100),"")</f>
        <v>0.97727272727272729</v>
      </c>
      <c r="F262" s="30">
        <f>IFERROR(IF(COUNT(Raw_Data!AB262:AM262)=0,"",SUM(Raw_Data!AB262:AM262)),"")</f>
        <v>200</v>
      </c>
      <c r="G262" s="30">
        <f>IFERROR(IF(COUNT(Raw_Data!AN262:AY262)=0,"",SUM(Raw_Data!AN262:AY262)),"")</f>
        <v>200</v>
      </c>
      <c r="H262" s="30">
        <f>IFERROR(IF(COUNT(Raw_Data!AZ262:BK262)=0,"",SUM(Raw_Data!AZ262:BK262)),"")</f>
        <v>104</v>
      </c>
      <c r="I262" s="30">
        <f>IFERROR(IF(COUNT(Raw_Data!BL262:BW262)=0,"",SUM(Raw_Data!BL262:BW262)),"")</f>
        <v>36</v>
      </c>
      <c r="J262" s="30">
        <f>IFERROR(IF(COUNT(Raw_Data!BX262:CI262)=0,"",SUM(Raw_Data!BX262:CI262)),"")</f>
        <v>10</v>
      </c>
      <c r="K262" s="28">
        <f t="shared" si="28"/>
        <v>1</v>
      </c>
      <c r="L262" s="28">
        <f t="shared" si="29"/>
        <v>0</v>
      </c>
      <c r="M262" s="28">
        <f t="shared" si="30"/>
        <v>0.34615384615384615</v>
      </c>
      <c r="N262" s="28">
        <f t="shared" si="31"/>
        <v>9.6153846153846159E-2</v>
      </c>
      <c r="O262" s="7" t="str">
        <f t="shared" si="32"/>
        <v>Valid</v>
      </c>
      <c r="P262" s="13" t="str">
        <f t="shared" si="33"/>
        <v>Valid</v>
      </c>
      <c r="Q262" s="7" t="str">
        <f t="shared" si="34"/>
        <v>Valid</v>
      </c>
    </row>
    <row r="263" spans="1:17" ht="150">
      <c r="A263" s="7" t="str">
        <f>IF(Raw_Data!A263="","",TRIM(SUBSTITUTE(CLEAN(Raw_Data!A263),CHAR(160)," ")))</f>
        <v>Abuja Municipal Area Council</v>
      </c>
      <c r="B263" s="7" t="str">
        <f>IF(Raw_Data!B263="","",TRIM(SUBSTITUTE(CLEAN(Raw_Data!B263),CHAR(160)," ")))</f>
        <v>Gui Ward</v>
      </c>
      <c r="C263" s="7" t="str">
        <f>IF(Raw_Data!C263="","",TRIM(SUBSTITUTE(CLEAN(Raw_Data!C263),CHAR(160)," ")))</f>
        <v>Medical Missionaries of Mary Clinic and Maternity (Aco-airport Road)</v>
      </c>
      <c r="D263" s="28">
        <f>IFERROR(IF(COUNT(Raw_Data!D263:O263)=0,"",AVERAGE(Raw_Data!D263:O263)/100),"")</f>
        <v>1</v>
      </c>
      <c r="E263" s="28">
        <f>IFERROR(IF(COUNT(Raw_Data!P263:AA263)=0,"",AVERAGE(Raw_Data!P263:AA263)/100),"")</f>
        <v>0.91666666666666674</v>
      </c>
      <c r="F263" s="30">
        <f>IFERROR(IF(COUNT(Raw_Data!AB263:AM263)=0,"",SUM(Raw_Data!AB263:AM263)),"")</f>
        <v>326</v>
      </c>
      <c r="G263" s="30">
        <f>IFERROR(IF(COUNT(Raw_Data!AN263:AY263)=0,"",SUM(Raw_Data!AN263:AY263)),"")</f>
        <v>333</v>
      </c>
      <c r="H263" s="30">
        <f>IFERROR(IF(COUNT(Raw_Data!AZ263:BK263)=0,"",SUM(Raw_Data!AZ263:BK263)),"")</f>
        <v>218</v>
      </c>
      <c r="I263" s="30">
        <f>IFERROR(IF(COUNT(Raw_Data!BL263:BW263)=0,"",SUM(Raw_Data!BL263:BW263)),"")</f>
        <v>140</v>
      </c>
      <c r="J263" s="30">
        <f>IFERROR(IF(COUNT(Raw_Data!BX263:CI263)=0,"",SUM(Raw_Data!BX263:CI263)),"")</f>
        <v>61</v>
      </c>
      <c r="K263" s="28">
        <f t="shared" si="28"/>
        <v>1.0214723926380369</v>
      </c>
      <c r="L263" s="28">
        <f t="shared" si="29"/>
        <v>-2.1472392638036811E-2</v>
      </c>
      <c r="M263" s="28">
        <f t="shared" si="30"/>
        <v>0.64220183486238536</v>
      </c>
      <c r="N263" s="28">
        <f t="shared" si="31"/>
        <v>0.27981651376146788</v>
      </c>
      <c r="O263" s="7" t="str">
        <f t="shared" si="32"/>
        <v>Invalid</v>
      </c>
      <c r="P263" s="13" t="str">
        <f t="shared" si="33"/>
        <v>Valid</v>
      </c>
      <c r="Q263" s="7" t="str">
        <f t="shared" si="34"/>
        <v>Invalid</v>
      </c>
    </row>
    <row r="264" spans="1:17" ht="75">
      <c r="A264" s="7" t="str">
        <f>IF(Raw_Data!A264="","",TRIM(SUBSTITUTE(CLEAN(Raw_Data!A264),CHAR(160)," ")))</f>
        <v>Gwagwalada Local Government Area</v>
      </c>
      <c r="B264" s="7" t="str">
        <f>IF(Raw_Data!B264="","",TRIM(SUBSTITUTE(CLEAN(Raw_Data!B264),CHAR(160)," ")))</f>
        <v>Tungan Maje Ward</v>
      </c>
      <c r="C264" s="7" t="str">
        <f>IF(Raw_Data!C264="","",TRIM(SUBSTITUTE(CLEAN(Raw_Data!C264),CHAR(160)," ")))</f>
        <v>Minat Clinic and Maternity</v>
      </c>
      <c r="D264" s="28" t="str">
        <f>IFERROR(IF(COUNT(Raw_Data!D264:O264)=0,"",AVERAGE(Raw_Data!D264:O264)/100),"")</f>
        <v/>
      </c>
      <c r="E264" s="28" t="str">
        <f>IFERROR(IF(COUNT(Raw_Data!P264:AA264)=0,"",AVERAGE(Raw_Data!P264:AA264)/100),"")</f>
        <v/>
      </c>
      <c r="F264" s="30" t="str">
        <f>IFERROR(IF(COUNT(Raw_Data!AB264:AM264)=0,"",SUM(Raw_Data!AB264:AM264)),"")</f>
        <v/>
      </c>
      <c r="G264" s="30" t="str">
        <f>IFERROR(IF(COUNT(Raw_Data!AN264:AY264)=0,"",SUM(Raw_Data!AN264:AY264)),"")</f>
        <v/>
      </c>
      <c r="H264" s="30">
        <f>IFERROR(IF(COUNT(Raw_Data!AZ264:BK264)=0,"",SUM(Raw_Data!AZ264:BK264)),"")</f>
        <v>47</v>
      </c>
      <c r="I264" s="30" t="str">
        <f>IFERROR(IF(COUNT(Raw_Data!BL264:BW264)=0,"",SUM(Raw_Data!BL264:BW264)),"")</f>
        <v/>
      </c>
      <c r="J264" s="30">
        <f>IFERROR(IF(COUNT(Raw_Data!BX264:CI264)=0,"",SUM(Raw_Data!BX264:CI264)),"")</f>
        <v>6</v>
      </c>
      <c r="K264" s="28" t="str">
        <f t="shared" si="28"/>
        <v/>
      </c>
      <c r="L264" s="28" t="str">
        <f t="shared" si="29"/>
        <v/>
      </c>
      <c r="M264" s="28" t="str">
        <f t="shared" si="30"/>
        <v/>
      </c>
      <c r="N264" s="28">
        <f t="shared" si="31"/>
        <v>0.1276595744680851</v>
      </c>
      <c r="O264" s="7" t="str">
        <f t="shared" si="32"/>
        <v>No Data</v>
      </c>
      <c r="P264" s="13" t="str">
        <f t="shared" si="33"/>
        <v>Incomplete</v>
      </c>
      <c r="Q264" s="7" t="str">
        <f t="shared" si="34"/>
        <v>No Data</v>
      </c>
    </row>
    <row r="265" spans="1:17" ht="90">
      <c r="A265" s="7" t="str">
        <f>IF(Raw_Data!A265="","",TRIM(SUBSTITUTE(CLEAN(Raw_Data!A265),CHAR(160)," ")))</f>
        <v>Bwari Local Government Area</v>
      </c>
      <c r="B265" s="7" t="str">
        <f>IF(Raw_Data!B265="","",TRIM(SUBSTITUTE(CLEAN(Raw_Data!B265),CHAR(160)," ")))</f>
        <v>Kubwa Ward</v>
      </c>
      <c r="C265" s="7" t="str">
        <f>IF(Raw_Data!C265="","",TRIM(SUBSTITUTE(CLEAN(Raw_Data!C265),CHAR(160)," ")))</f>
        <v>Miracle Seed Clinic and Maternity</v>
      </c>
      <c r="D265" s="28" t="str">
        <f>IFERROR(IF(COUNT(Raw_Data!D265:O265)=0,"",AVERAGE(Raw_Data!D265:O265)/100),"")</f>
        <v/>
      </c>
      <c r="E265" s="28" t="str">
        <f>IFERROR(IF(COUNT(Raw_Data!P265:AA265)=0,"",AVERAGE(Raw_Data!P265:AA265)/100),"")</f>
        <v/>
      </c>
      <c r="F265" s="30" t="str">
        <f>IFERROR(IF(COUNT(Raw_Data!AB265:AM265)=0,"",SUM(Raw_Data!AB265:AM265)),"")</f>
        <v/>
      </c>
      <c r="G265" s="30" t="str">
        <f>IFERROR(IF(COUNT(Raw_Data!AN265:AY265)=0,"",SUM(Raw_Data!AN265:AY265)),"")</f>
        <v/>
      </c>
      <c r="H265" s="30">
        <f>IFERROR(IF(COUNT(Raw_Data!AZ265:BK265)=0,"",SUM(Raw_Data!AZ265:BK265)),"")</f>
        <v>2</v>
      </c>
      <c r="I265" s="30" t="str">
        <f>IFERROR(IF(COUNT(Raw_Data!BL265:BW265)=0,"",SUM(Raw_Data!BL265:BW265)),"")</f>
        <v/>
      </c>
      <c r="J265" s="30" t="str">
        <f>IFERROR(IF(COUNT(Raw_Data!BX265:CI265)=0,"",SUM(Raw_Data!BX265:CI265)),"")</f>
        <v/>
      </c>
      <c r="K265" s="28" t="str">
        <f t="shared" si="28"/>
        <v/>
      </c>
      <c r="L265" s="28" t="str">
        <f t="shared" si="29"/>
        <v/>
      </c>
      <c r="M265" s="28" t="str">
        <f t="shared" si="30"/>
        <v/>
      </c>
      <c r="N265" s="28" t="str">
        <f t="shared" si="31"/>
        <v/>
      </c>
      <c r="O265" s="7" t="str">
        <f t="shared" si="32"/>
        <v>No Data</v>
      </c>
      <c r="P265" s="13" t="str">
        <f t="shared" si="33"/>
        <v>Incomplete</v>
      </c>
      <c r="Q265" s="7" t="str">
        <f t="shared" si="34"/>
        <v>No Data</v>
      </c>
    </row>
    <row r="266" spans="1:17" ht="75">
      <c r="A266" s="7" t="str">
        <f>IF(Raw_Data!A266="","",TRIM(SUBSTITUTE(CLEAN(Raw_Data!A266),CHAR(160)," ")))</f>
        <v>Abuja Municipal Area Council</v>
      </c>
      <c r="B266" s="7" t="str">
        <f>IF(Raw_Data!B266="","",TRIM(SUBSTITUTE(CLEAN(Raw_Data!B266),CHAR(160)," ")))</f>
        <v>City Centre Ward</v>
      </c>
      <c r="C266" s="7" t="str">
        <f>IF(Raw_Data!C266="","",TRIM(SUBSTITUTE(CLEAN(Raw_Data!C266),CHAR(160)," ")))</f>
        <v>Mogadishu (DHQTrs) Medical Centre</v>
      </c>
      <c r="D266" s="28">
        <f>IFERROR(IF(COUNT(Raw_Data!D266:O266)=0,"",AVERAGE(Raw_Data!D266:O266)/100),"")</f>
        <v>0.9375</v>
      </c>
      <c r="E266" s="28">
        <f>IFERROR(IF(COUNT(Raw_Data!P266:AA266)=0,"",AVERAGE(Raw_Data!P266:AA266)/100),"")</f>
        <v>1</v>
      </c>
      <c r="F266" s="30">
        <f>IFERROR(IF(COUNT(Raw_Data!AB266:AM266)=0,"",SUM(Raw_Data!AB266:AM266)),"")</f>
        <v>132</v>
      </c>
      <c r="G266" s="30">
        <f>IFERROR(IF(COUNT(Raw_Data!AN266:AY266)=0,"",SUM(Raw_Data!AN266:AY266)),"")</f>
        <v>165</v>
      </c>
      <c r="H266" s="30">
        <f>IFERROR(IF(COUNT(Raw_Data!AZ266:BK266)=0,"",SUM(Raw_Data!AZ266:BK266)),"")</f>
        <v>131</v>
      </c>
      <c r="I266" s="30">
        <f>IFERROR(IF(COUNT(Raw_Data!BL266:BW266)=0,"",SUM(Raw_Data!BL266:BW266)),"")</f>
        <v>96</v>
      </c>
      <c r="J266" s="30">
        <f>IFERROR(IF(COUNT(Raw_Data!BX266:CI266)=0,"",SUM(Raw_Data!BX266:CI266)),"")</f>
        <v>127</v>
      </c>
      <c r="K266" s="28">
        <f t="shared" si="28"/>
        <v>1.25</v>
      </c>
      <c r="L266" s="28">
        <f t="shared" si="29"/>
        <v>-0.25</v>
      </c>
      <c r="M266" s="28">
        <f t="shared" si="30"/>
        <v>0.73282442748091603</v>
      </c>
      <c r="N266" s="28">
        <f t="shared" si="31"/>
        <v>0.96946564885496178</v>
      </c>
      <c r="O266" s="7" t="str">
        <f t="shared" si="32"/>
        <v>Invalid</v>
      </c>
      <c r="P266" s="13" t="str">
        <f t="shared" si="33"/>
        <v>Invalid</v>
      </c>
      <c r="Q266" s="7" t="str">
        <f t="shared" si="34"/>
        <v>Invalid</v>
      </c>
    </row>
    <row r="267" spans="1:17" ht="60">
      <c r="A267" s="7" t="str">
        <f>IF(Raw_Data!A267="","",TRIM(SUBSTITUTE(CLEAN(Raw_Data!A267),CHAR(160)," ")))</f>
        <v>Bwari Local Government Area</v>
      </c>
      <c r="B267" s="7" t="str">
        <f>IF(Raw_Data!B267="","",TRIM(SUBSTITUTE(CLEAN(Raw_Data!B267),CHAR(160)," ")))</f>
        <v>Dutse Ward</v>
      </c>
      <c r="C267" s="7" t="str">
        <f>IF(Raw_Data!C267="","",TRIM(SUBSTITUTE(CLEAN(Raw_Data!C267),CHAR(160)," ")))</f>
        <v>Mpape Primary Health Centre</v>
      </c>
      <c r="D267" s="28">
        <f>IFERROR(IF(COUNT(Raw_Data!D267:O267)=0,"",AVERAGE(Raw_Data!D267:O267)/100),"")</f>
        <v>1</v>
      </c>
      <c r="E267" s="28">
        <f>IFERROR(IF(COUNT(Raw_Data!P267:AA267)=0,"",AVERAGE(Raw_Data!P267:AA267)/100),"")</f>
        <v>1</v>
      </c>
      <c r="F267" s="30">
        <f>IFERROR(IF(COUNT(Raw_Data!AB267:AM267)=0,"",SUM(Raw_Data!AB267:AM267)),"")</f>
        <v>2476</v>
      </c>
      <c r="G267" s="30">
        <f>IFERROR(IF(COUNT(Raw_Data!AN267:AY267)=0,"",SUM(Raw_Data!AN267:AY267)),"")</f>
        <v>2606</v>
      </c>
      <c r="H267" s="30">
        <f>IFERROR(IF(COUNT(Raw_Data!AZ267:BK267)=0,"",SUM(Raw_Data!AZ267:BK267)),"")</f>
        <v>1644</v>
      </c>
      <c r="I267" s="30">
        <f>IFERROR(IF(COUNT(Raw_Data!BL267:BW267)=0,"",SUM(Raw_Data!BL267:BW267)),"")</f>
        <v>755</v>
      </c>
      <c r="J267" s="30">
        <f>IFERROR(IF(COUNT(Raw_Data!BX267:CI267)=0,"",SUM(Raw_Data!BX267:CI267)),"")</f>
        <v>116</v>
      </c>
      <c r="K267" s="28">
        <f t="shared" si="28"/>
        <v>1.0525040387722133</v>
      </c>
      <c r="L267" s="28">
        <f t="shared" si="29"/>
        <v>-5.2504038772213248E-2</v>
      </c>
      <c r="M267" s="28">
        <f t="shared" si="30"/>
        <v>0.45924574209245744</v>
      </c>
      <c r="N267" s="28">
        <f t="shared" si="31"/>
        <v>7.0559610705596104E-2</v>
      </c>
      <c r="O267" s="7" t="str">
        <f t="shared" si="32"/>
        <v>Invalid</v>
      </c>
      <c r="P267" s="13" t="str">
        <f t="shared" si="33"/>
        <v>Valid</v>
      </c>
      <c r="Q267" s="7" t="str">
        <f t="shared" si="34"/>
        <v>Invalid</v>
      </c>
    </row>
    <row r="268" spans="1:17" ht="60">
      <c r="A268" s="7" t="str">
        <f>IF(Raw_Data!A268="","",TRIM(SUBSTITUTE(CLEAN(Raw_Data!A268),CHAR(160)," ")))</f>
        <v>Gwagwalada Local Government Area</v>
      </c>
      <c r="B268" s="7" t="str">
        <f>IF(Raw_Data!B268="","",TRIM(SUBSTITUTE(CLEAN(Raw_Data!B268),CHAR(160)," ")))</f>
        <v>Central Ward</v>
      </c>
      <c r="C268" s="7" t="str">
        <f>IF(Raw_Data!C268="","",TRIM(SUBSTITUTE(CLEAN(Raw_Data!C268),CHAR(160)," ")))</f>
        <v>Mumeen Hospital Ltd</v>
      </c>
      <c r="D268" s="28" t="str">
        <f>IFERROR(IF(COUNT(Raw_Data!D268:O268)=0,"",AVERAGE(Raw_Data!D268:O268)/100),"")</f>
        <v/>
      </c>
      <c r="E268" s="28" t="str">
        <f>IFERROR(IF(COUNT(Raw_Data!P268:AA268)=0,"",AVERAGE(Raw_Data!P268:AA268)/100),"")</f>
        <v/>
      </c>
      <c r="F268" s="30">
        <f>IFERROR(IF(COUNT(Raw_Data!AB268:AM268)=0,"",SUM(Raw_Data!AB268:AM268)),"")</f>
        <v>57</v>
      </c>
      <c r="G268" s="30">
        <f>IFERROR(IF(COUNT(Raw_Data!AN268:AY268)=0,"",SUM(Raw_Data!AN268:AY268)),"")</f>
        <v>58</v>
      </c>
      <c r="H268" s="30">
        <f>IFERROR(IF(COUNT(Raw_Data!AZ268:BK268)=0,"",SUM(Raw_Data!AZ268:BK268)),"")</f>
        <v>49</v>
      </c>
      <c r="I268" s="30">
        <f>IFERROR(IF(COUNT(Raw_Data!BL268:BW268)=0,"",SUM(Raw_Data!BL268:BW268)),"")</f>
        <v>22</v>
      </c>
      <c r="J268" s="30">
        <f>IFERROR(IF(COUNT(Raw_Data!BX268:CI268)=0,"",SUM(Raw_Data!BX268:CI268)),"")</f>
        <v>12</v>
      </c>
      <c r="K268" s="28">
        <f t="shared" si="28"/>
        <v>1.0175438596491229</v>
      </c>
      <c r="L268" s="28">
        <f t="shared" si="29"/>
        <v>-1.7543859649122806E-2</v>
      </c>
      <c r="M268" s="28">
        <f t="shared" si="30"/>
        <v>0.44897959183673469</v>
      </c>
      <c r="N268" s="28">
        <f t="shared" si="31"/>
        <v>0.24489795918367346</v>
      </c>
      <c r="O268" s="7" t="str">
        <f t="shared" si="32"/>
        <v>Invalid</v>
      </c>
      <c r="P268" s="13" t="str">
        <f t="shared" si="33"/>
        <v>Valid</v>
      </c>
      <c r="Q268" s="7" t="str">
        <f t="shared" si="34"/>
        <v>Invalid</v>
      </c>
    </row>
    <row r="269" spans="1:17" ht="60">
      <c r="A269" s="7" t="str">
        <f>IF(Raw_Data!A269="","",TRIM(SUBSTITUTE(CLEAN(Raw_Data!A269),CHAR(160)," ")))</f>
        <v>Abuja Municipal Area Council</v>
      </c>
      <c r="B269" s="7" t="str">
        <f>IF(Raw_Data!B269="","",TRIM(SUBSTITUTE(CLEAN(Raw_Data!B269),CHAR(160)," ")))</f>
        <v>Orozo Ward</v>
      </c>
      <c r="C269" s="7" t="str">
        <f>IF(Raw_Data!C269="","",TRIM(SUBSTITUTE(CLEAN(Raw_Data!C269),CHAR(160)," ")))</f>
        <v>Munape Primary Health Centre</v>
      </c>
      <c r="D269" s="28">
        <f>IFERROR(IF(COUNT(Raw_Data!D269:O269)=0,"",AVERAGE(Raw_Data!D269:O269)/100),"")</f>
        <v>1</v>
      </c>
      <c r="E269" s="28" t="str">
        <f>IFERROR(IF(COUNT(Raw_Data!P269:AA269)=0,"",AVERAGE(Raw_Data!P269:AA269)/100),"")</f>
        <v/>
      </c>
      <c r="F269" s="30">
        <f>IFERROR(IF(COUNT(Raw_Data!AB269:AM269)=0,"",SUM(Raw_Data!AB269:AM269)),"")</f>
        <v>29</v>
      </c>
      <c r="G269" s="30">
        <f>IFERROR(IF(COUNT(Raw_Data!AN269:AY269)=0,"",SUM(Raw_Data!AN269:AY269)),"")</f>
        <v>14</v>
      </c>
      <c r="H269" s="30">
        <f>IFERROR(IF(COUNT(Raw_Data!AZ269:BK269)=0,"",SUM(Raw_Data!AZ269:BK269)),"")</f>
        <v>6</v>
      </c>
      <c r="I269" s="30" t="str">
        <f>IFERROR(IF(COUNT(Raw_Data!BL269:BW269)=0,"",SUM(Raw_Data!BL269:BW269)),"")</f>
        <v/>
      </c>
      <c r="J269" s="30" t="str">
        <f>IFERROR(IF(COUNT(Raw_Data!BX269:CI269)=0,"",SUM(Raw_Data!BX269:CI269)),"")</f>
        <v/>
      </c>
      <c r="K269" s="28">
        <f t="shared" si="28"/>
        <v>0.48275862068965519</v>
      </c>
      <c r="L269" s="28">
        <f t="shared" si="29"/>
        <v>0.51724137931034486</v>
      </c>
      <c r="M269" s="28" t="str">
        <f t="shared" si="30"/>
        <v/>
      </c>
      <c r="N269" s="28" t="str">
        <f t="shared" si="31"/>
        <v/>
      </c>
      <c r="O269" s="7" t="str">
        <f t="shared" si="32"/>
        <v>Valid</v>
      </c>
      <c r="P269" s="13" t="str">
        <f t="shared" si="33"/>
        <v>Incomplete</v>
      </c>
      <c r="Q269" s="7" t="str">
        <f t="shared" si="34"/>
        <v>Incomplete</v>
      </c>
    </row>
    <row r="270" spans="1:17" ht="60">
      <c r="A270" s="7" t="str">
        <f>IF(Raw_Data!A270="","",TRIM(SUBSTITUTE(CLEAN(Raw_Data!A270),CHAR(160)," ")))</f>
        <v>Abaji Local Government Area</v>
      </c>
      <c r="B270" s="7" t="str">
        <f>IF(Raw_Data!B270="","",TRIM(SUBSTITUTE(CLEAN(Raw_Data!B270),CHAR(160)," ")))</f>
        <v>South East Ward</v>
      </c>
      <c r="C270" s="7" t="str">
        <f>IF(Raw_Data!C270="","",TRIM(SUBSTITUTE(CLEAN(Raw_Data!C270),CHAR(160)," ")))</f>
        <v>Naharati Primary Heaith Center</v>
      </c>
      <c r="D270" s="28">
        <f>IFERROR(IF(COUNT(Raw_Data!D270:O270)=0,"",AVERAGE(Raw_Data!D270:O270)/100),"")</f>
        <v>1</v>
      </c>
      <c r="E270" s="28">
        <f>IFERROR(IF(COUNT(Raw_Data!P270:AA270)=0,"",AVERAGE(Raw_Data!P270:AA270)/100),"")</f>
        <v>1</v>
      </c>
      <c r="F270" s="30">
        <f>IFERROR(IF(COUNT(Raw_Data!AB270:AM270)=0,"",SUM(Raw_Data!AB270:AM270)),"")</f>
        <v>241</v>
      </c>
      <c r="G270" s="30">
        <f>IFERROR(IF(COUNT(Raw_Data!AN270:AY270)=0,"",SUM(Raw_Data!AN270:AY270)),"")</f>
        <v>280</v>
      </c>
      <c r="H270" s="30">
        <f>IFERROR(IF(COUNT(Raw_Data!AZ270:BK270)=0,"",SUM(Raw_Data!AZ270:BK270)),"")</f>
        <v>184</v>
      </c>
      <c r="I270" s="30">
        <f>IFERROR(IF(COUNT(Raw_Data!BL270:BW270)=0,"",SUM(Raw_Data!BL270:BW270)),"")</f>
        <v>52</v>
      </c>
      <c r="J270" s="30">
        <f>IFERROR(IF(COUNT(Raw_Data!BX270:CI270)=0,"",SUM(Raw_Data!BX270:CI270)),"")</f>
        <v>56</v>
      </c>
      <c r="K270" s="28">
        <f t="shared" si="28"/>
        <v>1.1618257261410789</v>
      </c>
      <c r="L270" s="28">
        <f t="shared" si="29"/>
        <v>-0.16182572614107885</v>
      </c>
      <c r="M270" s="28">
        <f t="shared" si="30"/>
        <v>0.28260869565217389</v>
      </c>
      <c r="N270" s="28">
        <f t="shared" si="31"/>
        <v>0.30434782608695654</v>
      </c>
      <c r="O270" s="7" t="str">
        <f t="shared" si="32"/>
        <v>Invalid</v>
      </c>
      <c r="P270" s="13" t="str">
        <f t="shared" si="33"/>
        <v>Invalid</v>
      </c>
      <c r="Q270" s="7" t="str">
        <f t="shared" si="34"/>
        <v>Invalid</v>
      </c>
    </row>
    <row r="271" spans="1:17" ht="60">
      <c r="A271" s="7" t="str">
        <f>IF(Raw_Data!A271="","",TRIM(SUBSTITUTE(CLEAN(Raw_Data!A271),CHAR(160)," ")))</f>
        <v>Abuja Municipal Area Council</v>
      </c>
      <c r="B271" s="7" t="str">
        <f>IF(Raw_Data!B271="","",TRIM(SUBSTITUTE(CLEAN(Raw_Data!B271),CHAR(160)," ")))</f>
        <v>Gwarimpa Ward</v>
      </c>
      <c r="C271" s="7" t="str">
        <f>IF(Raw_Data!C271="","",TRIM(SUBSTITUTE(CLEAN(Raw_Data!C271),CHAR(160)," ")))</f>
        <v>Nakowa Maternity Home</v>
      </c>
      <c r="D271" s="28">
        <f>IFERROR(IF(COUNT(Raw_Data!D271:O271)=0,"",AVERAGE(Raw_Data!D271:O271)/100),"")</f>
        <v>1</v>
      </c>
      <c r="E271" s="28" t="str">
        <f>IFERROR(IF(COUNT(Raw_Data!P271:AA271)=0,"",AVERAGE(Raw_Data!P271:AA271)/100),"")</f>
        <v/>
      </c>
      <c r="F271" s="30">
        <f>IFERROR(IF(COUNT(Raw_Data!AB271:AM271)=0,"",SUM(Raw_Data!AB271:AM271)),"")</f>
        <v>17</v>
      </c>
      <c r="G271" s="30">
        <f>IFERROR(IF(COUNT(Raw_Data!AN271:AY271)=0,"",SUM(Raw_Data!AN271:AY271)),"")</f>
        <v>23</v>
      </c>
      <c r="H271" s="30">
        <f>IFERROR(IF(COUNT(Raw_Data!AZ271:BK271)=0,"",SUM(Raw_Data!AZ271:BK271)),"")</f>
        <v>22</v>
      </c>
      <c r="I271" s="30">
        <f>IFERROR(IF(COUNT(Raw_Data!BL271:BW271)=0,"",SUM(Raw_Data!BL271:BW271)),"")</f>
        <v>10</v>
      </c>
      <c r="J271" s="30">
        <f>IFERROR(IF(COUNT(Raw_Data!BX271:CI271)=0,"",SUM(Raw_Data!BX271:CI271)),"")</f>
        <v>30</v>
      </c>
      <c r="K271" s="28">
        <f t="shared" si="28"/>
        <v>1.3529411764705883</v>
      </c>
      <c r="L271" s="28">
        <f t="shared" si="29"/>
        <v>-0.35294117647058826</v>
      </c>
      <c r="M271" s="28">
        <f t="shared" si="30"/>
        <v>0.45454545454545453</v>
      </c>
      <c r="N271" s="28">
        <f t="shared" si="31"/>
        <v>1.3636363636363635</v>
      </c>
      <c r="O271" s="7" t="str">
        <f t="shared" si="32"/>
        <v>Invalid</v>
      </c>
      <c r="P271" s="13" t="str">
        <f t="shared" si="33"/>
        <v>Invalid</v>
      </c>
      <c r="Q271" s="7" t="str">
        <f t="shared" si="34"/>
        <v>Invalid</v>
      </c>
    </row>
    <row r="272" spans="1:17" ht="60">
      <c r="A272" s="7" t="str">
        <f>IF(Raw_Data!A272="","",TRIM(SUBSTITUTE(CLEAN(Raw_Data!A272),CHAR(160)," ")))</f>
        <v>Abaji Local Government Area</v>
      </c>
      <c r="B272" s="7" t="str">
        <f>IF(Raw_Data!B272="","",TRIM(SUBSTITUTE(CLEAN(Raw_Data!B272),CHAR(160)," ")))</f>
        <v>Pandagi Agyana Ward</v>
      </c>
      <c r="C272" s="7" t="str">
        <f>IF(Raw_Data!C272="","",TRIM(SUBSTITUTE(CLEAN(Raw_Data!C272),CHAR(160)," ")))</f>
        <v>Nanda Primary Health Clinic</v>
      </c>
      <c r="D272" s="28">
        <f>IFERROR(IF(COUNT(Raw_Data!D272:O272)=0,"",AVERAGE(Raw_Data!D272:O272)/100),"")</f>
        <v>1</v>
      </c>
      <c r="E272" s="28">
        <f>IFERROR(IF(COUNT(Raw_Data!P272:AA272)=0,"",AVERAGE(Raw_Data!P272:AA272)/100),"")</f>
        <v>1</v>
      </c>
      <c r="F272" s="30">
        <f>IFERROR(IF(COUNT(Raw_Data!AB272:AM272)=0,"",SUM(Raw_Data!AB272:AM272)),"")</f>
        <v>224</v>
      </c>
      <c r="G272" s="30">
        <f>IFERROR(IF(COUNT(Raw_Data!AN272:AY272)=0,"",SUM(Raw_Data!AN272:AY272)),"")</f>
        <v>249</v>
      </c>
      <c r="H272" s="30">
        <f>IFERROR(IF(COUNT(Raw_Data!AZ272:BK272)=0,"",SUM(Raw_Data!AZ272:BK272)),"")</f>
        <v>63</v>
      </c>
      <c r="I272" s="30">
        <f>IFERROR(IF(COUNT(Raw_Data!BL272:BW272)=0,"",SUM(Raw_Data!BL272:BW272)),"")</f>
        <v>28</v>
      </c>
      <c r="J272" s="30" t="str">
        <f>IFERROR(IF(COUNT(Raw_Data!BX272:CI272)=0,"",SUM(Raw_Data!BX272:CI272)),"")</f>
        <v/>
      </c>
      <c r="K272" s="28">
        <f t="shared" si="28"/>
        <v>1.1116071428571428</v>
      </c>
      <c r="L272" s="28">
        <f t="shared" si="29"/>
        <v>-0.11160714285714286</v>
      </c>
      <c r="M272" s="28">
        <f t="shared" si="30"/>
        <v>0.44444444444444442</v>
      </c>
      <c r="N272" s="28" t="str">
        <f t="shared" si="31"/>
        <v/>
      </c>
      <c r="O272" s="7" t="str">
        <f t="shared" si="32"/>
        <v>Invalid</v>
      </c>
      <c r="P272" s="13" t="str">
        <f t="shared" si="33"/>
        <v>Incomplete</v>
      </c>
      <c r="Q272" s="7" t="str">
        <f t="shared" si="34"/>
        <v>Incomplete</v>
      </c>
    </row>
    <row r="273" spans="1:17" ht="60">
      <c r="A273" s="7" t="str">
        <f>IF(Raw_Data!A273="","",TRIM(SUBSTITUTE(CLEAN(Raw_Data!A273),CHAR(160)," ")))</f>
        <v>Abuja Municipal Area Council</v>
      </c>
      <c r="B273" s="7" t="str">
        <f>IF(Raw_Data!B273="","",TRIM(SUBSTITUTE(CLEAN(Raw_Data!B273),CHAR(160)," ")))</f>
        <v>City Centre Ward</v>
      </c>
      <c r="C273" s="7" t="str">
        <f>IF(Raw_Data!C273="","",TRIM(SUBSTITUTE(CLEAN(Raw_Data!C273),CHAR(160)," ")))</f>
        <v>National Assembly Staff Clinic</v>
      </c>
      <c r="D273" s="28" t="str">
        <f>IFERROR(IF(COUNT(Raw_Data!D273:O273)=0,"",AVERAGE(Raw_Data!D273:O273)/100),"")</f>
        <v/>
      </c>
      <c r="E273" s="28" t="str">
        <f>IFERROR(IF(COUNT(Raw_Data!P273:AA273)=0,"",AVERAGE(Raw_Data!P273:AA273)/100),"")</f>
        <v/>
      </c>
      <c r="F273" s="30">
        <f>IFERROR(IF(COUNT(Raw_Data!AB273:AM273)=0,"",SUM(Raw_Data!AB273:AM273)),"")</f>
        <v>36</v>
      </c>
      <c r="G273" s="30">
        <f>IFERROR(IF(COUNT(Raw_Data!AN273:AY273)=0,"",SUM(Raw_Data!AN273:AY273)),"")</f>
        <v>47</v>
      </c>
      <c r="H273" s="30" t="str">
        <f>IFERROR(IF(COUNT(Raw_Data!AZ273:BK273)=0,"",SUM(Raw_Data!AZ273:BK273)),"")</f>
        <v/>
      </c>
      <c r="I273" s="30" t="str">
        <f>IFERROR(IF(COUNT(Raw_Data!BL273:BW273)=0,"",SUM(Raw_Data!BL273:BW273)),"")</f>
        <v/>
      </c>
      <c r="J273" s="30" t="str">
        <f>IFERROR(IF(COUNT(Raw_Data!BX273:CI273)=0,"",SUM(Raw_Data!BX273:CI273)),"")</f>
        <v/>
      </c>
      <c r="K273" s="28">
        <f t="shared" si="28"/>
        <v>1.3055555555555556</v>
      </c>
      <c r="L273" s="28">
        <f t="shared" si="29"/>
        <v>-0.30555555555555558</v>
      </c>
      <c r="M273" s="28" t="str">
        <f t="shared" si="30"/>
        <v/>
      </c>
      <c r="N273" s="28" t="str">
        <f t="shared" si="31"/>
        <v/>
      </c>
      <c r="O273" s="7" t="str">
        <f t="shared" si="32"/>
        <v>Invalid</v>
      </c>
      <c r="P273" s="13" t="str">
        <f t="shared" si="33"/>
        <v>No Data</v>
      </c>
      <c r="Q273" s="7" t="str">
        <f t="shared" si="34"/>
        <v>No Data</v>
      </c>
    </row>
    <row r="274" spans="1:17" ht="75">
      <c r="A274" s="7" t="str">
        <f>IF(Raw_Data!A274="","",TRIM(SUBSTITUTE(CLEAN(Raw_Data!A274),CHAR(160)," ")))</f>
        <v>Bwari Local Government Area</v>
      </c>
      <c r="B274" s="7" t="str">
        <f>IF(Raw_Data!B274="","",TRIM(SUBSTITUTE(CLEAN(Raw_Data!B274),CHAR(160)," ")))</f>
        <v>Ushafa Ward</v>
      </c>
      <c r="C274" s="7" t="str">
        <f>IF(Raw_Data!C274="","",TRIM(SUBSTITUTE(CLEAN(Raw_Data!C274),CHAR(160)," ")))</f>
        <v>National Defence College Clinic (Ushafa)</v>
      </c>
      <c r="D274" s="28">
        <f>IFERROR(IF(COUNT(Raw_Data!D274:O274)=0,"",AVERAGE(Raw_Data!D274:O274)/100),"")</f>
        <v>0.95454545454545459</v>
      </c>
      <c r="E274" s="28">
        <f>IFERROR(IF(COUNT(Raw_Data!P274:AA274)=0,"",AVERAGE(Raw_Data!P274:AA274)/100),"")</f>
        <v>0.75</v>
      </c>
      <c r="F274" s="30">
        <f>IFERROR(IF(COUNT(Raw_Data!AB274:AM274)=0,"",SUM(Raw_Data!AB274:AM274)),"")</f>
        <v>80</v>
      </c>
      <c r="G274" s="30">
        <f>IFERROR(IF(COUNT(Raw_Data!AN274:AY274)=0,"",SUM(Raw_Data!AN274:AY274)),"")</f>
        <v>104</v>
      </c>
      <c r="H274" s="30" t="str">
        <f>IFERROR(IF(COUNT(Raw_Data!AZ274:BK274)=0,"",SUM(Raw_Data!AZ274:BK274)),"")</f>
        <v/>
      </c>
      <c r="I274" s="30">
        <f>IFERROR(IF(COUNT(Raw_Data!BL274:BW274)=0,"",SUM(Raw_Data!BL274:BW274)),"")</f>
        <v>29</v>
      </c>
      <c r="J274" s="30">
        <f>IFERROR(IF(COUNT(Raw_Data!BX274:CI274)=0,"",SUM(Raw_Data!BX274:CI274)),"")</f>
        <v>19</v>
      </c>
      <c r="K274" s="28">
        <f t="shared" si="28"/>
        <v>1.3</v>
      </c>
      <c r="L274" s="28">
        <f t="shared" si="29"/>
        <v>-0.3</v>
      </c>
      <c r="M274" s="28" t="str">
        <f t="shared" si="30"/>
        <v/>
      </c>
      <c r="N274" s="28" t="str">
        <f t="shared" si="31"/>
        <v/>
      </c>
      <c r="O274" s="7" t="str">
        <f t="shared" si="32"/>
        <v>Invalid</v>
      </c>
      <c r="P274" s="13" t="str">
        <f t="shared" si="33"/>
        <v>Incomplete</v>
      </c>
      <c r="Q274" s="7" t="str">
        <f t="shared" si="34"/>
        <v>Incomplete</v>
      </c>
    </row>
    <row r="275" spans="1:17" ht="60">
      <c r="A275" s="7" t="str">
        <f>IF(Raw_Data!A275="","",TRIM(SUBSTITUTE(CLEAN(Raw_Data!A275),CHAR(160)," ")))</f>
        <v>Abuja Municipal Area Council</v>
      </c>
      <c r="B275" s="7" t="str">
        <f>IF(Raw_Data!B275="","",TRIM(SUBSTITUTE(CLEAN(Raw_Data!B275),CHAR(160)," ")))</f>
        <v>City Centre Ward</v>
      </c>
      <c r="C275" s="7" t="str">
        <f>IF(Raw_Data!C275="","",TRIM(SUBSTITUTE(CLEAN(Raw_Data!C275),CHAR(160)," ")))</f>
        <v>National Hospital (Abuja)</v>
      </c>
      <c r="D275" s="28" t="str">
        <f>IFERROR(IF(COUNT(Raw_Data!D275:O275)=0,"",AVERAGE(Raw_Data!D275:O275)/100),"")</f>
        <v/>
      </c>
      <c r="E275" s="28" t="str">
        <f>IFERROR(IF(COUNT(Raw_Data!P275:AA275)=0,"",AVERAGE(Raw_Data!P275:AA275)/100),"")</f>
        <v/>
      </c>
      <c r="F275" s="30">
        <f>IFERROR(IF(COUNT(Raw_Data!AB275:AM275)=0,"",SUM(Raw_Data!AB275:AM275)),"")</f>
        <v>166</v>
      </c>
      <c r="G275" s="30">
        <f>IFERROR(IF(COUNT(Raw_Data!AN275:AY275)=0,"",SUM(Raw_Data!AN275:AY275)),"")</f>
        <v>169</v>
      </c>
      <c r="H275" s="30">
        <f>IFERROR(IF(COUNT(Raw_Data!AZ275:BK275)=0,"",SUM(Raw_Data!AZ275:BK275)),"")</f>
        <v>147</v>
      </c>
      <c r="I275" s="30">
        <f>IFERROR(IF(COUNT(Raw_Data!BL275:BW275)=0,"",SUM(Raw_Data!BL275:BW275)),"")</f>
        <v>684</v>
      </c>
      <c r="J275" s="30">
        <f>IFERROR(IF(COUNT(Raw_Data!BX275:CI275)=0,"",SUM(Raw_Data!BX275:CI275)),"")</f>
        <v>503</v>
      </c>
      <c r="K275" s="28">
        <f t="shared" si="28"/>
        <v>1.0180722891566265</v>
      </c>
      <c r="L275" s="28">
        <f t="shared" si="29"/>
        <v>-1.8072289156626505E-2</v>
      </c>
      <c r="M275" s="28">
        <f t="shared" si="30"/>
        <v>4.6530612244897958</v>
      </c>
      <c r="N275" s="28">
        <f t="shared" si="31"/>
        <v>3.4217687074829932</v>
      </c>
      <c r="O275" s="7" t="str">
        <f t="shared" si="32"/>
        <v>Invalid</v>
      </c>
      <c r="P275" s="13" t="str">
        <f t="shared" si="33"/>
        <v>Invalid</v>
      </c>
      <c r="Q275" s="7" t="str">
        <f t="shared" si="34"/>
        <v>Invalid</v>
      </c>
    </row>
    <row r="276" spans="1:17" ht="60">
      <c r="A276" s="7" t="str">
        <f>IF(Raw_Data!A276="","",TRIM(SUBSTITUTE(CLEAN(Raw_Data!A276),CHAR(160)," ")))</f>
        <v>Kuje Local Government Area</v>
      </c>
      <c r="B276" s="7" t="str">
        <f>IF(Raw_Data!B276="","",TRIM(SUBSTITUTE(CLEAN(Raw_Data!B276),CHAR(160)," ")))</f>
        <v>Gaube Ward</v>
      </c>
      <c r="C276" s="7" t="str">
        <f>IF(Raw_Data!C276="","",TRIM(SUBSTITUTE(CLEAN(Raw_Data!C276),CHAR(160)," ")))</f>
        <v>Naval Barracks Hospital</v>
      </c>
      <c r="D276" s="28">
        <f>IFERROR(IF(COUNT(Raw_Data!D276:O276)=0,"",AVERAGE(Raw_Data!D276:O276)/100),"")</f>
        <v>1</v>
      </c>
      <c r="E276" s="28" t="str">
        <f>IFERROR(IF(COUNT(Raw_Data!P276:AA276)=0,"",AVERAGE(Raw_Data!P276:AA276)/100),"")</f>
        <v/>
      </c>
      <c r="F276" s="30">
        <f>IFERROR(IF(COUNT(Raw_Data!AB276:AM276)=0,"",SUM(Raw_Data!AB276:AM276)),"")</f>
        <v>61</v>
      </c>
      <c r="G276" s="30">
        <f>IFERROR(IF(COUNT(Raw_Data!AN276:AY276)=0,"",SUM(Raw_Data!AN276:AY276)),"")</f>
        <v>76</v>
      </c>
      <c r="H276" s="30">
        <f>IFERROR(IF(COUNT(Raw_Data!AZ276:BK276)=0,"",SUM(Raw_Data!AZ276:BK276)),"")</f>
        <v>87</v>
      </c>
      <c r="I276" s="30">
        <f>IFERROR(IF(COUNT(Raw_Data!BL276:BW276)=0,"",SUM(Raw_Data!BL276:BW276)),"")</f>
        <v>52</v>
      </c>
      <c r="J276" s="30">
        <f>IFERROR(IF(COUNT(Raw_Data!BX276:CI276)=0,"",SUM(Raw_Data!BX276:CI276)),"")</f>
        <v>68</v>
      </c>
      <c r="K276" s="28">
        <f t="shared" si="28"/>
        <v>1.2459016393442623</v>
      </c>
      <c r="L276" s="28">
        <f t="shared" si="29"/>
        <v>-0.24590163934426229</v>
      </c>
      <c r="M276" s="28">
        <f t="shared" si="30"/>
        <v>0.5977011494252874</v>
      </c>
      <c r="N276" s="28">
        <f t="shared" si="31"/>
        <v>0.7816091954022989</v>
      </c>
      <c r="O276" s="7" t="str">
        <f t="shared" si="32"/>
        <v>Invalid</v>
      </c>
      <c r="P276" s="13" t="str">
        <f t="shared" si="33"/>
        <v>Invalid</v>
      </c>
      <c r="Q276" s="7" t="str">
        <f t="shared" si="34"/>
        <v>Invalid</v>
      </c>
    </row>
    <row r="277" spans="1:17" ht="60">
      <c r="A277" s="7" t="str">
        <f>IF(Raw_Data!A277="","",TRIM(SUBSTITUTE(CLEAN(Raw_Data!A277),CHAR(160)," ")))</f>
        <v>Bwari Local Government Area</v>
      </c>
      <c r="B277" s="7" t="str">
        <f>IF(Raw_Data!B277="","",TRIM(SUBSTITUTE(CLEAN(Raw_Data!B277),CHAR(160)," ")))</f>
        <v>Ushafa Ward</v>
      </c>
      <c r="C277" s="7" t="str">
        <f>IF(Raw_Data!C277="","",TRIM(SUBSTITUTE(CLEAN(Raw_Data!C277),CHAR(160)," ")))</f>
        <v>Nigeria Airforce Clinic</v>
      </c>
      <c r="D277" s="28">
        <f>IFERROR(IF(COUNT(Raw_Data!D277:O277)=0,"",AVERAGE(Raw_Data!D277:O277)/100),"")</f>
        <v>0.95499999999999996</v>
      </c>
      <c r="E277" s="28" t="str">
        <f>IFERROR(IF(COUNT(Raw_Data!P277:AA277)=0,"",AVERAGE(Raw_Data!P277:AA277)/100),"")</f>
        <v/>
      </c>
      <c r="F277" s="30">
        <f>IFERROR(IF(COUNT(Raw_Data!AB277:AM277)=0,"",SUM(Raw_Data!AB277:AM277)),"")</f>
        <v>59</v>
      </c>
      <c r="G277" s="30">
        <f>IFERROR(IF(COUNT(Raw_Data!AN277:AY277)=0,"",SUM(Raw_Data!AN277:AY277)),"")</f>
        <v>60</v>
      </c>
      <c r="H277" s="30">
        <f>IFERROR(IF(COUNT(Raw_Data!AZ277:BK277)=0,"",SUM(Raw_Data!AZ277:BK277)),"")</f>
        <v>39</v>
      </c>
      <c r="I277" s="30">
        <f>IFERROR(IF(COUNT(Raw_Data!BL277:BW277)=0,"",SUM(Raw_Data!BL277:BW277)),"")</f>
        <v>23</v>
      </c>
      <c r="J277" s="30">
        <f>IFERROR(IF(COUNT(Raw_Data!BX277:CI277)=0,"",SUM(Raw_Data!BX277:CI277)),"")</f>
        <v>19</v>
      </c>
      <c r="K277" s="28">
        <f t="shared" si="28"/>
        <v>1.0169491525423728</v>
      </c>
      <c r="L277" s="28">
        <f t="shared" si="29"/>
        <v>-1.6949152542372881E-2</v>
      </c>
      <c r="M277" s="28">
        <f t="shared" si="30"/>
        <v>0.58974358974358976</v>
      </c>
      <c r="N277" s="28">
        <f t="shared" si="31"/>
        <v>0.48717948717948717</v>
      </c>
      <c r="O277" s="7" t="str">
        <f t="shared" si="32"/>
        <v>Invalid</v>
      </c>
      <c r="P277" s="13" t="str">
        <f t="shared" si="33"/>
        <v>Valid</v>
      </c>
      <c r="Q277" s="7" t="str">
        <f t="shared" si="34"/>
        <v>Invalid</v>
      </c>
    </row>
    <row r="278" spans="1:17" ht="60">
      <c r="A278" s="7" t="str">
        <f>IF(Raw_Data!A278="","",TRIM(SUBSTITUTE(CLEAN(Raw_Data!A278),CHAR(160)," ")))</f>
        <v>Abuja Municipal Area Council</v>
      </c>
      <c r="B278" s="7" t="str">
        <f>IF(Raw_Data!B278="","",TRIM(SUBSTITUTE(CLEAN(Raw_Data!B278),CHAR(160)," ")))</f>
        <v>Karu Ward</v>
      </c>
      <c r="C278" s="7" t="str">
        <f>IF(Raw_Data!C278="","",TRIM(SUBSTITUTE(CLEAN(Raw_Data!C278),CHAR(160)," ")))</f>
        <v>Nigeria Custom Medical Centre</v>
      </c>
      <c r="D278" s="28">
        <f>IFERROR(IF(COUNT(Raw_Data!D278:O278)=0,"",AVERAGE(Raw_Data!D278:O278)/100),"")</f>
        <v>0.95</v>
      </c>
      <c r="E278" s="28" t="str">
        <f>IFERROR(IF(COUNT(Raw_Data!P278:AA278)=0,"",AVERAGE(Raw_Data!P278:AA278)/100),"")</f>
        <v/>
      </c>
      <c r="F278" s="30">
        <f>IFERROR(IF(COUNT(Raw_Data!AB278:AM278)=0,"",SUM(Raw_Data!AB278:AM278)),"")</f>
        <v>555</v>
      </c>
      <c r="G278" s="30">
        <f>IFERROR(IF(COUNT(Raw_Data!AN278:AY278)=0,"",SUM(Raw_Data!AN278:AY278)),"")</f>
        <v>484</v>
      </c>
      <c r="H278" s="30">
        <f>IFERROR(IF(COUNT(Raw_Data!AZ278:BK278)=0,"",SUM(Raw_Data!AZ278:BK278)),"")</f>
        <v>1860</v>
      </c>
      <c r="I278" s="30">
        <f>IFERROR(IF(COUNT(Raw_Data!BL278:BW278)=0,"",SUM(Raw_Data!BL278:BW278)),"")</f>
        <v>349</v>
      </c>
      <c r="J278" s="30">
        <f>IFERROR(IF(COUNT(Raw_Data!BX278:CI278)=0,"",SUM(Raw_Data!BX278:CI278)),"")</f>
        <v>64</v>
      </c>
      <c r="K278" s="28">
        <f t="shared" si="28"/>
        <v>0.87207207207207205</v>
      </c>
      <c r="L278" s="28">
        <f t="shared" si="29"/>
        <v>0.12792792792792793</v>
      </c>
      <c r="M278" s="28">
        <f t="shared" si="30"/>
        <v>0.18763440860215053</v>
      </c>
      <c r="N278" s="28">
        <f t="shared" si="31"/>
        <v>3.4408602150537634E-2</v>
      </c>
      <c r="O278" s="7" t="str">
        <f t="shared" si="32"/>
        <v>Valid</v>
      </c>
      <c r="P278" s="13" t="str">
        <f t="shared" si="33"/>
        <v>Valid</v>
      </c>
      <c r="Q278" s="7" t="str">
        <f t="shared" si="34"/>
        <v>Valid</v>
      </c>
    </row>
    <row r="279" spans="1:17" ht="60">
      <c r="A279" s="7" t="str">
        <f>IF(Raw_Data!A279="","",TRIM(SUBSTITUTE(CLEAN(Raw_Data!A279),CHAR(160)," ")))</f>
        <v>Abuja Municipal Area Council</v>
      </c>
      <c r="B279" s="7" t="str">
        <f>IF(Raw_Data!B279="","",TRIM(SUBSTITUTE(CLEAN(Raw_Data!B279),CHAR(160)," ")))</f>
        <v>Gwarimpa Ward</v>
      </c>
      <c r="C279" s="7" t="str">
        <f>IF(Raw_Data!C279="","",TRIM(SUBSTITUTE(CLEAN(Raw_Data!C279),CHAR(160)," ")))</f>
        <v>Nisa Premier Hospital</v>
      </c>
      <c r="D279" s="28">
        <f>IFERROR(IF(COUNT(Raw_Data!D279:O279)=0,"",AVERAGE(Raw_Data!D279:O279)/100),"")</f>
        <v>1</v>
      </c>
      <c r="E279" s="28">
        <f>IFERROR(IF(COUNT(Raw_Data!P279:AA279)=0,"",AVERAGE(Raw_Data!P279:AA279)/100),"")</f>
        <v>0.82857142857142863</v>
      </c>
      <c r="F279" s="30">
        <f>IFERROR(IF(COUNT(Raw_Data!AB279:AM279)=0,"",SUM(Raw_Data!AB279:AM279)),"")</f>
        <v>783</v>
      </c>
      <c r="G279" s="30">
        <f>IFERROR(IF(COUNT(Raw_Data!AN279:AY279)=0,"",SUM(Raw_Data!AN279:AY279)),"")</f>
        <v>713</v>
      </c>
      <c r="H279" s="30">
        <f>IFERROR(IF(COUNT(Raw_Data!AZ279:BK279)=0,"",SUM(Raw_Data!AZ279:BK279)),"")</f>
        <v>4823</v>
      </c>
      <c r="I279" s="30">
        <f>IFERROR(IF(COUNT(Raw_Data!BL279:BW279)=0,"",SUM(Raw_Data!BL279:BW279)),"")</f>
        <v>1997</v>
      </c>
      <c r="J279" s="30">
        <f>IFERROR(IF(COUNT(Raw_Data!BX279:CI279)=0,"",SUM(Raw_Data!BX279:CI279)),"")</f>
        <v>1986</v>
      </c>
      <c r="K279" s="28">
        <f t="shared" si="28"/>
        <v>0.91060025542784162</v>
      </c>
      <c r="L279" s="28">
        <f t="shared" si="29"/>
        <v>8.9399744572158366E-2</v>
      </c>
      <c r="M279" s="28">
        <f t="shared" si="30"/>
        <v>0.4140576404727348</v>
      </c>
      <c r="N279" s="28">
        <f t="shared" si="31"/>
        <v>0.41177690234294007</v>
      </c>
      <c r="O279" s="7" t="str">
        <f t="shared" si="32"/>
        <v>Valid</v>
      </c>
      <c r="P279" s="13" t="str">
        <f t="shared" si="33"/>
        <v>Valid</v>
      </c>
      <c r="Q279" s="7" t="str">
        <f t="shared" si="34"/>
        <v>Valid</v>
      </c>
    </row>
    <row r="280" spans="1:17" ht="60">
      <c r="A280" s="7" t="str">
        <f>IF(Raw_Data!A280="","",TRIM(SUBSTITUTE(CLEAN(Raw_Data!A280),CHAR(160)," ")))</f>
        <v>Abuja Municipal Area Council</v>
      </c>
      <c r="B280" s="7" t="str">
        <f>IF(Raw_Data!B280="","",TRIM(SUBSTITUTE(CLEAN(Raw_Data!B280),CHAR(160)," ")))</f>
        <v>Jiwa Ward</v>
      </c>
      <c r="C280" s="7" t="str">
        <f>IF(Raw_Data!C280="","",TRIM(SUBSTITUTE(CLEAN(Raw_Data!C280),CHAR(160)," ")))</f>
        <v>Nizamiya Hospital</v>
      </c>
      <c r="D280" s="28">
        <f>IFERROR(IF(COUNT(Raw_Data!D280:O280)=0,"",AVERAGE(Raw_Data!D280:O280)/100),"")</f>
        <v>1</v>
      </c>
      <c r="E280" s="28" t="str">
        <f>IFERROR(IF(COUNT(Raw_Data!P280:AA280)=0,"",AVERAGE(Raw_Data!P280:AA280)/100),"")</f>
        <v/>
      </c>
      <c r="F280" s="30">
        <f>IFERROR(IF(COUNT(Raw_Data!AB280:AM280)=0,"",SUM(Raw_Data!AB280:AM280)),"")</f>
        <v>13</v>
      </c>
      <c r="G280" s="30">
        <f>IFERROR(IF(COUNT(Raw_Data!AN280:AY280)=0,"",SUM(Raw_Data!AN280:AY280)),"")</f>
        <v>7</v>
      </c>
      <c r="H280" s="30">
        <f>IFERROR(IF(COUNT(Raw_Data!AZ280:BK280)=0,"",SUM(Raw_Data!AZ280:BK280)),"")</f>
        <v>26</v>
      </c>
      <c r="I280" s="30">
        <f>IFERROR(IF(COUNT(Raw_Data!BL280:BW280)=0,"",SUM(Raw_Data!BL280:BW280)),"")</f>
        <v>14</v>
      </c>
      <c r="J280" s="30">
        <f>IFERROR(IF(COUNT(Raw_Data!BX280:CI280)=0,"",SUM(Raw_Data!BX280:CI280)),"")</f>
        <v>12</v>
      </c>
      <c r="K280" s="28">
        <f t="shared" si="28"/>
        <v>0.53846153846153844</v>
      </c>
      <c r="L280" s="28">
        <f t="shared" si="29"/>
        <v>0.46153846153846156</v>
      </c>
      <c r="M280" s="28">
        <f t="shared" si="30"/>
        <v>0.53846153846153844</v>
      </c>
      <c r="N280" s="28">
        <f t="shared" si="31"/>
        <v>0.46153846153846156</v>
      </c>
      <c r="O280" s="7" t="str">
        <f t="shared" si="32"/>
        <v>Valid</v>
      </c>
      <c r="P280" s="13" t="str">
        <f t="shared" si="33"/>
        <v>Valid</v>
      </c>
      <c r="Q280" s="7" t="str">
        <f t="shared" si="34"/>
        <v>Valid</v>
      </c>
    </row>
    <row r="281" spans="1:17" ht="60">
      <c r="A281" s="7" t="str">
        <f>IF(Raw_Data!A281="","",TRIM(SUBSTITUTE(CLEAN(Raw_Data!A281),CHAR(160)," ")))</f>
        <v>Abuja Municipal Area Council</v>
      </c>
      <c r="B281" s="7" t="str">
        <f>IF(Raw_Data!B281="","",TRIM(SUBSTITUTE(CLEAN(Raw_Data!B281),CHAR(160)," ")))</f>
        <v>Wuse Ward</v>
      </c>
      <c r="C281" s="7" t="str">
        <f>IF(Raw_Data!C281="","",TRIM(SUBSTITUTE(CLEAN(Raw_Data!C281),CHAR(160)," ")))</f>
        <v>NNPC Medical Services</v>
      </c>
      <c r="D281" s="28">
        <f>IFERROR(IF(COUNT(Raw_Data!D281:O281)=0,"",AVERAGE(Raw_Data!D281:O281)/100),"")</f>
        <v>2.342857142857143</v>
      </c>
      <c r="E281" s="28" t="str">
        <f>IFERROR(IF(COUNT(Raw_Data!P281:AA281)=0,"",AVERAGE(Raw_Data!P281:AA281)/100),"")</f>
        <v/>
      </c>
      <c r="F281" s="30">
        <f>IFERROR(IF(COUNT(Raw_Data!AB281:AM281)=0,"",SUM(Raw_Data!AB281:AM281)),"")</f>
        <v>147</v>
      </c>
      <c r="G281" s="30">
        <f>IFERROR(IF(COUNT(Raw_Data!AN281:AY281)=0,"",SUM(Raw_Data!AN281:AY281)),"")</f>
        <v>180</v>
      </c>
      <c r="H281" s="30">
        <f>IFERROR(IF(COUNT(Raw_Data!AZ281:BK281)=0,"",SUM(Raw_Data!AZ281:BK281)),"")</f>
        <v>145</v>
      </c>
      <c r="I281" s="30">
        <f>IFERROR(IF(COUNT(Raw_Data!BL281:BW281)=0,"",SUM(Raw_Data!BL281:BW281)),"")</f>
        <v>209</v>
      </c>
      <c r="J281" s="30">
        <f>IFERROR(IF(COUNT(Raw_Data!BX281:CI281)=0,"",SUM(Raw_Data!BX281:CI281)),"")</f>
        <v>34</v>
      </c>
      <c r="K281" s="28">
        <f t="shared" si="28"/>
        <v>1.2244897959183674</v>
      </c>
      <c r="L281" s="28">
        <f t="shared" si="29"/>
        <v>-0.22448979591836735</v>
      </c>
      <c r="M281" s="28">
        <f t="shared" si="30"/>
        <v>1.4413793103448276</v>
      </c>
      <c r="N281" s="28">
        <f t="shared" si="31"/>
        <v>0.23448275862068965</v>
      </c>
      <c r="O281" s="7" t="str">
        <f t="shared" si="32"/>
        <v>Invalid</v>
      </c>
      <c r="P281" s="13" t="str">
        <f t="shared" si="33"/>
        <v>Invalid</v>
      </c>
      <c r="Q281" s="7" t="str">
        <f t="shared" si="34"/>
        <v>Invalid</v>
      </c>
    </row>
    <row r="282" spans="1:17" ht="60">
      <c r="A282" s="7" t="str">
        <f>IF(Raw_Data!A282="","",TRIM(SUBSTITUTE(CLEAN(Raw_Data!A282),CHAR(160)," ")))</f>
        <v>Abuja Municipal Area Council</v>
      </c>
      <c r="B282" s="7" t="str">
        <f>IF(Raw_Data!B282="","",TRIM(SUBSTITUTE(CLEAN(Raw_Data!B282),CHAR(160)," ")))</f>
        <v>Nyanya Ward</v>
      </c>
      <c r="C282" s="7" t="str">
        <f>IF(Raw_Data!C282="","",TRIM(SUBSTITUTE(CLEAN(Raw_Data!C282),CHAR(160)," ")))</f>
        <v>North Land Medical Centre</v>
      </c>
      <c r="D282" s="28" t="str">
        <f>IFERROR(IF(COUNT(Raw_Data!D282:O282)=0,"",AVERAGE(Raw_Data!D282:O282)/100),"")</f>
        <v/>
      </c>
      <c r="E282" s="28" t="str">
        <f>IFERROR(IF(COUNT(Raw_Data!P282:AA282)=0,"",AVERAGE(Raw_Data!P282:AA282)/100),"")</f>
        <v/>
      </c>
      <c r="F282" s="30" t="str">
        <f>IFERROR(IF(COUNT(Raw_Data!AB282:AM282)=0,"",SUM(Raw_Data!AB282:AM282)),"")</f>
        <v/>
      </c>
      <c r="G282" s="30" t="str">
        <f>IFERROR(IF(COUNT(Raw_Data!AN282:AY282)=0,"",SUM(Raw_Data!AN282:AY282)),"")</f>
        <v/>
      </c>
      <c r="H282" s="30">
        <f>IFERROR(IF(COUNT(Raw_Data!AZ282:BK282)=0,"",SUM(Raw_Data!AZ282:BK282)),"")</f>
        <v>2</v>
      </c>
      <c r="I282" s="30" t="str">
        <f>IFERROR(IF(COUNT(Raw_Data!BL282:BW282)=0,"",SUM(Raw_Data!BL282:BW282)),"")</f>
        <v/>
      </c>
      <c r="J282" s="30" t="str">
        <f>IFERROR(IF(COUNT(Raw_Data!BX282:CI282)=0,"",SUM(Raw_Data!BX282:CI282)),"")</f>
        <v/>
      </c>
      <c r="K282" s="28" t="str">
        <f t="shared" si="28"/>
        <v/>
      </c>
      <c r="L282" s="28" t="str">
        <f t="shared" si="29"/>
        <v/>
      </c>
      <c r="M282" s="28" t="str">
        <f t="shared" si="30"/>
        <v/>
      </c>
      <c r="N282" s="28" t="str">
        <f t="shared" si="31"/>
        <v/>
      </c>
      <c r="O282" s="7" t="str">
        <f t="shared" si="32"/>
        <v>No Data</v>
      </c>
      <c r="P282" s="13" t="str">
        <f t="shared" si="33"/>
        <v>Incomplete</v>
      </c>
      <c r="Q282" s="7" t="str">
        <f t="shared" si="34"/>
        <v>No Data</v>
      </c>
    </row>
    <row r="283" spans="1:17" ht="60">
      <c r="A283" s="7" t="str">
        <f>IF(Raw_Data!A283="","",TRIM(SUBSTITUTE(CLEAN(Raw_Data!A283),CHAR(160)," ")))</f>
        <v>Abaji Local Government Area</v>
      </c>
      <c r="B283" s="7" t="str">
        <f>IF(Raw_Data!B283="","",TRIM(SUBSTITUTE(CLEAN(Raw_Data!B283),CHAR(160)," ")))</f>
        <v>Nuku Sabon Gari Ward</v>
      </c>
      <c r="C283" s="7" t="str">
        <f>IF(Raw_Data!C283="","",TRIM(SUBSTITUTE(CLEAN(Raw_Data!C283),CHAR(160)," ")))</f>
        <v>Nuku Primary Health Clinic</v>
      </c>
      <c r="D283" s="28">
        <f>IFERROR(IF(COUNT(Raw_Data!D283:O283)=0,"",AVERAGE(Raw_Data!D283:O283)/100),"")</f>
        <v>1</v>
      </c>
      <c r="E283" s="28">
        <f>IFERROR(IF(COUNT(Raw_Data!P283:AA283)=0,"",AVERAGE(Raw_Data!P283:AA283)/100),"")</f>
        <v>0.94444444444444442</v>
      </c>
      <c r="F283" s="30">
        <f>IFERROR(IF(COUNT(Raw_Data!AB283:AM283)=0,"",SUM(Raw_Data!AB283:AM283)),"")</f>
        <v>111</v>
      </c>
      <c r="G283" s="30">
        <f>IFERROR(IF(COUNT(Raw_Data!AN283:AY283)=0,"",SUM(Raw_Data!AN283:AY283)),"")</f>
        <v>114</v>
      </c>
      <c r="H283" s="30">
        <f>IFERROR(IF(COUNT(Raw_Data!AZ283:BK283)=0,"",SUM(Raw_Data!AZ283:BK283)),"")</f>
        <v>90</v>
      </c>
      <c r="I283" s="30">
        <f>IFERROR(IF(COUNT(Raw_Data!BL283:BW283)=0,"",SUM(Raw_Data!BL283:BW283)),"")</f>
        <v>20</v>
      </c>
      <c r="J283" s="30">
        <f>IFERROR(IF(COUNT(Raw_Data!BX283:CI283)=0,"",SUM(Raw_Data!BX283:CI283)),"")</f>
        <v>1</v>
      </c>
      <c r="K283" s="28">
        <f t="shared" si="28"/>
        <v>1.027027027027027</v>
      </c>
      <c r="L283" s="28">
        <f t="shared" si="29"/>
        <v>-2.7027027027027029E-2</v>
      </c>
      <c r="M283" s="28">
        <f t="shared" si="30"/>
        <v>0.22222222222222221</v>
      </c>
      <c r="N283" s="28">
        <f t="shared" si="31"/>
        <v>1.1111111111111112E-2</v>
      </c>
      <c r="O283" s="7" t="str">
        <f t="shared" si="32"/>
        <v>Invalid</v>
      </c>
      <c r="P283" s="13" t="str">
        <f t="shared" si="33"/>
        <v>Valid</v>
      </c>
      <c r="Q283" s="7" t="str">
        <f t="shared" si="34"/>
        <v>Invalid</v>
      </c>
    </row>
    <row r="284" spans="1:17" ht="60">
      <c r="A284" s="7" t="str">
        <f>IF(Raw_Data!A284="","",TRIM(SUBSTITUTE(CLEAN(Raw_Data!A284),CHAR(160)," ")))</f>
        <v>Bwari Local Government Area</v>
      </c>
      <c r="B284" s="7" t="str">
        <f>IF(Raw_Data!B284="","",TRIM(SUBSTITUTE(CLEAN(Raw_Data!B284),CHAR(160)," ")))</f>
        <v>Dutse Ward</v>
      </c>
      <c r="C284" s="7" t="str">
        <f>IF(Raw_Data!C284="","",TRIM(SUBSTITUTE(CLEAN(Raw_Data!C284),CHAR(160)," ")))</f>
        <v>Nukuchi Primary Health Clinic</v>
      </c>
      <c r="D284" s="28">
        <f>IFERROR(IF(COUNT(Raw_Data!D284:O284)=0,"",AVERAGE(Raw_Data!D284:O284)/100),"")</f>
        <v>1</v>
      </c>
      <c r="E284" s="28">
        <f>IFERROR(IF(COUNT(Raw_Data!P284:AA284)=0,"",AVERAGE(Raw_Data!P284:AA284)/100),"")</f>
        <v>1</v>
      </c>
      <c r="F284" s="30">
        <f>IFERROR(IF(COUNT(Raw_Data!AB284:AM284)=0,"",SUM(Raw_Data!AB284:AM284)),"")</f>
        <v>86</v>
      </c>
      <c r="G284" s="30">
        <f>IFERROR(IF(COUNT(Raw_Data!AN284:AY284)=0,"",SUM(Raw_Data!AN284:AY284)),"")</f>
        <v>90</v>
      </c>
      <c r="H284" s="30">
        <f>IFERROR(IF(COUNT(Raw_Data!AZ284:BK284)=0,"",SUM(Raw_Data!AZ284:BK284)),"")</f>
        <v>55</v>
      </c>
      <c r="I284" s="30">
        <f>IFERROR(IF(COUNT(Raw_Data!BL284:BW284)=0,"",SUM(Raw_Data!BL284:BW284)),"")</f>
        <v>29</v>
      </c>
      <c r="J284" s="30">
        <f>IFERROR(IF(COUNT(Raw_Data!BX284:CI284)=0,"",SUM(Raw_Data!BX284:CI284)),"")</f>
        <v>5</v>
      </c>
      <c r="K284" s="28">
        <f t="shared" si="28"/>
        <v>1.0465116279069768</v>
      </c>
      <c r="L284" s="28">
        <f t="shared" si="29"/>
        <v>-4.6511627906976744E-2</v>
      </c>
      <c r="M284" s="28">
        <f t="shared" si="30"/>
        <v>0.52727272727272723</v>
      </c>
      <c r="N284" s="28">
        <f t="shared" si="31"/>
        <v>9.0909090909090912E-2</v>
      </c>
      <c r="O284" s="7" t="str">
        <f t="shared" si="32"/>
        <v>Invalid</v>
      </c>
      <c r="P284" s="13" t="str">
        <f t="shared" si="33"/>
        <v>Valid</v>
      </c>
      <c r="Q284" s="7" t="str">
        <f t="shared" si="34"/>
        <v>Invalid</v>
      </c>
    </row>
    <row r="285" spans="1:17" ht="60">
      <c r="A285" s="7" t="str">
        <f>IF(Raw_Data!A285="","",TRIM(SUBSTITUTE(CLEAN(Raw_Data!A285),CHAR(160)," ")))</f>
        <v>Abuja Municipal Area Council</v>
      </c>
      <c r="B285" s="7" t="str">
        <f>IF(Raw_Data!B285="","",TRIM(SUBSTITUTE(CLEAN(Raw_Data!B285),CHAR(160)," ")))</f>
        <v>Nyanya Ward</v>
      </c>
      <c r="C285" s="7" t="str">
        <f>IF(Raw_Data!C285="","",TRIM(SUBSTITUTE(CLEAN(Raw_Data!C285),CHAR(160)," ")))</f>
        <v>Nyanya General Hospital</v>
      </c>
      <c r="D285" s="28">
        <f>IFERROR(IF(COUNT(Raw_Data!D285:O285)=0,"",AVERAGE(Raw_Data!D285:O285)/100),"")</f>
        <v>1.2</v>
      </c>
      <c r="E285" s="28" t="str">
        <f>IFERROR(IF(COUNT(Raw_Data!P285:AA285)=0,"",AVERAGE(Raw_Data!P285:AA285)/100),"")</f>
        <v/>
      </c>
      <c r="F285" s="30">
        <f>IFERROR(IF(COUNT(Raw_Data!AB285:AM285)=0,"",SUM(Raw_Data!AB285:AM285)),"")</f>
        <v>1352</v>
      </c>
      <c r="G285" s="30">
        <f>IFERROR(IF(COUNT(Raw_Data!AN285:AY285)=0,"",SUM(Raw_Data!AN285:AY285)),"")</f>
        <v>1285</v>
      </c>
      <c r="H285" s="30">
        <f>IFERROR(IF(COUNT(Raw_Data!AZ285:BK285)=0,"",SUM(Raw_Data!AZ285:BK285)),"")</f>
        <v>1900</v>
      </c>
      <c r="I285" s="30">
        <f>IFERROR(IF(COUNT(Raw_Data!BL285:BW285)=0,"",SUM(Raw_Data!BL285:BW285)),"")</f>
        <v>1738</v>
      </c>
      <c r="J285" s="30">
        <f>IFERROR(IF(COUNT(Raw_Data!BX285:CI285)=0,"",SUM(Raw_Data!BX285:CI285)),"")</f>
        <v>1369</v>
      </c>
      <c r="K285" s="28">
        <f t="shared" si="28"/>
        <v>0.95044378698224852</v>
      </c>
      <c r="L285" s="28">
        <f t="shared" si="29"/>
        <v>4.9556213017751483E-2</v>
      </c>
      <c r="M285" s="28">
        <f t="shared" si="30"/>
        <v>0.91473684210526318</v>
      </c>
      <c r="N285" s="28">
        <f t="shared" si="31"/>
        <v>0.72052631578947368</v>
      </c>
      <c r="O285" s="7" t="str">
        <f t="shared" si="32"/>
        <v>Valid</v>
      </c>
      <c r="P285" s="13" t="str">
        <f t="shared" si="33"/>
        <v>Valid</v>
      </c>
      <c r="Q285" s="7" t="str">
        <f t="shared" si="34"/>
        <v>Valid</v>
      </c>
    </row>
    <row r="286" spans="1:17" ht="60">
      <c r="A286" s="7" t="str">
        <f>IF(Raw_Data!A286="","",TRIM(SUBSTITUTE(CLEAN(Raw_Data!A286),CHAR(160)," ")))</f>
        <v>Kuje Local Government Area</v>
      </c>
      <c r="B286" s="7" t="str">
        <f>IF(Raw_Data!B286="","",TRIM(SUBSTITUTE(CLEAN(Raw_Data!B286),CHAR(160)," ")))</f>
        <v>Kujekwa Ward</v>
      </c>
      <c r="C286" s="7" t="str">
        <f>IF(Raw_Data!C286="","",TRIM(SUBSTITUTE(CLEAN(Raw_Data!C286),CHAR(160)," ")))</f>
        <v>Odu Primary Health Centre</v>
      </c>
      <c r="D286" s="28">
        <f>IFERROR(IF(COUNT(Raw_Data!D286:O286)=0,"",AVERAGE(Raw_Data!D286:O286)/100),"")</f>
        <v>0.92500000000000004</v>
      </c>
      <c r="E286" s="28">
        <f>IFERROR(IF(COUNT(Raw_Data!P286:AA286)=0,"",AVERAGE(Raw_Data!P286:AA286)/100),"")</f>
        <v>0.97499999999999998</v>
      </c>
      <c r="F286" s="30">
        <f>IFERROR(IF(COUNT(Raw_Data!AB286:AM286)=0,"",SUM(Raw_Data!AB286:AM286)),"")</f>
        <v>259</v>
      </c>
      <c r="G286" s="30">
        <f>IFERROR(IF(COUNT(Raw_Data!AN286:AY286)=0,"",SUM(Raw_Data!AN286:AY286)),"")</f>
        <v>246</v>
      </c>
      <c r="H286" s="30">
        <f>IFERROR(IF(COUNT(Raw_Data!AZ286:BK286)=0,"",SUM(Raw_Data!AZ286:BK286)),"")</f>
        <v>33</v>
      </c>
      <c r="I286" s="30">
        <f>IFERROR(IF(COUNT(Raw_Data!BL286:BW286)=0,"",SUM(Raw_Data!BL286:BW286)),"")</f>
        <v>21</v>
      </c>
      <c r="J286" s="30">
        <f>IFERROR(IF(COUNT(Raw_Data!BX286:CI286)=0,"",SUM(Raw_Data!BX286:CI286)),"")</f>
        <v>16</v>
      </c>
      <c r="K286" s="28">
        <f t="shared" si="28"/>
        <v>0.9498069498069498</v>
      </c>
      <c r="L286" s="28">
        <f t="shared" si="29"/>
        <v>5.019305019305019E-2</v>
      </c>
      <c r="M286" s="28">
        <f t="shared" si="30"/>
        <v>0.63636363636363635</v>
      </c>
      <c r="N286" s="28">
        <f t="shared" si="31"/>
        <v>0.48484848484848486</v>
      </c>
      <c r="O286" s="7" t="str">
        <f t="shared" si="32"/>
        <v>Valid</v>
      </c>
      <c r="P286" s="13" t="str">
        <f t="shared" si="33"/>
        <v>Valid</v>
      </c>
      <c r="Q286" s="7" t="str">
        <f t="shared" si="34"/>
        <v>Valid</v>
      </c>
    </row>
    <row r="287" spans="1:17" ht="60">
      <c r="A287" s="7" t="str">
        <f>IF(Raw_Data!A287="","",TRIM(SUBSTITUTE(CLEAN(Raw_Data!A287),CHAR(160)," ")))</f>
        <v>Gwagwalada Local Government Area</v>
      </c>
      <c r="B287" s="7" t="str">
        <f>IF(Raw_Data!B287="","",TRIM(SUBSTITUTE(CLEAN(Raw_Data!B287),CHAR(160)," ")))</f>
        <v>Gwako Ward</v>
      </c>
      <c r="C287" s="7" t="str">
        <f>IF(Raw_Data!C287="","",TRIM(SUBSTITUTE(CLEAN(Raw_Data!C287),CHAR(160)," ")))</f>
        <v>Ojochegbe Health Clinic</v>
      </c>
      <c r="D287" s="28" t="str">
        <f>IFERROR(IF(COUNT(Raw_Data!D287:O287)=0,"",AVERAGE(Raw_Data!D287:O287)/100),"")</f>
        <v/>
      </c>
      <c r="E287" s="28" t="str">
        <f>IFERROR(IF(COUNT(Raw_Data!P287:AA287)=0,"",AVERAGE(Raw_Data!P287:AA287)/100),"")</f>
        <v/>
      </c>
      <c r="F287" s="30" t="str">
        <f>IFERROR(IF(COUNT(Raw_Data!AB287:AM287)=0,"",SUM(Raw_Data!AB287:AM287)),"")</f>
        <v/>
      </c>
      <c r="G287" s="30" t="str">
        <f>IFERROR(IF(COUNT(Raw_Data!AN287:AY287)=0,"",SUM(Raw_Data!AN287:AY287)),"")</f>
        <v/>
      </c>
      <c r="H287" s="30">
        <f>IFERROR(IF(COUNT(Raw_Data!AZ287:BK287)=0,"",SUM(Raw_Data!AZ287:BK287)),"")</f>
        <v>225</v>
      </c>
      <c r="I287" s="30">
        <f>IFERROR(IF(COUNT(Raw_Data!BL287:BW287)=0,"",SUM(Raw_Data!BL287:BW287)),"")</f>
        <v>52</v>
      </c>
      <c r="J287" s="30">
        <f>IFERROR(IF(COUNT(Raw_Data!BX287:CI287)=0,"",SUM(Raw_Data!BX287:CI287)),"")</f>
        <v>1</v>
      </c>
      <c r="K287" s="28" t="str">
        <f t="shared" si="28"/>
        <v/>
      </c>
      <c r="L287" s="28" t="str">
        <f t="shared" si="29"/>
        <v/>
      </c>
      <c r="M287" s="28">
        <f t="shared" si="30"/>
        <v>0.2311111111111111</v>
      </c>
      <c r="N287" s="28">
        <f t="shared" si="31"/>
        <v>4.4444444444444444E-3</v>
      </c>
      <c r="O287" s="7" t="str">
        <f t="shared" si="32"/>
        <v>No Data</v>
      </c>
      <c r="P287" s="13" t="str">
        <f t="shared" si="33"/>
        <v>Valid</v>
      </c>
      <c r="Q287" s="7" t="str">
        <f t="shared" si="34"/>
        <v>No Data</v>
      </c>
    </row>
    <row r="288" spans="1:17" ht="75">
      <c r="A288" s="7" t="str">
        <f>IF(Raw_Data!A288="","",TRIM(SUBSTITUTE(CLEAN(Raw_Data!A288),CHAR(160)," ")))</f>
        <v>Bwari Local Government Area</v>
      </c>
      <c r="B288" s="7" t="str">
        <f>IF(Raw_Data!B288="","",TRIM(SUBSTITUTE(CLEAN(Raw_Data!B288),CHAR(160)," ")))</f>
        <v>Kubwa Ward</v>
      </c>
      <c r="C288" s="7" t="str">
        <f>IF(Raw_Data!C288="","",TRIM(SUBSTITUTE(CLEAN(Raw_Data!C288),CHAR(160)," ")))</f>
        <v>Old Dei Dei Primary Health Clinic</v>
      </c>
      <c r="D288" s="28">
        <f>IFERROR(IF(COUNT(Raw_Data!D288:O288)=0,"",AVERAGE(Raw_Data!D288:O288)/100),"")</f>
        <v>0.91429000000000005</v>
      </c>
      <c r="E288" s="28">
        <f>IFERROR(IF(COUNT(Raw_Data!P288:AA288)=0,"",AVERAGE(Raw_Data!P288:AA288)/100),"")</f>
        <v>0.91666999999999998</v>
      </c>
      <c r="F288" s="30">
        <f>IFERROR(IF(COUNT(Raw_Data!AB288:AM288)=0,"",SUM(Raw_Data!AB288:AM288)),"")</f>
        <v>972</v>
      </c>
      <c r="G288" s="30">
        <f>IFERROR(IF(COUNT(Raw_Data!AN288:AY288)=0,"",SUM(Raw_Data!AN288:AY288)),"")</f>
        <v>1058</v>
      </c>
      <c r="H288" s="30">
        <f>IFERROR(IF(COUNT(Raw_Data!AZ288:BK288)=0,"",SUM(Raw_Data!AZ288:BK288)),"")</f>
        <v>588</v>
      </c>
      <c r="I288" s="30">
        <f>IFERROR(IF(COUNT(Raw_Data!BL288:BW288)=0,"",SUM(Raw_Data!BL288:BW288)),"")</f>
        <v>134</v>
      </c>
      <c r="J288" s="30">
        <f>IFERROR(IF(COUNT(Raw_Data!BX288:CI288)=0,"",SUM(Raw_Data!BX288:CI288)),"")</f>
        <v>146</v>
      </c>
      <c r="K288" s="28">
        <f t="shared" si="28"/>
        <v>1.0884773662551441</v>
      </c>
      <c r="L288" s="28">
        <f t="shared" si="29"/>
        <v>-8.8477366255144033E-2</v>
      </c>
      <c r="M288" s="28">
        <f t="shared" si="30"/>
        <v>0.22789115646258504</v>
      </c>
      <c r="N288" s="28">
        <f t="shared" si="31"/>
        <v>0.24829931972789115</v>
      </c>
      <c r="O288" s="7" t="str">
        <f t="shared" si="32"/>
        <v>Invalid</v>
      </c>
      <c r="P288" s="13" t="str">
        <f t="shared" si="33"/>
        <v>Invalid</v>
      </c>
      <c r="Q288" s="7" t="str">
        <f t="shared" si="34"/>
        <v>Invalid</v>
      </c>
    </row>
    <row r="289" spans="1:17" ht="60">
      <c r="A289" s="7" t="str">
        <f>IF(Raw_Data!A289="","",TRIM(SUBSTITUTE(CLEAN(Raw_Data!A289),CHAR(160)," ")))</f>
        <v>Abuja Municipal Area Council</v>
      </c>
      <c r="B289" s="7" t="str">
        <f>IF(Raw_Data!B289="","",TRIM(SUBSTITUTE(CLEAN(Raw_Data!B289),CHAR(160)," ")))</f>
        <v>Orozo Ward</v>
      </c>
      <c r="C289" s="7" t="str">
        <f>IF(Raw_Data!C289="","",TRIM(SUBSTITUTE(CLEAN(Raw_Data!C289),CHAR(160)," ")))</f>
        <v>Orozo Primary Health Clinic</v>
      </c>
      <c r="D289" s="28">
        <f>IFERROR(IF(COUNT(Raw_Data!D289:O289)=0,"",AVERAGE(Raw_Data!D289:O289)/100),"")</f>
        <v>0.94318181818181812</v>
      </c>
      <c r="E289" s="28">
        <f>IFERROR(IF(COUNT(Raw_Data!P289:AA289)=0,"",AVERAGE(Raw_Data!P289:AA289)/100),"")</f>
        <v>0.5</v>
      </c>
      <c r="F289" s="30">
        <f>IFERROR(IF(COUNT(Raw_Data!AB289:AM289)=0,"",SUM(Raw_Data!AB289:AM289)),"")</f>
        <v>379</v>
      </c>
      <c r="G289" s="30">
        <f>IFERROR(IF(COUNT(Raw_Data!AN289:AY289)=0,"",SUM(Raw_Data!AN289:AY289)),"")</f>
        <v>386</v>
      </c>
      <c r="H289" s="30">
        <f>IFERROR(IF(COUNT(Raw_Data!AZ289:BK289)=0,"",SUM(Raw_Data!AZ289:BK289)),"")</f>
        <v>242</v>
      </c>
      <c r="I289" s="30">
        <f>IFERROR(IF(COUNT(Raw_Data!BL289:BW289)=0,"",SUM(Raw_Data!BL289:BW289)),"")</f>
        <v>120</v>
      </c>
      <c r="J289" s="30">
        <f>IFERROR(IF(COUNT(Raw_Data!BX289:CI289)=0,"",SUM(Raw_Data!BX289:CI289)),"")</f>
        <v>123</v>
      </c>
      <c r="K289" s="28">
        <f t="shared" si="28"/>
        <v>1.0184696569920844</v>
      </c>
      <c r="L289" s="28">
        <f t="shared" si="29"/>
        <v>-1.8469656992084433E-2</v>
      </c>
      <c r="M289" s="28">
        <f t="shared" si="30"/>
        <v>0.49586776859504134</v>
      </c>
      <c r="N289" s="28">
        <f t="shared" si="31"/>
        <v>0.50826446280991733</v>
      </c>
      <c r="O289" s="7" t="str">
        <f t="shared" si="32"/>
        <v>Invalid</v>
      </c>
      <c r="P289" s="13" t="str">
        <f t="shared" si="33"/>
        <v>Invalid</v>
      </c>
      <c r="Q289" s="7" t="str">
        <f t="shared" si="34"/>
        <v>Invalid</v>
      </c>
    </row>
    <row r="290" spans="1:17" ht="90">
      <c r="A290" s="7" t="str">
        <f>IF(Raw_Data!A290="","",TRIM(SUBSTITUTE(CLEAN(Raw_Data!A290),CHAR(160)," ")))</f>
        <v>Bwari Local Government Area</v>
      </c>
      <c r="B290" s="7" t="str">
        <f>IF(Raw_Data!B290="","",TRIM(SUBSTITUTE(CLEAN(Raw_Data!B290),CHAR(160)," ")))</f>
        <v>Bwari Central Ward</v>
      </c>
      <c r="C290" s="7" t="str">
        <f>IF(Raw_Data!C290="","",TRIM(SUBSTITUTE(CLEAN(Raw_Data!C290),CHAR(160)," ")))</f>
        <v>Our Lady Of Fatima Catholic Hospital ( Bwari )</v>
      </c>
      <c r="D290" s="28">
        <f>IFERROR(IF(COUNT(Raw_Data!D290:O290)=0,"",AVERAGE(Raw_Data!D290:O290)/100),"")</f>
        <v>0.875</v>
      </c>
      <c r="E290" s="28" t="str">
        <f>IFERROR(IF(COUNT(Raw_Data!P290:AA290)=0,"",AVERAGE(Raw_Data!P290:AA290)/100),"")</f>
        <v/>
      </c>
      <c r="F290" s="30">
        <f>IFERROR(IF(COUNT(Raw_Data!AB290:AM290)=0,"",SUM(Raw_Data!AB290:AM290)),"")</f>
        <v>45</v>
      </c>
      <c r="G290" s="30">
        <f>IFERROR(IF(COUNT(Raw_Data!AN290:AY290)=0,"",SUM(Raw_Data!AN290:AY290)),"")</f>
        <v>47</v>
      </c>
      <c r="H290" s="30" t="str">
        <f>IFERROR(IF(COUNT(Raw_Data!AZ290:BK290)=0,"",SUM(Raw_Data!AZ290:BK290)),"")</f>
        <v/>
      </c>
      <c r="I290" s="30">
        <f>IFERROR(IF(COUNT(Raw_Data!BL290:BW290)=0,"",SUM(Raw_Data!BL290:BW290)),"")</f>
        <v>105</v>
      </c>
      <c r="J290" s="30">
        <f>IFERROR(IF(COUNT(Raw_Data!BX290:CI290)=0,"",SUM(Raw_Data!BX290:CI290)),"")</f>
        <v>67</v>
      </c>
      <c r="K290" s="28">
        <f t="shared" si="28"/>
        <v>1.0444444444444445</v>
      </c>
      <c r="L290" s="28">
        <f t="shared" si="29"/>
        <v>-4.4444444444444446E-2</v>
      </c>
      <c r="M290" s="28" t="str">
        <f t="shared" si="30"/>
        <v/>
      </c>
      <c r="N290" s="28" t="str">
        <f t="shared" si="31"/>
        <v/>
      </c>
      <c r="O290" s="7" t="str">
        <f t="shared" si="32"/>
        <v>Invalid</v>
      </c>
      <c r="P290" s="13" t="str">
        <f t="shared" si="33"/>
        <v>Incomplete</v>
      </c>
      <c r="Q290" s="7" t="str">
        <f t="shared" si="34"/>
        <v>Incomplete</v>
      </c>
    </row>
    <row r="291" spans="1:17" ht="90">
      <c r="A291" s="7" t="str">
        <f>IF(Raw_Data!A291="","",TRIM(SUBSTITUTE(CLEAN(Raw_Data!A291),CHAR(160)," ")))</f>
        <v>Abuja Municipal Area Council</v>
      </c>
      <c r="B291" s="7" t="str">
        <f>IF(Raw_Data!B291="","",TRIM(SUBSTITUTE(CLEAN(Raw_Data!B291),CHAR(160)," ")))</f>
        <v>Gwagwa Ward</v>
      </c>
      <c r="C291" s="7" t="str">
        <f>IF(Raw_Data!C291="","",TRIM(SUBSTITUTE(CLEAN(Raw_Data!C291),CHAR(160)," ")))</f>
        <v>Our Lady's Clinic And Maternity</v>
      </c>
      <c r="D291" s="28" t="str">
        <f>IFERROR(IF(COUNT(Raw_Data!D291:O291)=0,"",AVERAGE(Raw_Data!D291:O291)/100),"")</f>
        <v/>
      </c>
      <c r="E291" s="28" t="str">
        <f>IFERROR(IF(COUNT(Raw_Data!P291:AA291)=0,"",AVERAGE(Raw_Data!P291:AA291)/100),"")</f>
        <v/>
      </c>
      <c r="F291" s="30" t="str">
        <f>IFERROR(IF(COUNT(Raw_Data!AB291:AM291)=0,"",SUM(Raw_Data!AB291:AM291)),"")</f>
        <v/>
      </c>
      <c r="G291" s="30" t="str">
        <f>IFERROR(IF(COUNT(Raw_Data!AN291:AY291)=0,"",SUM(Raw_Data!AN291:AY291)),"")</f>
        <v/>
      </c>
      <c r="H291" s="30">
        <f>IFERROR(IF(COUNT(Raw_Data!AZ291:BK291)=0,"",SUM(Raw_Data!AZ291:BK291)),"")</f>
        <v>14</v>
      </c>
      <c r="I291" s="30" t="str">
        <f>IFERROR(IF(COUNT(Raw_Data!BL291:BW291)=0,"",SUM(Raw_Data!BL291:BW291)),"")</f>
        <v/>
      </c>
      <c r="J291" s="30" t="str">
        <f>IFERROR(IF(COUNT(Raw_Data!BX291:CI291)=0,"",SUM(Raw_Data!BX291:CI291)),"")</f>
        <v/>
      </c>
      <c r="K291" s="28" t="str">
        <f t="shared" si="28"/>
        <v/>
      </c>
      <c r="L291" s="28" t="str">
        <f t="shared" si="29"/>
        <v/>
      </c>
      <c r="M291" s="28" t="str">
        <f t="shared" si="30"/>
        <v/>
      </c>
      <c r="N291" s="28" t="str">
        <f t="shared" si="31"/>
        <v/>
      </c>
      <c r="O291" s="7" t="str">
        <f t="shared" si="32"/>
        <v>No Data</v>
      </c>
      <c r="P291" s="13" t="str">
        <f t="shared" si="33"/>
        <v>Incomplete</v>
      </c>
      <c r="Q291" s="7" t="str">
        <f t="shared" si="34"/>
        <v>No Data</v>
      </c>
    </row>
    <row r="292" spans="1:17" ht="75">
      <c r="A292" s="7" t="str">
        <f>IF(Raw_Data!A292="","",TRIM(SUBSTITUTE(CLEAN(Raw_Data!A292),CHAR(160)," ")))</f>
        <v>Bwari Local Government Area</v>
      </c>
      <c r="B292" s="7" t="str">
        <f>IF(Raw_Data!B292="","",TRIM(SUBSTITUTE(CLEAN(Raw_Data!B292),CHAR(160)," ")))</f>
        <v>Usuma Ward</v>
      </c>
      <c r="C292" s="7" t="str">
        <f>IF(Raw_Data!C292="","",TRIM(SUBSTITUTE(CLEAN(Raw_Data!C292),CHAR(160)," ")))</f>
        <v>Owner Occupier Primary Health Centre</v>
      </c>
      <c r="D292" s="28">
        <f>IFERROR(IF(COUNT(Raw_Data!D292:O292)=0,"",AVERAGE(Raw_Data!D292:O292)/100),"")</f>
        <v>0.97853636363636354</v>
      </c>
      <c r="E292" s="28">
        <f>IFERROR(IF(COUNT(Raw_Data!P292:AA292)=0,"",AVERAGE(Raw_Data!P292:AA292)/100),"")</f>
        <v>0.85</v>
      </c>
      <c r="F292" s="30">
        <f>IFERROR(IF(COUNT(Raw_Data!AB292:AM292)=0,"",SUM(Raw_Data!AB292:AM292)),"")</f>
        <v>208</v>
      </c>
      <c r="G292" s="30">
        <f>IFERROR(IF(COUNT(Raw_Data!AN292:AY292)=0,"",SUM(Raw_Data!AN292:AY292)),"")</f>
        <v>1385</v>
      </c>
      <c r="H292" s="30">
        <f>IFERROR(IF(COUNT(Raw_Data!AZ292:BK292)=0,"",SUM(Raw_Data!AZ292:BK292)),"")</f>
        <v>107</v>
      </c>
      <c r="I292" s="30">
        <f>IFERROR(IF(COUNT(Raw_Data!BL292:BW292)=0,"",SUM(Raw_Data!BL292:BW292)),"")</f>
        <v>82</v>
      </c>
      <c r="J292" s="30">
        <f>IFERROR(IF(COUNT(Raw_Data!BX292:CI292)=0,"",SUM(Raw_Data!BX292:CI292)),"")</f>
        <v>34</v>
      </c>
      <c r="K292" s="28">
        <f t="shared" si="28"/>
        <v>6.6586538461538458</v>
      </c>
      <c r="L292" s="28">
        <f t="shared" si="29"/>
        <v>-5.6586538461538458</v>
      </c>
      <c r="M292" s="28">
        <f t="shared" si="30"/>
        <v>0.76635514018691586</v>
      </c>
      <c r="N292" s="28">
        <f t="shared" si="31"/>
        <v>0.31775700934579437</v>
      </c>
      <c r="O292" s="7" t="str">
        <f t="shared" si="32"/>
        <v>Invalid</v>
      </c>
      <c r="P292" s="13" t="str">
        <f t="shared" si="33"/>
        <v>Valid</v>
      </c>
      <c r="Q292" s="7" t="str">
        <f t="shared" si="34"/>
        <v>Invalid</v>
      </c>
    </row>
    <row r="293" spans="1:17" ht="60">
      <c r="A293" s="7" t="str">
        <f>IF(Raw_Data!A293="","",TRIM(SUBSTITUTE(CLEAN(Raw_Data!A293),CHAR(160)," ")))</f>
        <v>Gwagwalada Local Government Area</v>
      </c>
      <c r="B293" s="7" t="str">
        <f>IF(Raw_Data!B293="","",TRIM(SUBSTITUTE(CLEAN(Raw_Data!B293),CHAR(160)," ")))</f>
        <v>Dobi Ward</v>
      </c>
      <c r="C293" s="7" t="str">
        <f>IF(Raw_Data!C293="","",TRIM(SUBSTITUTE(CLEAN(Raw_Data!C293),CHAR(160)," ")))</f>
        <v>Pabeyi Primary Health Clinic</v>
      </c>
      <c r="D293" s="28">
        <f>IFERROR(IF(COUNT(Raw_Data!D293:O293)=0,"",AVERAGE(Raw_Data!D293:O293)/100),"")</f>
        <v>1.05</v>
      </c>
      <c r="E293" s="28">
        <f>IFERROR(IF(COUNT(Raw_Data!P293:AA293)=0,"",AVERAGE(Raw_Data!P293:AA293)/100),"")</f>
        <v>0.88624444444444439</v>
      </c>
      <c r="F293" s="30">
        <f>IFERROR(IF(COUNT(Raw_Data!AB293:AM293)=0,"",SUM(Raw_Data!AB293:AM293)),"")</f>
        <v>417</v>
      </c>
      <c r="G293" s="30">
        <f>IFERROR(IF(COUNT(Raw_Data!AN293:AY293)=0,"",SUM(Raw_Data!AN293:AY293)),"")</f>
        <v>389</v>
      </c>
      <c r="H293" s="30">
        <f>IFERROR(IF(COUNT(Raw_Data!AZ293:BK293)=0,"",SUM(Raw_Data!AZ293:BK293)),"")</f>
        <v>324</v>
      </c>
      <c r="I293" s="30">
        <f>IFERROR(IF(COUNT(Raw_Data!BL293:BW293)=0,"",SUM(Raw_Data!BL293:BW293)),"")</f>
        <v>90</v>
      </c>
      <c r="J293" s="30" t="str">
        <f>IFERROR(IF(COUNT(Raw_Data!BX293:CI293)=0,"",SUM(Raw_Data!BX293:CI293)),"")</f>
        <v/>
      </c>
      <c r="K293" s="28">
        <f t="shared" si="28"/>
        <v>0.93285371702637887</v>
      </c>
      <c r="L293" s="28">
        <f t="shared" si="29"/>
        <v>6.7146282973621102E-2</v>
      </c>
      <c r="M293" s="28">
        <f t="shared" si="30"/>
        <v>0.27777777777777779</v>
      </c>
      <c r="N293" s="28" t="str">
        <f t="shared" si="31"/>
        <v/>
      </c>
      <c r="O293" s="7" t="str">
        <f t="shared" si="32"/>
        <v>Valid</v>
      </c>
      <c r="P293" s="13" t="str">
        <f t="shared" si="33"/>
        <v>Incomplete</v>
      </c>
      <c r="Q293" s="7" t="str">
        <f t="shared" si="34"/>
        <v>Incomplete</v>
      </c>
    </row>
    <row r="294" spans="1:17" ht="75">
      <c r="A294" s="7" t="str">
        <f>IF(Raw_Data!A294="","",TRIM(SUBSTITUTE(CLEAN(Raw_Data!A294),CHAR(160)," ")))</f>
        <v>Bwari Local Government Area</v>
      </c>
      <c r="B294" s="7" t="str">
        <f>IF(Raw_Data!B294="","",TRIM(SUBSTITUTE(CLEAN(Raw_Data!B294),CHAR(160)," ")))</f>
        <v>Kawu Ward</v>
      </c>
      <c r="C294" s="7" t="str">
        <f>IF(Raw_Data!C294="","",TRIM(SUBSTITUTE(CLEAN(Raw_Data!C294),CHAR(160)," ")))</f>
        <v>Pada Gwari Primary Health Clinic</v>
      </c>
      <c r="D294" s="28">
        <f>IFERROR(IF(COUNT(Raw_Data!D294:O294)=0,"",AVERAGE(Raw_Data!D294:O294)/100),"")</f>
        <v>0.93939090909090905</v>
      </c>
      <c r="E294" s="28">
        <f>IFERROR(IF(COUNT(Raw_Data!P294:AA294)=0,"",AVERAGE(Raw_Data!P294:AA294)/100),"")</f>
        <v>1.1818181818181819</v>
      </c>
      <c r="F294" s="30">
        <f>IFERROR(IF(COUNT(Raw_Data!AB294:AM294)=0,"",SUM(Raw_Data!AB294:AM294)),"")</f>
        <v>332</v>
      </c>
      <c r="G294" s="30">
        <f>IFERROR(IF(COUNT(Raw_Data!AN294:AY294)=0,"",SUM(Raw_Data!AN294:AY294)),"")</f>
        <v>393</v>
      </c>
      <c r="H294" s="30">
        <f>IFERROR(IF(COUNT(Raw_Data!AZ294:BK294)=0,"",SUM(Raw_Data!AZ294:BK294)),"")</f>
        <v>62</v>
      </c>
      <c r="I294" s="30">
        <f>IFERROR(IF(COUNT(Raw_Data!BL294:BW294)=0,"",SUM(Raw_Data!BL294:BW294)),"")</f>
        <v>46</v>
      </c>
      <c r="J294" s="30">
        <f>IFERROR(IF(COUNT(Raw_Data!BX294:CI294)=0,"",SUM(Raw_Data!BX294:CI294)),"")</f>
        <v>23</v>
      </c>
      <c r="K294" s="28">
        <f t="shared" si="28"/>
        <v>1.1837349397590362</v>
      </c>
      <c r="L294" s="28">
        <f t="shared" si="29"/>
        <v>-0.18373493975903615</v>
      </c>
      <c r="M294" s="28">
        <f t="shared" si="30"/>
        <v>0.74193548387096775</v>
      </c>
      <c r="N294" s="28">
        <f t="shared" si="31"/>
        <v>0.37096774193548387</v>
      </c>
      <c r="O294" s="7" t="str">
        <f t="shared" si="32"/>
        <v>Invalid</v>
      </c>
      <c r="P294" s="13" t="str">
        <f t="shared" si="33"/>
        <v>Valid</v>
      </c>
      <c r="Q294" s="7" t="str">
        <f t="shared" si="34"/>
        <v>Invalid</v>
      </c>
    </row>
    <row r="295" spans="1:17" ht="60">
      <c r="A295" s="7" t="str">
        <f>IF(Raw_Data!A295="","",TRIM(SUBSTITUTE(CLEAN(Raw_Data!A295),CHAR(160)," ")))</f>
        <v>Kuje Local Government Area</v>
      </c>
      <c r="B295" s="7" t="str">
        <f>IF(Raw_Data!B295="","",TRIM(SUBSTITUTE(CLEAN(Raw_Data!B295),CHAR(160)," ")))</f>
        <v>Gaube Ward</v>
      </c>
      <c r="C295" s="7" t="str">
        <f>IF(Raw_Data!C295="","",TRIM(SUBSTITUTE(CLEAN(Raw_Data!C295),CHAR(160)," ")))</f>
        <v>Pagi Primary Health Centre</v>
      </c>
      <c r="D295" s="28">
        <f>IFERROR(IF(COUNT(Raw_Data!D295:O295)=0,"",AVERAGE(Raw_Data!D295:O295)/100),"")</f>
        <v>0.93181818181818188</v>
      </c>
      <c r="E295" s="28">
        <f>IFERROR(IF(COUNT(Raw_Data!P295:AA295)=0,"",AVERAGE(Raw_Data!P295:AA295)/100),"")</f>
        <v>0.92500000000000004</v>
      </c>
      <c r="F295" s="30">
        <f>IFERROR(IF(COUNT(Raw_Data!AB295:AM295)=0,"",SUM(Raw_Data!AB295:AM295)),"")</f>
        <v>515</v>
      </c>
      <c r="G295" s="30">
        <f>IFERROR(IF(COUNT(Raw_Data!AN295:AY295)=0,"",SUM(Raw_Data!AN295:AY295)),"")</f>
        <v>438</v>
      </c>
      <c r="H295" s="30">
        <f>IFERROR(IF(COUNT(Raw_Data!AZ295:BK295)=0,"",SUM(Raw_Data!AZ295:BK295)),"")</f>
        <v>78</v>
      </c>
      <c r="I295" s="30">
        <f>IFERROR(IF(COUNT(Raw_Data!BL295:BW295)=0,"",SUM(Raw_Data!BL295:BW295)),"")</f>
        <v>29</v>
      </c>
      <c r="J295" s="30">
        <f>IFERROR(IF(COUNT(Raw_Data!BX295:CI295)=0,"",SUM(Raw_Data!BX295:CI295)),"")</f>
        <v>79</v>
      </c>
      <c r="K295" s="28">
        <f t="shared" si="28"/>
        <v>0.85048543689320388</v>
      </c>
      <c r="L295" s="28">
        <f t="shared" si="29"/>
        <v>0.14951456310679612</v>
      </c>
      <c r="M295" s="28">
        <f t="shared" si="30"/>
        <v>0.37179487179487181</v>
      </c>
      <c r="N295" s="28">
        <f t="shared" si="31"/>
        <v>1.0128205128205128</v>
      </c>
      <c r="O295" s="7" t="str">
        <f t="shared" si="32"/>
        <v>Valid</v>
      </c>
      <c r="P295" s="13" t="str">
        <f t="shared" si="33"/>
        <v>Invalid</v>
      </c>
      <c r="Q295" s="7" t="str">
        <f t="shared" si="34"/>
        <v>Invalid</v>
      </c>
    </row>
    <row r="296" spans="1:17" ht="60">
      <c r="A296" s="7" t="str">
        <f>IF(Raw_Data!A296="","",TRIM(SUBSTITUTE(CLEAN(Raw_Data!A296),CHAR(160)," ")))</f>
        <v>Kwali Local Government Area</v>
      </c>
      <c r="B296" s="7" t="str">
        <f>IF(Raw_Data!B296="","",TRIM(SUBSTITUTE(CLEAN(Raw_Data!B296),CHAR(160)," ")))</f>
        <v>Pai Ward</v>
      </c>
      <c r="C296" s="7" t="str">
        <f>IF(Raw_Data!C296="","",TRIM(SUBSTITUTE(CLEAN(Raw_Data!C296),CHAR(160)," ")))</f>
        <v>Pai Primary Health Centre</v>
      </c>
      <c r="D296" s="28">
        <f>IFERROR(IF(COUNT(Raw_Data!D296:O296)=0,"",AVERAGE(Raw_Data!D296:O296)/100),"")</f>
        <v>1</v>
      </c>
      <c r="E296" s="28">
        <f>IFERROR(IF(COUNT(Raw_Data!P296:AA296)=0,"",AVERAGE(Raw_Data!P296:AA296)/100),"")</f>
        <v>1</v>
      </c>
      <c r="F296" s="30">
        <f>IFERROR(IF(COUNT(Raw_Data!AB296:AM296)=0,"",SUM(Raw_Data!AB296:AM296)),"")</f>
        <v>436</v>
      </c>
      <c r="G296" s="30">
        <f>IFERROR(IF(COUNT(Raw_Data!AN296:AY296)=0,"",SUM(Raw_Data!AN296:AY296)),"")</f>
        <v>598</v>
      </c>
      <c r="H296" s="30">
        <f>IFERROR(IF(COUNT(Raw_Data!AZ296:BK296)=0,"",SUM(Raw_Data!AZ296:BK296)),"")</f>
        <v>80</v>
      </c>
      <c r="I296" s="30">
        <f>IFERROR(IF(COUNT(Raw_Data!BL296:BW296)=0,"",SUM(Raw_Data!BL296:BW296)),"")</f>
        <v>41</v>
      </c>
      <c r="J296" s="30" t="str">
        <f>IFERROR(IF(COUNT(Raw_Data!BX296:CI296)=0,"",SUM(Raw_Data!BX296:CI296)),"")</f>
        <v/>
      </c>
      <c r="K296" s="28">
        <f t="shared" si="28"/>
        <v>1.371559633027523</v>
      </c>
      <c r="L296" s="28">
        <f t="shared" si="29"/>
        <v>-0.37155963302752293</v>
      </c>
      <c r="M296" s="28">
        <f t="shared" si="30"/>
        <v>0.51249999999999996</v>
      </c>
      <c r="N296" s="28" t="str">
        <f t="shared" si="31"/>
        <v/>
      </c>
      <c r="O296" s="7" t="str">
        <f t="shared" si="32"/>
        <v>Invalid</v>
      </c>
      <c r="P296" s="13" t="str">
        <f t="shared" si="33"/>
        <v>Incomplete</v>
      </c>
      <c r="Q296" s="7" t="str">
        <f t="shared" si="34"/>
        <v>Incomplete</v>
      </c>
    </row>
    <row r="297" spans="1:17" ht="60">
      <c r="A297" s="7" t="str">
        <f>IF(Raw_Data!A297="","",TRIM(SUBSTITUTE(CLEAN(Raw_Data!A297),CHAR(160)," ")))</f>
        <v>Gwagwalada Local Government Area</v>
      </c>
      <c r="B297" s="7" t="str">
        <f>IF(Raw_Data!B297="","",TRIM(SUBSTITUTE(CLEAN(Raw_Data!B297),CHAR(160)," ")))</f>
        <v>Paikon Ward</v>
      </c>
      <c r="C297" s="7" t="str">
        <f>IF(Raw_Data!C297="","",TRIM(SUBSTITUTE(CLEAN(Raw_Data!C297),CHAR(160)," ")))</f>
        <v>Paikon Kore Health Clinic</v>
      </c>
      <c r="D297" s="28">
        <f>IFERROR(IF(COUNT(Raw_Data!D297:O297)=0,"",AVERAGE(Raw_Data!D297:O297)/100),"")</f>
        <v>0.93181818181818188</v>
      </c>
      <c r="E297" s="28">
        <f>IFERROR(IF(COUNT(Raw_Data!P297:AA297)=0,"",AVERAGE(Raw_Data!P297:AA297)/100),"")</f>
        <v>0.85</v>
      </c>
      <c r="F297" s="30">
        <f>IFERROR(IF(COUNT(Raw_Data!AB297:AM297)=0,"",SUM(Raw_Data!AB297:AM297)),"")</f>
        <v>506</v>
      </c>
      <c r="G297" s="30">
        <f>IFERROR(IF(COUNT(Raw_Data!AN297:AY297)=0,"",SUM(Raw_Data!AN297:AY297)),"")</f>
        <v>663</v>
      </c>
      <c r="H297" s="30">
        <f>IFERROR(IF(COUNT(Raw_Data!AZ297:BK297)=0,"",SUM(Raw_Data!AZ297:BK297)),"")</f>
        <v>183</v>
      </c>
      <c r="I297" s="30">
        <f>IFERROR(IF(COUNT(Raw_Data!BL297:BW297)=0,"",SUM(Raw_Data!BL297:BW297)),"")</f>
        <v>107</v>
      </c>
      <c r="J297" s="30">
        <f>IFERROR(IF(COUNT(Raw_Data!BX297:CI297)=0,"",SUM(Raw_Data!BX297:CI297)),"")</f>
        <v>5</v>
      </c>
      <c r="K297" s="28">
        <f t="shared" si="28"/>
        <v>1.3102766798418972</v>
      </c>
      <c r="L297" s="28">
        <f t="shared" si="29"/>
        <v>-0.31027667984189722</v>
      </c>
      <c r="M297" s="28">
        <f t="shared" si="30"/>
        <v>0.58469945355191255</v>
      </c>
      <c r="N297" s="28">
        <f t="shared" si="31"/>
        <v>2.7322404371584699E-2</v>
      </c>
      <c r="O297" s="7" t="str">
        <f t="shared" si="32"/>
        <v>Invalid</v>
      </c>
      <c r="P297" s="13" t="str">
        <f t="shared" si="33"/>
        <v>Valid</v>
      </c>
      <c r="Q297" s="7" t="str">
        <f t="shared" si="34"/>
        <v>Invalid</v>
      </c>
    </row>
    <row r="298" spans="1:17" ht="60">
      <c r="A298" s="7" t="str">
        <f>IF(Raw_Data!A298="","",TRIM(SUBSTITUTE(CLEAN(Raw_Data!A298),CHAR(160)," ")))</f>
        <v>Abuja Municipal Area Council</v>
      </c>
      <c r="B298" s="7" t="str">
        <f>IF(Raw_Data!B298="","",TRIM(SUBSTITUTE(CLEAN(Raw_Data!B298),CHAR(160)," ")))</f>
        <v>Nyanya Ward</v>
      </c>
      <c r="C298" s="7" t="str">
        <f>IF(Raw_Data!C298="","",TRIM(SUBSTITUTE(CLEAN(Raw_Data!C298),CHAR(160)," ")))</f>
        <v>Pan Raf Hospital</v>
      </c>
      <c r="D298" s="28">
        <f>IFERROR(IF(COUNT(Raw_Data!D298:O298)=0,"",AVERAGE(Raw_Data!D298:O298)/100),"")</f>
        <v>1</v>
      </c>
      <c r="E298" s="28">
        <f>IFERROR(IF(COUNT(Raw_Data!P298:AA298)=0,"",AVERAGE(Raw_Data!P298:AA298)/100),"")</f>
        <v>1</v>
      </c>
      <c r="F298" s="30">
        <f>IFERROR(IF(COUNT(Raw_Data!AB298:AM298)=0,"",SUM(Raw_Data!AB298:AM298)),"")</f>
        <v>239</v>
      </c>
      <c r="G298" s="30">
        <f>IFERROR(IF(COUNT(Raw_Data!AN298:AY298)=0,"",SUM(Raw_Data!AN298:AY298)),"")</f>
        <v>230</v>
      </c>
      <c r="H298" s="30">
        <f>IFERROR(IF(COUNT(Raw_Data!AZ298:BK298)=0,"",SUM(Raw_Data!AZ298:BK298)),"")</f>
        <v>132</v>
      </c>
      <c r="I298" s="30">
        <f>IFERROR(IF(COUNT(Raw_Data!BL298:BW298)=0,"",SUM(Raw_Data!BL298:BW298)),"")</f>
        <v>120</v>
      </c>
      <c r="J298" s="30">
        <f>IFERROR(IF(COUNT(Raw_Data!BX298:CI298)=0,"",SUM(Raw_Data!BX298:CI298)),"")</f>
        <v>54</v>
      </c>
      <c r="K298" s="28">
        <f t="shared" si="28"/>
        <v>0.96234309623430958</v>
      </c>
      <c r="L298" s="28">
        <f t="shared" si="29"/>
        <v>3.7656903765690378E-2</v>
      </c>
      <c r="M298" s="28">
        <f t="shared" si="30"/>
        <v>0.90909090909090906</v>
      </c>
      <c r="N298" s="28">
        <f t="shared" si="31"/>
        <v>0.40909090909090912</v>
      </c>
      <c r="O298" s="7" t="str">
        <f t="shared" si="32"/>
        <v>Valid</v>
      </c>
      <c r="P298" s="13" t="str">
        <f t="shared" si="33"/>
        <v>Valid</v>
      </c>
      <c r="Q298" s="7" t="str">
        <f t="shared" si="34"/>
        <v>Valid</v>
      </c>
    </row>
    <row r="299" spans="1:17" ht="60">
      <c r="A299" s="7" t="str">
        <f>IF(Raw_Data!A299="","",TRIM(SUBSTITUTE(CLEAN(Raw_Data!A299),CHAR(160)," ")))</f>
        <v>Abaji Local Government Area</v>
      </c>
      <c r="B299" s="7" t="str">
        <f>IF(Raw_Data!B299="","",TRIM(SUBSTITUTE(CLEAN(Raw_Data!B299),CHAR(160)," ")))</f>
        <v>Pandagi Agyana Ward</v>
      </c>
      <c r="C299" s="7" t="str">
        <f>IF(Raw_Data!C299="","",TRIM(SUBSTITUTE(CLEAN(Raw_Data!C299),CHAR(160)," ")))</f>
        <v>Pandagi Primary Healh Clinic</v>
      </c>
      <c r="D299" s="28">
        <f>IFERROR(IF(COUNT(Raw_Data!D299:O299)=0,"",AVERAGE(Raw_Data!D299:O299)/100),"")</f>
        <v>0.96363636363636362</v>
      </c>
      <c r="E299" s="28">
        <f>IFERROR(IF(COUNT(Raw_Data!P299:AA299)=0,"",AVERAGE(Raw_Data!P299:AA299)/100),"")</f>
        <v>0.94</v>
      </c>
      <c r="F299" s="30">
        <f>IFERROR(IF(COUNT(Raw_Data!AB299:AM299)=0,"",SUM(Raw_Data!AB299:AM299)),"")</f>
        <v>173</v>
      </c>
      <c r="G299" s="30">
        <f>IFERROR(IF(COUNT(Raw_Data!AN299:AY299)=0,"",SUM(Raw_Data!AN299:AY299)),"")</f>
        <v>167</v>
      </c>
      <c r="H299" s="30">
        <f>IFERROR(IF(COUNT(Raw_Data!AZ299:BK299)=0,"",SUM(Raw_Data!AZ299:BK299)),"")</f>
        <v>100</v>
      </c>
      <c r="I299" s="30">
        <f>IFERROR(IF(COUNT(Raw_Data!BL299:BW299)=0,"",SUM(Raw_Data!BL299:BW299)),"")</f>
        <v>29</v>
      </c>
      <c r="J299" s="30">
        <f>IFERROR(IF(COUNT(Raw_Data!BX299:CI299)=0,"",SUM(Raw_Data!BX299:CI299)),"")</f>
        <v>2</v>
      </c>
      <c r="K299" s="28">
        <f t="shared" si="28"/>
        <v>0.96531791907514453</v>
      </c>
      <c r="L299" s="28">
        <f t="shared" si="29"/>
        <v>3.4682080924855488E-2</v>
      </c>
      <c r="M299" s="28">
        <f t="shared" si="30"/>
        <v>0.28999999999999998</v>
      </c>
      <c r="N299" s="28">
        <f t="shared" si="31"/>
        <v>0.02</v>
      </c>
      <c r="O299" s="7" t="str">
        <f t="shared" si="32"/>
        <v>Valid</v>
      </c>
      <c r="P299" s="13" t="str">
        <f t="shared" si="33"/>
        <v>Valid</v>
      </c>
      <c r="Q299" s="7" t="str">
        <f t="shared" si="34"/>
        <v>Valid</v>
      </c>
    </row>
    <row r="300" spans="1:17" ht="75">
      <c r="A300" s="7" t="str">
        <f>IF(Raw_Data!A300="","",TRIM(SUBSTITUTE(CLEAN(Raw_Data!A300),CHAR(160)," ")))</f>
        <v>Kwali Local Government Area</v>
      </c>
      <c r="B300" s="7" t="str">
        <f>IF(Raw_Data!B300="","",TRIM(SUBSTITUTE(CLEAN(Raw_Data!B300),CHAR(160)," ")))</f>
        <v>Dafa Ward</v>
      </c>
      <c r="C300" s="7" t="str">
        <f>IF(Raw_Data!C300="","",TRIM(SUBSTITUTE(CLEAN(Raw_Data!C300),CHAR(160)," ")))</f>
        <v>Pangu Masalaci Primary Health Clinic</v>
      </c>
      <c r="D300" s="28">
        <f>IFERROR(IF(COUNT(Raw_Data!D300:O300)=0,"",AVERAGE(Raw_Data!D300:O300)/100),"")</f>
        <v>1.2749999999999999</v>
      </c>
      <c r="E300" s="28">
        <f>IFERROR(IF(COUNT(Raw_Data!P300:AA300)=0,"",AVERAGE(Raw_Data!P300:AA300)/100),"")</f>
        <v>0.80555555555555558</v>
      </c>
      <c r="F300" s="30">
        <f>IFERROR(IF(COUNT(Raw_Data!AB300:AM300)=0,"",SUM(Raw_Data!AB300:AM300)),"")</f>
        <v>154</v>
      </c>
      <c r="G300" s="30">
        <f>IFERROR(IF(COUNT(Raw_Data!AN300:AY300)=0,"",SUM(Raw_Data!AN300:AY300)),"")</f>
        <v>186</v>
      </c>
      <c r="H300" s="30">
        <f>IFERROR(IF(COUNT(Raw_Data!AZ300:BK300)=0,"",SUM(Raw_Data!AZ300:BK300)),"")</f>
        <v>101</v>
      </c>
      <c r="I300" s="30">
        <f>IFERROR(IF(COUNT(Raw_Data!BL300:BW300)=0,"",SUM(Raw_Data!BL300:BW300)),"")</f>
        <v>42</v>
      </c>
      <c r="J300" s="30" t="str">
        <f>IFERROR(IF(COUNT(Raw_Data!BX300:CI300)=0,"",SUM(Raw_Data!BX300:CI300)),"")</f>
        <v/>
      </c>
      <c r="K300" s="28">
        <f t="shared" si="28"/>
        <v>1.2077922077922079</v>
      </c>
      <c r="L300" s="28">
        <f t="shared" si="29"/>
        <v>-0.20779220779220781</v>
      </c>
      <c r="M300" s="28">
        <f t="shared" si="30"/>
        <v>0.41584158415841582</v>
      </c>
      <c r="N300" s="28" t="str">
        <f t="shared" si="31"/>
        <v/>
      </c>
      <c r="O300" s="7" t="str">
        <f t="shared" si="32"/>
        <v>Invalid</v>
      </c>
      <c r="P300" s="13" t="str">
        <f t="shared" si="33"/>
        <v>Incomplete</v>
      </c>
      <c r="Q300" s="7" t="str">
        <f t="shared" si="34"/>
        <v>Incomplete</v>
      </c>
    </row>
    <row r="301" spans="1:17" ht="75">
      <c r="A301" s="7" t="str">
        <f>IF(Raw_Data!A301="","",TRIM(SUBSTITUTE(CLEAN(Raw_Data!A301),CHAR(160)," ")))</f>
        <v>Bwari Local Government Area</v>
      </c>
      <c r="B301" s="7" t="str">
        <f>IF(Raw_Data!B301="","",TRIM(SUBSTITUTE(CLEAN(Raw_Data!B301),CHAR(160)," ")))</f>
        <v>Igu Ward</v>
      </c>
      <c r="C301" s="7" t="str">
        <f>IF(Raw_Data!C301="","",TRIM(SUBSTITUTE(CLEAN(Raw_Data!C301),CHAR(160)," ")))</f>
        <v>Panunuke Primary Health Clinic</v>
      </c>
      <c r="D301" s="28">
        <f>IFERROR(IF(COUNT(Raw_Data!D301:O301)=0,"",AVERAGE(Raw_Data!D301:O301)/100),"")</f>
        <v>0.40832999999999997</v>
      </c>
      <c r="E301" s="28">
        <f>IFERROR(IF(COUNT(Raw_Data!P301:AA301)=0,"",AVERAGE(Raw_Data!P301:AA301)/100),"")</f>
        <v>0.87879090909090907</v>
      </c>
      <c r="F301" s="30">
        <f>IFERROR(IF(COUNT(Raw_Data!AB301:AM301)=0,"",SUM(Raw_Data!AB301:AM301)),"")</f>
        <v>139</v>
      </c>
      <c r="G301" s="30">
        <f>IFERROR(IF(COUNT(Raw_Data!AN301:AY301)=0,"",SUM(Raw_Data!AN301:AY301)),"")</f>
        <v>91</v>
      </c>
      <c r="H301" s="30">
        <f>IFERROR(IF(COUNT(Raw_Data!AZ301:BK301)=0,"",SUM(Raw_Data!AZ301:BK301)),"")</f>
        <v>10</v>
      </c>
      <c r="I301" s="30" t="str">
        <f>IFERROR(IF(COUNT(Raw_Data!BL301:BW301)=0,"",SUM(Raw_Data!BL301:BW301)),"")</f>
        <v/>
      </c>
      <c r="J301" s="30" t="str">
        <f>IFERROR(IF(COUNT(Raw_Data!BX301:CI301)=0,"",SUM(Raw_Data!BX301:CI301)),"")</f>
        <v/>
      </c>
      <c r="K301" s="28">
        <f t="shared" si="28"/>
        <v>0.65467625899280579</v>
      </c>
      <c r="L301" s="28">
        <f t="shared" si="29"/>
        <v>0.34532374100719426</v>
      </c>
      <c r="M301" s="28" t="str">
        <f t="shared" si="30"/>
        <v/>
      </c>
      <c r="N301" s="28" t="str">
        <f t="shared" si="31"/>
        <v/>
      </c>
      <c r="O301" s="7" t="str">
        <f t="shared" si="32"/>
        <v>Valid</v>
      </c>
      <c r="P301" s="13" t="str">
        <f t="shared" si="33"/>
        <v>Incomplete</v>
      </c>
      <c r="Q301" s="7" t="str">
        <f t="shared" si="34"/>
        <v>Incomplete</v>
      </c>
    </row>
    <row r="302" spans="1:17" ht="60">
      <c r="A302" s="7" t="str">
        <f>IF(Raw_Data!A302="","",TRIM(SUBSTITUTE(CLEAN(Raw_Data!A302),CHAR(160)," ")))</f>
        <v>Gwagwalada Local Government Area</v>
      </c>
      <c r="B302" s="7" t="str">
        <f>IF(Raw_Data!B302="","",TRIM(SUBSTITUTE(CLEAN(Raw_Data!B302),CHAR(160)," ")))</f>
        <v>Paikon Ward</v>
      </c>
      <c r="C302" s="7" t="str">
        <f>IF(Raw_Data!C302="","",TRIM(SUBSTITUTE(CLEAN(Raw_Data!C302),CHAR(160)," ")))</f>
        <v>Passo Primary Health Clinic</v>
      </c>
      <c r="D302" s="28">
        <f>IFERROR(IF(COUNT(Raw_Data!D302:O302)=0,"",AVERAGE(Raw_Data!D302:O302)/100),"")</f>
        <v>1</v>
      </c>
      <c r="E302" s="28">
        <f>IFERROR(IF(COUNT(Raw_Data!P302:AA302)=0,"",AVERAGE(Raw_Data!P302:AA302)/100),"")</f>
        <v>1</v>
      </c>
      <c r="F302" s="30">
        <f>IFERROR(IF(COUNT(Raw_Data!AB302:AM302)=0,"",SUM(Raw_Data!AB302:AM302)),"")</f>
        <v>253</v>
      </c>
      <c r="G302" s="30">
        <f>IFERROR(IF(COUNT(Raw_Data!AN302:AY302)=0,"",SUM(Raw_Data!AN302:AY302)),"")</f>
        <v>443</v>
      </c>
      <c r="H302" s="30">
        <f>IFERROR(IF(COUNT(Raw_Data!AZ302:BK302)=0,"",SUM(Raw_Data!AZ302:BK302)),"")</f>
        <v>38</v>
      </c>
      <c r="I302" s="30">
        <f>IFERROR(IF(COUNT(Raw_Data!BL302:BW302)=0,"",SUM(Raw_Data!BL302:BW302)),"")</f>
        <v>35</v>
      </c>
      <c r="J302" s="30" t="str">
        <f>IFERROR(IF(COUNT(Raw_Data!BX302:CI302)=0,"",SUM(Raw_Data!BX302:CI302)),"")</f>
        <v/>
      </c>
      <c r="K302" s="28">
        <f t="shared" si="28"/>
        <v>1.7509881422924902</v>
      </c>
      <c r="L302" s="28">
        <f t="shared" si="29"/>
        <v>-0.75098814229249011</v>
      </c>
      <c r="M302" s="28">
        <f t="shared" si="30"/>
        <v>0.92105263157894735</v>
      </c>
      <c r="N302" s="28" t="str">
        <f t="shared" si="31"/>
        <v/>
      </c>
      <c r="O302" s="7" t="str">
        <f t="shared" si="32"/>
        <v>Invalid</v>
      </c>
      <c r="P302" s="13" t="str">
        <f t="shared" si="33"/>
        <v>Incomplete</v>
      </c>
      <c r="Q302" s="7" t="str">
        <f t="shared" si="34"/>
        <v>Incomplete</v>
      </c>
    </row>
    <row r="303" spans="1:17" ht="60">
      <c r="A303" s="7" t="str">
        <f>IF(Raw_Data!A303="","",TRIM(SUBSTITUTE(CLEAN(Raw_Data!A303),CHAR(160)," ")))</f>
        <v>Abuja Municipal Area Council</v>
      </c>
      <c r="B303" s="7" t="str">
        <f>IF(Raw_Data!B303="","",TRIM(SUBSTITUTE(CLEAN(Raw_Data!B303),CHAR(160)," ")))</f>
        <v>Gwarimpa Ward</v>
      </c>
      <c r="C303" s="7" t="str">
        <f>IF(Raw_Data!C303="","",TRIM(SUBSTITUTE(CLEAN(Raw_Data!C303),CHAR(160)," ")))</f>
        <v>Peace Care Clinic</v>
      </c>
      <c r="D303" s="28">
        <f>IFERROR(IF(COUNT(Raw_Data!D303:O303)=0,"",AVERAGE(Raw_Data!D303:O303)/100),"")</f>
        <v>1</v>
      </c>
      <c r="E303" s="28" t="str">
        <f>IFERROR(IF(COUNT(Raw_Data!P303:AA303)=0,"",AVERAGE(Raw_Data!P303:AA303)/100),"")</f>
        <v/>
      </c>
      <c r="F303" s="30">
        <f>IFERROR(IF(COUNT(Raw_Data!AB303:AM303)=0,"",SUM(Raw_Data!AB303:AM303)),"")</f>
        <v>52</v>
      </c>
      <c r="G303" s="30">
        <f>IFERROR(IF(COUNT(Raw_Data!AN303:AY303)=0,"",SUM(Raw_Data!AN303:AY303)),"")</f>
        <v>58</v>
      </c>
      <c r="H303" s="30">
        <f>IFERROR(IF(COUNT(Raw_Data!AZ303:BK303)=0,"",SUM(Raw_Data!AZ303:BK303)),"")</f>
        <v>62</v>
      </c>
      <c r="I303" s="30">
        <f>IFERROR(IF(COUNT(Raw_Data!BL303:BW303)=0,"",SUM(Raw_Data!BL303:BW303)),"")</f>
        <v>47</v>
      </c>
      <c r="J303" s="30">
        <f>IFERROR(IF(COUNT(Raw_Data!BX303:CI303)=0,"",SUM(Raw_Data!BX303:CI303)),"")</f>
        <v>12</v>
      </c>
      <c r="K303" s="28">
        <f t="shared" si="28"/>
        <v>1.1153846153846154</v>
      </c>
      <c r="L303" s="28">
        <f t="shared" si="29"/>
        <v>-0.11538461538461539</v>
      </c>
      <c r="M303" s="28">
        <f t="shared" si="30"/>
        <v>0.75806451612903225</v>
      </c>
      <c r="N303" s="28">
        <f t="shared" si="31"/>
        <v>0.19354838709677419</v>
      </c>
      <c r="O303" s="7" t="str">
        <f t="shared" si="32"/>
        <v>Invalid</v>
      </c>
      <c r="P303" s="13" t="str">
        <f t="shared" si="33"/>
        <v>Valid</v>
      </c>
      <c r="Q303" s="7" t="str">
        <f t="shared" si="34"/>
        <v>Invalid</v>
      </c>
    </row>
    <row r="304" spans="1:17" ht="60">
      <c r="A304" s="7" t="str">
        <f>IF(Raw_Data!A304="","",TRIM(SUBSTITUTE(CLEAN(Raw_Data!A304),CHAR(160)," ")))</f>
        <v>Kwali Local Government Area</v>
      </c>
      <c r="B304" s="7" t="str">
        <f>IF(Raw_Data!B304="","",TRIM(SUBSTITUTE(CLEAN(Raw_Data!B304),CHAR(160)," ")))</f>
        <v>Kilankwa Ward</v>
      </c>
      <c r="C304" s="7" t="str">
        <f>IF(Raw_Data!C304="","",TRIM(SUBSTITUTE(CLEAN(Raw_Data!C304),CHAR(160)," ")))</f>
        <v>Petti Primary Health Centre</v>
      </c>
      <c r="D304" s="28">
        <f>IFERROR(IF(COUNT(Raw_Data!D304:O304)=0,"",AVERAGE(Raw_Data!D304:O304)/100),"")</f>
        <v>0.97499999999999998</v>
      </c>
      <c r="E304" s="28">
        <f>IFERROR(IF(COUNT(Raw_Data!P304:AA304)=0,"",AVERAGE(Raw_Data!P304:AA304)/100),"")</f>
        <v>2.0625</v>
      </c>
      <c r="F304" s="30">
        <f>IFERROR(IF(COUNT(Raw_Data!AB304:AM304)=0,"",SUM(Raw_Data!AB304:AM304)),"")</f>
        <v>95</v>
      </c>
      <c r="G304" s="30">
        <f>IFERROR(IF(COUNT(Raw_Data!AN304:AY304)=0,"",SUM(Raw_Data!AN304:AY304)),"")</f>
        <v>93</v>
      </c>
      <c r="H304" s="30">
        <f>IFERROR(IF(COUNT(Raw_Data!AZ304:BK304)=0,"",SUM(Raw_Data!AZ304:BK304)),"")</f>
        <v>20</v>
      </c>
      <c r="I304" s="30" t="str">
        <f>IFERROR(IF(COUNT(Raw_Data!BL304:BW304)=0,"",SUM(Raw_Data!BL304:BW304)),"")</f>
        <v/>
      </c>
      <c r="J304" s="30" t="str">
        <f>IFERROR(IF(COUNT(Raw_Data!BX304:CI304)=0,"",SUM(Raw_Data!BX304:CI304)),"")</f>
        <v/>
      </c>
      <c r="K304" s="28">
        <f t="shared" si="28"/>
        <v>0.97894736842105268</v>
      </c>
      <c r="L304" s="28">
        <f t="shared" si="29"/>
        <v>2.1052631578947368E-2</v>
      </c>
      <c r="M304" s="28" t="str">
        <f t="shared" si="30"/>
        <v/>
      </c>
      <c r="N304" s="28" t="str">
        <f t="shared" si="31"/>
        <v/>
      </c>
      <c r="O304" s="7" t="str">
        <f t="shared" si="32"/>
        <v>Valid</v>
      </c>
      <c r="P304" s="13" t="str">
        <f t="shared" si="33"/>
        <v>Incomplete</v>
      </c>
      <c r="Q304" s="7" t="str">
        <f t="shared" si="34"/>
        <v>Incomplete</v>
      </c>
    </row>
    <row r="305" spans="1:17" ht="75">
      <c r="A305" s="7" t="str">
        <f>IF(Raw_Data!A305="","",TRIM(SUBSTITUTE(CLEAN(Raw_Data!A305),CHAR(160)," ")))</f>
        <v>Gwagwalada Local Government Area</v>
      </c>
      <c r="B305" s="7" t="str">
        <f>IF(Raw_Data!B305="","",TRIM(SUBSTITUTE(CLEAN(Raw_Data!B305),CHAR(160)," ")))</f>
        <v>Quarters Ward</v>
      </c>
      <c r="C305" s="7" t="str">
        <f>IF(Raw_Data!C305="","",TRIM(SUBSTITUTE(CLEAN(Raw_Data!C305),CHAR(160)," ")))</f>
        <v>Phase 3 Quarters Primary health clinic</v>
      </c>
      <c r="D305" s="28">
        <f>IFERROR(IF(COUNT(Raw_Data!D305:O305)=0,"",AVERAGE(Raw_Data!D305:O305)/100),"")</f>
        <v>0.875</v>
      </c>
      <c r="E305" s="28">
        <f>IFERROR(IF(COUNT(Raw_Data!P305:AA305)=0,"",AVERAGE(Raw_Data!P305:AA305)/100),"")</f>
        <v>0.8571428571428571</v>
      </c>
      <c r="F305" s="30">
        <f>IFERROR(IF(COUNT(Raw_Data!AB305:AM305)=0,"",SUM(Raw_Data!AB305:AM305)),"")</f>
        <v>110</v>
      </c>
      <c r="G305" s="30">
        <f>IFERROR(IF(COUNT(Raw_Data!AN305:AY305)=0,"",SUM(Raw_Data!AN305:AY305)),"")</f>
        <v>1994</v>
      </c>
      <c r="H305" s="30">
        <f>IFERROR(IF(COUNT(Raw_Data!AZ305:BK305)=0,"",SUM(Raw_Data!AZ305:BK305)),"")</f>
        <v>58</v>
      </c>
      <c r="I305" s="30">
        <f>IFERROR(IF(COUNT(Raw_Data!BL305:BW305)=0,"",SUM(Raw_Data!BL305:BW305)),"")</f>
        <v>17</v>
      </c>
      <c r="J305" s="30">
        <f>IFERROR(IF(COUNT(Raw_Data!BX305:CI305)=0,"",SUM(Raw_Data!BX305:CI305)),"")</f>
        <v>2</v>
      </c>
      <c r="K305" s="28">
        <f t="shared" si="28"/>
        <v>18.127272727272729</v>
      </c>
      <c r="L305" s="28">
        <f t="shared" si="29"/>
        <v>-17.127272727272729</v>
      </c>
      <c r="M305" s="28">
        <f t="shared" si="30"/>
        <v>0.29310344827586204</v>
      </c>
      <c r="N305" s="28">
        <f t="shared" si="31"/>
        <v>3.4482758620689655E-2</v>
      </c>
      <c r="O305" s="7" t="str">
        <f t="shared" si="32"/>
        <v>Invalid</v>
      </c>
      <c r="P305" s="13" t="str">
        <f t="shared" si="33"/>
        <v>Valid</v>
      </c>
      <c r="Q305" s="7" t="str">
        <f t="shared" si="34"/>
        <v>Invalid</v>
      </c>
    </row>
    <row r="306" spans="1:17" ht="60">
      <c r="A306" s="7" t="str">
        <f>IF(Raw_Data!A306="","",TRIM(SUBSTITUTE(CLEAN(Raw_Data!A306),CHAR(160)," ")))</f>
        <v>Abuja Municipal Area Council</v>
      </c>
      <c r="B306" s="7" t="str">
        <f>IF(Raw_Data!B306="","",TRIM(SUBSTITUTE(CLEAN(Raw_Data!B306),CHAR(160)," ")))</f>
        <v>Garki Ward</v>
      </c>
      <c r="C306" s="7" t="str">
        <f>IF(Raw_Data!C306="","",TRIM(SUBSTITUTE(CLEAN(Raw_Data!C306),CHAR(160)," ")))</f>
        <v>Pigba Medical Centre</v>
      </c>
      <c r="D306" s="28">
        <f>IFERROR(IF(COUNT(Raw_Data!D306:O306)=0,"",AVERAGE(Raw_Data!D306:O306)/100),"")</f>
        <v>1</v>
      </c>
      <c r="E306" s="28">
        <f>IFERROR(IF(COUNT(Raw_Data!P306:AA306)=0,"",AVERAGE(Raw_Data!P306:AA306)/100),"")</f>
        <v>0.4</v>
      </c>
      <c r="F306" s="30">
        <f>IFERROR(IF(COUNT(Raw_Data!AB306:AM306)=0,"",SUM(Raw_Data!AB306:AM306)),"")</f>
        <v>39</v>
      </c>
      <c r="G306" s="30">
        <f>IFERROR(IF(COUNT(Raw_Data!AN306:AY306)=0,"",SUM(Raw_Data!AN306:AY306)),"")</f>
        <v>33</v>
      </c>
      <c r="H306" s="30">
        <f>IFERROR(IF(COUNT(Raw_Data!AZ306:BK306)=0,"",SUM(Raw_Data!AZ306:BK306)),"")</f>
        <v>10</v>
      </c>
      <c r="I306" s="30">
        <f>IFERROR(IF(COUNT(Raw_Data!BL306:BW306)=0,"",SUM(Raw_Data!BL306:BW306)),"")</f>
        <v>15</v>
      </c>
      <c r="J306" s="30" t="str">
        <f>IFERROR(IF(COUNT(Raw_Data!BX306:CI306)=0,"",SUM(Raw_Data!BX306:CI306)),"")</f>
        <v/>
      </c>
      <c r="K306" s="28">
        <f t="shared" si="28"/>
        <v>0.84615384615384615</v>
      </c>
      <c r="L306" s="28">
        <f t="shared" si="29"/>
        <v>0.15384615384615385</v>
      </c>
      <c r="M306" s="28">
        <f t="shared" si="30"/>
        <v>1.5</v>
      </c>
      <c r="N306" s="28" t="str">
        <f t="shared" si="31"/>
        <v/>
      </c>
      <c r="O306" s="7" t="str">
        <f t="shared" si="32"/>
        <v>Valid</v>
      </c>
      <c r="P306" s="13" t="str">
        <f t="shared" si="33"/>
        <v>Incomplete</v>
      </c>
      <c r="Q306" s="7" t="str">
        <f t="shared" si="34"/>
        <v>Incomplete</v>
      </c>
    </row>
    <row r="307" spans="1:17" ht="60">
      <c r="A307" s="7" t="str">
        <f>IF(Raw_Data!A307="","",TRIM(SUBSTITUTE(CLEAN(Raw_Data!A307),CHAR(160)," ")))</f>
        <v>Bwari Local Government Area</v>
      </c>
      <c r="B307" s="7" t="str">
        <f>IF(Raw_Data!B307="","",TRIM(SUBSTITUTE(CLEAN(Raw_Data!B307),CHAR(160)," ")))</f>
        <v>Shere Ward</v>
      </c>
      <c r="C307" s="7" t="str">
        <f>IF(Raw_Data!C307="","",TRIM(SUBSTITUTE(CLEAN(Raw_Data!C307),CHAR(160)," ")))</f>
        <v>Piko Primary Health Clinic</v>
      </c>
      <c r="D307" s="28">
        <f>IFERROR(IF(COUNT(Raw_Data!D307:O307)=0,"",AVERAGE(Raw_Data!D307:O307)/100),"")</f>
        <v>1</v>
      </c>
      <c r="E307" s="28">
        <f>IFERROR(IF(COUNT(Raw_Data!P307:AA307)=0,"",AVERAGE(Raw_Data!P307:AA307)/100),"")</f>
        <v>1</v>
      </c>
      <c r="F307" s="30">
        <f>IFERROR(IF(COUNT(Raw_Data!AB307:AM307)=0,"",SUM(Raw_Data!AB307:AM307)),"")</f>
        <v>111</v>
      </c>
      <c r="G307" s="30">
        <f>IFERROR(IF(COUNT(Raw_Data!AN307:AY307)=0,"",SUM(Raw_Data!AN307:AY307)),"")</f>
        <v>74</v>
      </c>
      <c r="H307" s="30">
        <f>IFERROR(IF(COUNT(Raw_Data!AZ307:BK307)=0,"",SUM(Raw_Data!AZ307:BK307)),"")</f>
        <v>43</v>
      </c>
      <c r="I307" s="30">
        <f>IFERROR(IF(COUNT(Raw_Data!BL307:BW307)=0,"",SUM(Raw_Data!BL307:BW307)),"")</f>
        <v>13</v>
      </c>
      <c r="J307" s="30">
        <f>IFERROR(IF(COUNT(Raw_Data!BX307:CI307)=0,"",SUM(Raw_Data!BX307:CI307)),"")</f>
        <v>15</v>
      </c>
      <c r="K307" s="28">
        <f t="shared" si="28"/>
        <v>0.66666666666666663</v>
      </c>
      <c r="L307" s="28">
        <f t="shared" si="29"/>
        <v>0.33333333333333331</v>
      </c>
      <c r="M307" s="28">
        <f t="shared" si="30"/>
        <v>0.30232558139534882</v>
      </c>
      <c r="N307" s="28">
        <f t="shared" si="31"/>
        <v>0.34883720930232559</v>
      </c>
      <c r="O307" s="7" t="str">
        <f t="shared" si="32"/>
        <v>Valid</v>
      </c>
      <c r="P307" s="13" t="str">
        <f t="shared" si="33"/>
        <v>Invalid</v>
      </c>
      <c r="Q307" s="7" t="str">
        <f t="shared" si="34"/>
        <v>Invalid</v>
      </c>
    </row>
    <row r="308" spans="1:17" ht="60">
      <c r="A308" s="7" t="str">
        <f>IF(Raw_Data!A308="","",TRIM(SUBSTITUTE(CLEAN(Raw_Data!A308),CHAR(160)," ")))</f>
        <v>Abaji Local Government Area</v>
      </c>
      <c r="B308" s="7" t="str">
        <f>IF(Raw_Data!B308="","",TRIM(SUBSTITUTE(CLEAN(Raw_Data!B308),CHAR(160)," ")))</f>
        <v>North East Ward</v>
      </c>
      <c r="C308" s="7" t="str">
        <f>IF(Raw_Data!C308="","",TRIM(SUBSTITUTE(CLEAN(Raw_Data!C308),CHAR(160)," ")))</f>
        <v>Pipeline Primary Health Centre</v>
      </c>
      <c r="D308" s="28">
        <f>IFERROR(IF(COUNT(Raw_Data!D308:O308)=0,"",AVERAGE(Raw_Data!D308:O308)/100),"")</f>
        <v>0.97499999999999998</v>
      </c>
      <c r="E308" s="28">
        <f>IFERROR(IF(COUNT(Raw_Data!P308:AA308)=0,"",AVERAGE(Raw_Data!P308:AA308)/100),"")</f>
        <v>1.0083399999999998</v>
      </c>
      <c r="F308" s="30">
        <f>IFERROR(IF(COUNT(Raw_Data!AB308:AM308)=0,"",SUM(Raw_Data!AB308:AM308)),"")</f>
        <v>194</v>
      </c>
      <c r="G308" s="30">
        <f>IFERROR(IF(COUNT(Raw_Data!AN308:AY308)=0,"",SUM(Raw_Data!AN308:AY308)),"")</f>
        <v>155</v>
      </c>
      <c r="H308" s="30">
        <f>IFERROR(IF(COUNT(Raw_Data!AZ308:BK308)=0,"",SUM(Raw_Data!AZ308:BK308)),"")</f>
        <v>19</v>
      </c>
      <c r="I308" s="30">
        <f>IFERROR(IF(COUNT(Raw_Data!BL308:BW308)=0,"",SUM(Raw_Data!BL308:BW308)),"")</f>
        <v>3</v>
      </c>
      <c r="J308" s="30" t="str">
        <f>IFERROR(IF(COUNT(Raw_Data!BX308:CI308)=0,"",SUM(Raw_Data!BX308:CI308)),"")</f>
        <v/>
      </c>
      <c r="K308" s="28">
        <f t="shared" si="28"/>
        <v>0.7989690721649485</v>
      </c>
      <c r="L308" s="28">
        <f t="shared" si="29"/>
        <v>0.20103092783505155</v>
      </c>
      <c r="M308" s="28">
        <f t="shared" si="30"/>
        <v>0.15789473684210525</v>
      </c>
      <c r="N308" s="28" t="str">
        <f t="shared" si="31"/>
        <v/>
      </c>
      <c r="O308" s="7" t="str">
        <f t="shared" si="32"/>
        <v>Valid</v>
      </c>
      <c r="P308" s="13" t="str">
        <f t="shared" si="33"/>
        <v>Incomplete</v>
      </c>
      <c r="Q308" s="7" t="str">
        <f t="shared" si="34"/>
        <v>Incomplete</v>
      </c>
    </row>
    <row r="309" spans="1:17" ht="60">
      <c r="A309" s="7" t="str">
        <f>IF(Raw_Data!A309="","",TRIM(SUBSTITUTE(CLEAN(Raw_Data!A309),CHAR(160)," ")))</f>
        <v>Kwali Local Government Area</v>
      </c>
      <c r="B309" s="7" t="str">
        <f>IF(Raw_Data!B309="","",TRIM(SUBSTITUTE(CLEAN(Raw_Data!B309),CHAR(160)," ")))</f>
        <v>Gumbo Ward</v>
      </c>
      <c r="C309" s="7" t="str">
        <f>IF(Raw_Data!C309="","",TRIM(SUBSTITUTE(CLEAN(Raw_Data!C309),CHAR(160)," ")))</f>
        <v>Piri Health Clinic</v>
      </c>
      <c r="D309" s="28">
        <f>IFERROR(IF(COUNT(Raw_Data!D309:O309)=0,"",AVERAGE(Raw_Data!D309:O309)/100),"")</f>
        <v>0.98333000000000004</v>
      </c>
      <c r="E309" s="28">
        <f>IFERROR(IF(COUNT(Raw_Data!P309:AA309)=0,"",AVERAGE(Raw_Data!P309:AA309)/100),"")</f>
        <v>0.82499999999999996</v>
      </c>
      <c r="F309" s="30">
        <f>IFERROR(IF(COUNT(Raw_Data!AB309:AM309)=0,"",SUM(Raw_Data!AB309:AM309)),"")</f>
        <v>309</v>
      </c>
      <c r="G309" s="30">
        <f>IFERROR(IF(COUNT(Raw_Data!AN309:AY309)=0,"",SUM(Raw_Data!AN309:AY309)),"")</f>
        <v>307</v>
      </c>
      <c r="H309" s="30">
        <f>IFERROR(IF(COUNT(Raw_Data!AZ309:BK309)=0,"",SUM(Raw_Data!AZ309:BK309)),"")</f>
        <v>82</v>
      </c>
      <c r="I309" s="30">
        <f>IFERROR(IF(COUNT(Raw_Data!BL309:BW309)=0,"",SUM(Raw_Data!BL309:BW309)),"")</f>
        <v>29</v>
      </c>
      <c r="J309" s="30">
        <f>IFERROR(IF(COUNT(Raw_Data!BX309:CI309)=0,"",SUM(Raw_Data!BX309:CI309)),"")</f>
        <v>2</v>
      </c>
      <c r="K309" s="28">
        <f t="shared" si="28"/>
        <v>0.99352750809061485</v>
      </c>
      <c r="L309" s="28">
        <f t="shared" si="29"/>
        <v>6.4724919093851136E-3</v>
      </c>
      <c r="M309" s="28">
        <f t="shared" si="30"/>
        <v>0.35365853658536583</v>
      </c>
      <c r="N309" s="28">
        <f t="shared" si="31"/>
        <v>2.4390243902439025E-2</v>
      </c>
      <c r="O309" s="7" t="str">
        <f t="shared" si="32"/>
        <v>Valid</v>
      </c>
      <c r="P309" s="13" t="str">
        <f t="shared" si="33"/>
        <v>Valid</v>
      </c>
      <c r="Q309" s="7" t="str">
        <f t="shared" si="34"/>
        <v>Valid</v>
      </c>
    </row>
    <row r="310" spans="1:17" ht="60">
      <c r="A310" s="7" t="str">
        <f>IF(Raw_Data!A310="","",TRIM(SUBSTITUTE(CLEAN(Raw_Data!A310),CHAR(160)," ")))</f>
        <v>Abuja Municipal Area Council</v>
      </c>
      <c r="B310" s="7" t="str">
        <f>IF(Raw_Data!B310="","",TRIM(SUBSTITUTE(CLEAN(Raw_Data!B310),CHAR(160)," ")))</f>
        <v>Gwarimpa Ward</v>
      </c>
      <c r="C310" s="7" t="str">
        <f>IF(Raw_Data!C310="","",TRIM(SUBSTITUTE(CLEAN(Raw_Data!C310),CHAR(160)," ")))</f>
        <v>Piwoyi Primary Health Clinic</v>
      </c>
      <c r="D310" s="28">
        <f>IFERROR(IF(COUNT(Raw_Data!D310:O310)=0,"",AVERAGE(Raw_Data!D310:O310)/100),"")</f>
        <v>0.96666666666666667</v>
      </c>
      <c r="E310" s="28">
        <f>IFERROR(IF(COUNT(Raw_Data!P310:AA310)=0,"",AVERAGE(Raw_Data!P310:AA310)/100),"")</f>
        <v>0.75</v>
      </c>
      <c r="F310" s="30">
        <f>IFERROR(IF(COUNT(Raw_Data!AB310:AM310)=0,"",SUM(Raw_Data!AB310:AM310)),"")</f>
        <v>429</v>
      </c>
      <c r="G310" s="30">
        <f>IFERROR(IF(COUNT(Raw_Data!AN310:AY310)=0,"",SUM(Raw_Data!AN310:AY310)),"")</f>
        <v>416</v>
      </c>
      <c r="H310" s="30">
        <f>IFERROR(IF(COUNT(Raw_Data!AZ310:BK310)=0,"",SUM(Raw_Data!AZ310:BK310)),"")</f>
        <v>169</v>
      </c>
      <c r="I310" s="30">
        <f>IFERROR(IF(COUNT(Raw_Data!BL310:BW310)=0,"",SUM(Raw_Data!BL310:BW310)),"")</f>
        <v>83</v>
      </c>
      <c r="J310" s="30">
        <f>IFERROR(IF(COUNT(Raw_Data!BX310:CI310)=0,"",SUM(Raw_Data!BX310:CI310)),"")</f>
        <v>17</v>
      </c>
      <c r="K310" s="28">
        <f t="shared" si="28"/>
        <v>0.96969696969696972</v>
      </c>
      <c r="L310" s="28">
        <f t="shared" si="29"/>
        <v>3.0303030303030304E-2</v>
      </c>
      <c r="M310" s="28">
        <f t="shared" si="30"/>
        <v>0.4911242603550296</v>
      </c>
      <c r="N310" s="28">
        <f t="shared" si="31"/>
        <v>0.10059171597633136</v>
      </c>
      <c r="O310" s="7" t="str">
        <f t="shared" si="32"/>
        <v>Valid</v>
      </c>
      <c r="P310" s="13" t="str">
        <f t="shared" si="33"/>
        <v>Valid</v>
      </c>
      <c r="Q310" s="7" t="str">
        <f t="shared" si="34"/>
        <v>Valid</v>
      </c>
    </row>
    <row r="311" spans="1:17" ht="75">
      <c r="A311" s="7" t="str">
        <f>IF(Raw_Data!A311="","",TRIM(SUBSTITUTE(CLEAN(Raw_Data!A311),CHAR(160)," ")))</f>
        <v>Abuja Municipal Area Council</v>
      </c>
      <c r="B311" s="7" t="str">
        <f>IF(Raw_Data!B311="","",TRIM(SUBSTITUTE(CLEAN(Raw_Data!B311),CHAR(160)," ")))</f>
        <v>Kabusa Ward</v>
      </c>
      <c r="C311" s="7" t="str">
        <f>IF(Raw_Data!C311="","",TRIM(SUBSTITUTE(CLEAN(Raw_Data!C311),CHAR(160)," ")))</f>
        <v>Pyakasa Primary Health Care Center</v>
      </c>
      <c r="D311" s="28">
        <f>IFERROR(IF(COUNT(Raw_Data!D311:O311)=0,"",AVERAGE(Raw_Data!D311:O311)/100),"")</f>
        <v>0.97727272727272729</v>
      </c>
      <c r="E311" s="28" t="str">
        <f>IFERROR(IF(COUNT(Raw_Data!P311:AA311)=0,"",AVERAGE(Raw_Data!P311:AA311)/100),"")</f>
        <v/>
      </c>
      <c r="F311" s="30">
        <f>IFERROR(IF(COUNT(Raw_Data!AB311:AM311)=0,"",SUM(Raw_Data!AB311:AM311)),"")</f>
        <v>551</v>
      </c>
      <c r="G311" s="30">
        <f>IFERROR(IF(COUNT(Raw_Data!AN311:AY311)=0,"",SUM(Raw_Data!AN311:AY311)),"")</f>
        <v>534</v>
      </c>
      <c r="H311" s="30">
        <f>IFERROR(IF(COUNT(Raw_Data!AZ311:BK311)=0,"",SUM(Raw_Data!AZ311:BK311)),"")</f>
        <v>201</v>
      </c>
      <c r="I311" s="30">
        <f>IFERROR(IF(COUNT(Raw_Data!BL311:BW311)=0,"",SUM(Raw_Data!BL311:BW311)),"")</f>
        <v>96</v>
      </c>
      <c r="J311" s="30">
        <f>IFERROR(IF(COUNT(Raw_Data!BX311:CI311)=0,"",SUM(Raw_Data!BX311:CI311)),"")</f>
        <v>13</v>
      </c>
      <c r="K311" s="28">
        <f t="shared" si="28"/>
        <v>0.96914700544464605</v>
      </c>
      <c r="L311" s="28">
        <f t="shared" si="29"/>
        <v>3.0852994555353903E-2</v>
      </c>
      <c r="M311" s="28">
        <f t="shared" si="30"/>
        <v>0.47761194029850745</v>
      </c>
      <c r="N311" s="28">
        <f t="shared" si="31"/>
        <v>6.4676616915422883E-2</v>
      </c>
      <c r="O311" s="7" t="str">
        <f t="shared" si="32"/>
        <v>Valid</v>
      </c>
      <c r="P311" s="13" t="str">
        <f t="shared" si="33"/>
        <v>Valid</v>
      </c>
      <c r="Q311" s="7" t="str">
        <f t="shared" si="34"/>
        <v>Valid</v>
      </c>
    </row>
    <row r="312" spans="1:17" ht="75">
      <c r="A312" s="7" t="str">
        <f>IF(Raw_Data!A312="","",TRIM(SUBSTITUTE(CLEAN(Raw_Data!A312),CHAR(160)," ")))</f>
        <v>Abuja Municipal Area Council</v>
      </c>
      <c r="B312" s="7" t="str">
        <f>IF(Raw_Data!B312="","",TRIM(SUBSTITUTE(CLEAN(Raw_Data!B312),CHAR(160)," ")))</f>
        <v>Wuse Ward</v>
      </c>
      <c r="C312" s="7" t="str">
        <f>IF(Raw_Data!C312="","",TRIM(SUBSTITUTE(CLEAN(Raw_Data!C312),CHAR(160)," ")))</f>
        <v>Queens Clinic and Maternity</v>
      </c>
      <c r="D312" s="28">
        <f>IFERROR(IF(COUNT(Raw_Data!D312:O312)=0,"",AVERAGE(Raw_Data!D312:O312)/100),"")</f>
        <v>1</v>
      </c>
      <c r="E312" s="28" t="str">
        <f>IFERROR(IF(COUNT(Raw_Data!P312:AA312)=0,"",AVERAGE(Raw_Data!P312:AA312)/100),"")</f>
        <v/>
      </c>
      <c r="F312" s="30">
        <f>IFERROR(IF(COUNT(Raw_Data!AB312:AM312)=0,"",SUM(Raw_Data!AB312:AM312)),"")</f>
        <v>63</v>
      </c>
      <c r="G312" s="30">
        <f>IFERROR(IF(COUNT(Raw_Data!AN312:AY312)=0,"",SUM(Raw_Data!AN312:AY312)),"")</f>
        <v>59</v>
      </c>
      <c r="H312" s="30">
        <f>IFERROR(IF(COUNT(Raw_Data!AZ312:BK312)=0,"",SUM(Raw_Data!AZ312:BK312)),"")</f>
        <v>49</v>
      </c>
      <c r="I312" s="30">
        <f>IFERROR(IF(COUNT(Raw_Data!BL312:BW312)=0,"",SUM(Raw_Data!BL312:BW312)),"")</f>
        <v>73</v>
      </c>
      <c r="J312" s="30">
        <f>IFERROR(IF(COUNT(Raw_Data!BX312:CI312)=0,"",SUM(Raw_Data!BX312:CI312)),"")</f>
        <v>79</v>
      </c>
      <c r="K312" s="28">
        <f t="shared" si="28"/>
        <v>0.93650793650793651</v>
      </c>
      <c r="L312" s="28">
        <f t="shared" si="29"/>
        <v>6.3492063492063489E-2</v>
      </c>
      <c r="M312" s="28">
        <f t="shared" si="30"/>
        <v>1.489795918367347</v>
      </c>
      <c r="N312" s="28">
        <f t="shared" si="31"/>
        <v>1.6122448979591837</v>
      </c>
      <c r="O312" s="7" t="str">
        <f t="shared" si="32"/>
        <v>Valid</v>
      </c>
      <c r="P312" s="13" t="str">
        <f t="shared" si="33"/>
        <v>Invalid</v>
      </c>
      <c r="Q312" s="7" t="str">
        <f t="shared" si="34"/>
        <v>Invalid</v>
      </c>
    </row>
    <row r="313" spans="1:17" ht="75">
      <c r="A313" s="7" t="str">
        <f>IF(Raw_Data!A313="","",TRIM(SUBSTITUTE(CLEAN(Raw_Data!A313),CHAR(160)," ")))</f>
        <v>Gwagwalada Local Government Area</v>
      </c>
      <c r="B313" s="7" t="str">
        <f>IF(Raw_Data!B313="","",TRIM(SUBSTITUTE(CLEAN(Raw_Data!B313),CHAR(160)," ")))</f>
        <v>Ibwa Ward</v>
      </c>
      <c r="C313" s="7" t="str">
        <f>IF(Raw_Data!C313="","",TRIM(SUBSTITUTE(CLEAN(Raw_Data!C313),CHAR(160)," ")))</f>
        <v>Rafin Zurfi Primary Health Clinic</v>
      </c>
      <c r="D313" s="28">
        <f>IFERROR(IF(COUNT(Raw_Data!D313:O313)=0,"",AVERAGE(Raw_Data!D313:O313)/100),"")</f>
        <v>0.86363636363636365</v>
      </c>
      <c r="E313" s="28">
        <f>IFERROR(IF(COUNT(Raw_Data!P313:AA313)=0,"",AVERAGE(Raw_Data!P313:AA313)/100),"")</f>
        <v>0.88636363636363635</v>
      </c>
      <c r="F313" s="30">
        <f>IFERROR(IF(COUNT(Raw_Data!AB313:AM313)=0,"",SUM(Raw_Data!AB313:AM313)),"")</f>
        <v>493</v>
      </c>
      <c r="G313" s="30">
        <f>IFERROR(IF(COUNT(Raw_Data!AN313:AY313)=0,"",SUM(Raw_Data!AN313:AY313)),"")</f>
        <v>493</v>
      </c>
      <c r="H313" s="30">
        <f>IFERROR(IF(COUNT(Raw_Data!AZ313:BK313)=0,"",SUM(Raw_Data!AZ313:BK313)),"")</f>
        <v>88</v>
      </c>
      <c r="I313" s="30">
        <f>IFERROR(IF(COUNT(Raw_Data!BL313:BW313)=0,"",SUM(Raw_Data!BL313:BW313)),"")</f>
        <v>18</v>
      </c>
      <c r="J313" s="30" t="str">
        <f>IFERROR(IF(COUNT(Raw_Data!BX313:CI313)=0,"",SUM(Raw_Data!BX313:CI313)),"")</f>
        <v/>
      </c>
      <c r="K313" s="28">
        <f t="shared" si="28"/>
        <v>1</v>
      </c>
      <c r="L313" s="28">
        <f t="shared" si="29"/>
        <v>0</v>
      </c>
      <c r="M313" s="28">
        <f t="shared" si="30"/>
        <v>0.20454545454545456</v>
      </c>
      <c r="N313" s="28" t="str">
        <f t="shared" si="31"/>
        <v/>
      </c>
      <c r="O313" s="7" t="str">
        <f t="shared" si="32"/>
        <v>Valid</v>
      </c>
      <c r="P313" s="13" t="str">
        <f t="shared" si="33"/>
        <v>Incomplete</v>
      </c>
      <c r="Q313" s="7" t="str">
        <f t="shared" si="34"/>
        <v>Incomplete</v>
      </c>
    </row>
    <row r="314" spans="1:17" ht="60">
      <c r="A314" s="7" t="str">
        <f>IF(Raw_Data!A314="","",TRIM(SUBSTITUTE(CLEAN(Raw_Data!A314),CHAR(160)," ")))</f>
        <v>Abaji Local Government Area</v>
      </c>
      <c r="B314" s="7" t="str">
        <f>IF(Raw_Data!B314="","",TRIM(SUBSTITUTE(CLEAN(Raw_Data!B314),CHAR(160)," ")))</f>
        <v>Gurdi Ward</v>
      </c>
      <c r="C314" s="7" t="str">
        <f>IF(Raw_Data!C314="","",TRIM(SUBSTITUTE(CLEAN(Raw_Data!C314),CHAR(160)," ")))</f>
        <v>Rafindaji Primary Health Clinic</v>
      </c>
      <c r="D314" s="28">
        <f>IFERROR(IF(COUNT(Raw_Data!D314:O314)=0,"",AVERAGE(Raw_Data!D314:O314)/100),"")</f>
        <v>1.0249999999999999</v>
      </c>
      <c r="E314" s="28">
        <f>IFERROR(IF(COUNT(Raw_Data!P314:AA314)=0,"",AVERAGE(Raw_Data!P314:AA314)/100),"")</f>
        <v>1.05</v>
      </c>
      <c r="F314" s="30">
        <f>IFERROR(IF(COUNT(Raw_Data!AB314:AM314)=0,"",SUM(Raw_Data!AB314:AM314)),"")</f>
        <v>354</v>
      </c>
      <c r="G314" s="30">
        <f>IFERROR(IF(COUNT(Raw_Data!AN314:AY314)=0,"",SUM(Raw_Data!AN314:AY314)),"")</f>
        <v>362</v>
      </c>
      <c r="H314" s="30">
        <f>IFERROR(IF(COUNT(Raw_Data!AZ314:BK314)=0,"",SUM(Raw_Data!AZ314:BK314)),"")</f>
        <v>513</v>
      </c>
      <c r="I314" s="30">
        <f>IFERROR(IF(COUNT(Raw_Data!BL314:BW314)=0,"",SUM(Raw_Data!BL314:BW314)),"")</f>
        <v>118</v>
      </c>
      <c r="J314" s="30">
        <f>IFERROR(IF(COUNT(Raw_Data!BX314:CI314)=0,"",SUM(Raw_Data!BX314:CI314)),"")</f>
        <v>77</v>
      </c>
      <c r="K314" s="28">
        <f t="shared" si="28"/>
        <v>1.0225988700564972</v>
      </c>
      <c r="L314" s="28">
        <f t="shared" si="29"/>
        <v>-2.2598870056497175E-2</v>
      </c>
      <c r="M314" s="28">
        <f t="shared" si="30"/>
        <v>0.2300194931773879</v>
      </c>
      <c r="N314" s="28">
        <f t="shared" si="31"/>
        <v>0.15009746588693956</v>
      </c>
      <c r="O314" s="7" t="str">
        <f t="shared" si="32"/>
        <v>Invalid</v>
      </c>
      <c r="P314" s="13" t="str">
        <f t="shared" si="33"/>
        <v>Valid</v>
      </c>
      <c r="Q314" s="7" t="str">
        <f t="shared" si="34"/>
        <v>Invalid</v>
      </c>
    </row>
    <row r="315" spans="1:17" ht="60">
      <c r="A315" s="7" t="str">
        <f>IF(Raw_Data!A315="","",TRIM(SUBSTITUTE(CLEAN(Raw_Data!A315),CHAR(160)," ")))</f>
        <v>Kwali Local Government Area</v>
      </c>
      <c r="B315" s="7" t="str">
        <f>IF(Raw_Data!B315="","",TRIM(SUBSTITUTE(CLEAN(Raw_Data!B315),CHAR(160)," ")))</f>
        <v>Kwali Ward</v>
      </c>
      <c r="C315" s="7" t="str">
        <f>IF(Raw_Data!C315="","",TRIM(SUBSTITUTE(CLEAN(Raw_Data!C315),CHAR(160)," ")))</f>
        <v>Rhema Foundation Hospital</v>
      </c>
      <c r="D315" s="28" t="str">
        <f>IFERROR(IF(COUNT(Raw_Data!D315:O315)=0,"",AVERAGE(Raw_Data!D315:O315)/100),"")</f>
        <v/>
      </c>
      <c r="E315" s="28" t="str">
        <f>IFERROR(IF(COUNT(Raw_Data!P315:AA315)=0,"",AVERAGE(Raw_Data!P315:AA315)/100),"")</f>
        <v/>
      </c>
      <c r="F315" s="30" t="str">
        <f>IFERROR(IF(COUNT(Raw_Data!AB315:AM315)=0,"",SUM(Raw_Data!AB315:AM315)),"")</f>
        <v/>
      </c>
      <c r="G315" s="30" t="str">
        <f>IFERROR(IF(COUNT(Raw_Data!AN315:AY315)=0,"",SUM(Raw_Data!AN315:AY315)),"")</f>
        <v/>
      </c>
      <c r="H315" s="30" t="str">
        <f>IFERROR(IF(COUNT(Raw_Data!AZ315:BK315)=0,"",SUM(Raw_Data!AZ315:BK315)),"")</f>
        <v/>
      </c>
      <c r="I315" s="30">
        <f>IFERROR(IF(COUNT(Raw_Data!BL315:BW315)=0,"",SUM(Raw_Data!BL315:BW315)),"")</f>
        <v>9</v>
      </c>
      <c r="J315" s="30">
        <f>IFERROR(IF(COUNT(Raw_Data!BX315:CI315)=0,"",SUM(Raw_Data!BX315:CI315)),"")</f>
        <v>16</v>
      </c>
      <c r="K315" s="28" t="str">
        <f t="shared" si="28"/>
        <v/>
      </c>
      <c r="L315" s="28" t="str">
        <f t="shared" si="29"/>
        <v/>
      </c>
      <c r="M315" s="28" t="str">
        <f t="shared" si="30"/>
        <v/>
      </c>
      <c r="N315" s="28" t="str">
        <f t="shared" si="31"/>
        <v/>
      </c>
      <c r="O315" s="7" t="str">
        <f t="shared" si="32"/>
        <v>No Data</v>
      </c>
      <c r="P315" s="13" t="str">
        <f t="shared" si="33"/>
        <v>Incomplete</v>
      </c>
      <c r="Q315" s="7" t="str">
        <f t="shared" si="34"/>
        <v>No Data</v>
      </c>
    </row>
    <row r="316" spans="1:17" ht="60">
      <c r="A316" s="7" t="str">
        <f>IF(Raw_Data!A316="","",TRIM(SUBSTITUTE(CLEAN(Raw_Data!A316),CHAR(160)," ")))</f>
        <v>Abaji Local Government Area</v>
      </c>
      <c r="B316" s="7" t="str">
        <f>IF(Raw_Data!B316="","",TRIM(SUBSTITUTE(CLEAN(Raw_Data!B316),CHAR(160)," ")))</f>
        <v>Ebagi Rimba Ward</v>
      </c>
      <c r="C316" s="7" t="str">
        <f>IF(Raw_Data!C316="","",TRIM(SUBSTITUTE(CLEAN(Raw_Data!C316),CHAR(160)," ")))</f>
        <v>Rimba Primary Health Clinic</v>
      </c>
      <c r="D316" s="28">
        <f>IFERROR(IF(COUNT(Raw_Data!D316:O316)=0,"",AVERAGE(Raw_Data!D316:O316)/100),"")</f>
        <v>1</v>
      </c>
      <c r="E316" s="28">
        <f>IFERROR(IF(COUNT(Raw_Data!P316:AA316)=0,"",AVERAGE(Raw_Data!P316:AA316)/100),"")</f>
        <v>1</v>
      </c>
      <c r="F316" s="30">
        <f>IFERROR(IF(COUNT(Raw_Data!AB316:AM316)=0,"",SUM(Raw_Data!AB316:AM316)),"")</f>
        <v>277</v>
      </c>
      <c r="G316" s="30">
        <f>IFERROR(IF(COUNT(Raw_Data!AN316:AY316)=0,"",SUM(Raw_Data!AN316:AY316)),"")</f>
        <v>277</v>
      </c>
      <c r="H316" s="30">
        <f>IFERROR(IF(COUNT(Raw_Data!AZ316:BK316)=0,"",SUM(Raw_Data!AZ316:BK316)),"")</f>
        <v>123</v>
      </c>
      <c r="I316" s="30">
        <f>IFERROR(IF(COUNT(Raw_Data!BL316:BW316)=0,"",SUM(Raw_Data!BL316:BW316)),"")</f>
        <v>4</v>
      </c>
      <c r="J316" s="30" t="str">
        <f>IFERROR(IF(COUNT(Raw_Data!BX316:CI316)=0,"",SUM(Raw_Data!BX316:CI316)),"")</f>
        <v/>
      </c>
      <c r="K316" s="28">
        <f t="shared" si="28"/>
        <v>1</v>
      </c>
      <c r="L316" s="28">
        <f t="shared" si="29"/>
        <v>0</v>
      </c>
      <c r="M316" s="28">
        <f t="shared" si="30"/>
        <v>3.2520325203252036E-2</v>
      </c>
      <c r="N316" s="28" t="str">
        <f t="shared" si="31"/>
        <v/>
      </c>
      <c r="O316" s="7" t="str">
        <f t="shared" si="32"/>
        <v>Valid</v>
      </c>
      <c r="P316" s="13" t="str">
        <f t="shared" si="33"/>
        <v>Incomplete</v>
      </c>
      <c r="Q316" s="7" t="str">
        <f t="shared" si="34"/>
        <v>Incomplete</v>
      </c>
    </row>
    <row r="317" spans="1:17" ht="75">
      <c r="A317" s="7" t="str">
        <f>IF(Raw_Data!A317="","",TRIM(SUBSTITUTE(CLEAN(Raw_Data!A317),CHAR(160)," ")))</f>
        <v>Abuja Municipal Area Council</v>
      </c>
      <c r="B317" s="7" t="str">
        <f>IF(Raw_Data!B317="","",TRIM(SUBSTITUTE(CLEAN(Raw_Data!B317),CHAR(160)," ")))</f>
        <v>Garki Ward</v>
      </c>
      <c r="C317" s="7" t="str">
        <f>IF(Raw_Data!C317="","",TRIM(SUBSTITUTE(CLEAN(Raw_Data!C317),CHAR(160)," ")))</f>
        <v>Rouz Hospital and Maternity</v>
      </c>
      <c r="D317" s="28">
        <f>IFERROR(IF(COUNT(Raw_Data!D317:O317)=0,"",AVERAGE(Raw_Data!D317:O317)/100),"")</f>
        <v>1</v>
      </c>
      <c r="E317" s="28" t="str">
        <f>IFERROR(IF(COUNT(Raw_Data!P317:AA317)=0,"",AVERAGE(Raw_Data!P317:AA317)/100),"")</f>
        <v/>
      </c>
      <c r="F317" s="30">
        <f>IFERROR(IF(COUNT(Raw_Data!AB317:AM317)=0,"",SUM(Raw_Data!AB317:AM317)),"")</f>
        <v>17</v>
      </c>
      <c r="G317" s="30">
        <f>IFERROR(IF(COUNT(Raw_Data!AN317:AY317)=0,"",SUM(Raw_Data!AN317:AY317)),"")</f>
        <v>17</v>
      </c>
      <c r="H317" s="30">
        <f>IFERROR(IF(COUNT(Raw_Data!AZ317:BK317)=0,"",SUM(Raw_Data!AZ317:BK317)),"")</f>
        <v>57</v>
      </c>
      <c r="I317" s="30">
        <f>IFERROR(IF(COUNT(Raw_Data!BL317:BW317)=0,"",SUM(Raw_Data!BL317:BW317)),"")</f>
        <v>26</v>
      </c>
      <c r="J317" s="30">
        <f>IFERROR(IF(COUNT(Raw_Data!BX317:CI317)=0,"",SUM(Raw_Data!BX317:CI317)),"")</f>
        <v>28</v>
      </c>
      <c r="K317" s="28">
        <f t="shared" si="28"/>
        <v>1</v>
      </c>
      <c r="L317" s="28">
        <f t="shared" si="29"/>
        <v>0</v>
      </c>
      <c r="M317" s="28">
        <f t="shared" si="30"/>
        <v>0.45614035087719296</v>
      </c>
      <c r="N317" s="28">
        <f t="shared" si="31"/>
        <v>0.49122807017543857</v>
      </c>
      <c r="O317" s="7" t="str">
        <f t="shared" si="32"/>
        <v>Valid</v>
      </c>
      <c r="P317" s="13" t="str">
        <f t="shared" si="33"/>
        <v>Invalid</v>
      </c>
      <c r="Q317" s="7" t="str">
        <f t="shared" si="34"/>
        <v>Invalid</v>
      </c>
    </row>
    <row r="318" spans="1:17" ht="90">
      <c r="A318" s="7" t="str">
        <f>IF(Raw_Data!A318="","",TRIM(SUBSTITUTE(CLEAN(Raw_Data!A318),CHAR(160)," ")))</f>
        <v>Abuja Municipal Area Council</v>
      </c>
      <c r="B318" s="7" t="str">
        <f>IF(Raw_Data!B318="","",TRIM(SUBSTITUTE(CLEAN(Raw_Data!B318),CHAR(160)," ")))</f>
        <v>Gwarimpa Ward</v>
      </c>
      <c r="C318" s="7" t="str">
        <f>IF(Raw_Data!C318="","",TRIM(SUBSTITUTE(CLEAN(Raw_Data!C318),CHAR(160)," ")))</f>
        <v>Royal Care Clinic and Maternity</v>
      </c>
      <c r="D318" s="28" t="str">
        <f>IFERROR(IF(COUNT(Raw_Data!D318:O318)=0,"",AVERAGE(Raw_Data!D318:O318)/100),"")</f>
        <v/>
      </c>
      <c r="E318" s="28" t="str">
        <f>IFERROR(IF(COUNT(Raw_Data!P318:AA318)=0,"",AVERAGE(Raw_Data!P318:AA318)/100),"")</f>
        <v/>
      </c>
      <c r="F318" s="30" t="str">
        <f>IFERROR(IF(COUNT(Raw_Data!AB318:AM318)=0,"",SUM(Raw_Data!AB318:AM318)),"")</f>
        <v/>
      </c>
      <c r="G318" s="30" t="str">
        <f>IFERROR(IF(COUNT(Raw_Data!AN318:AY318)=0,"",SUM(Raw_Data!AN318:AY318)),"")</f>
        <v/>
      </c>
      <c r="H318" s="30">
        <f>IFERROR(IF(COUNT(Raw_Data!AZ318:BK318)=0,"",SUM(Raw_Data!AZ318:BK318)),"")</f>
        <v>8</v>
      </c>
      <c r="I318" s="30" t="str">
        <f>IFERROR(IF(COUNT(Raw_Data!BL318:BW318)=0,"",SUM(Raw_Data!BL318:BW318)),"")</f>
        <v/>
      </c>
      <c r="J318" s="30" t="str">
        <f>IFERROR(IF(COUNT(Raw_Data!BX318:CI318)=0,"",SUM(Raw_Data!BX318:CI318)),"")</f>
        <v/>
      </c>
      <c r="K318" s="28" t="str">
        <f t="shared" si="28"/>
        <v/>
      </c>
      <c r="L318" s="28" t="str">
        <f t="shared" si="29"/>
        <v/>
      </c>
      <c r="M318" s="28" t="str">
        <f t="shared" si="30"/>
        <v/>
      </c>
      <c r="N318" s="28" t="str">
        <f t="shared" si="31"/>
        <v/>
      </c>
      <c r="O318" s="7" t="str">
        <f t="shared" si="32"/>
        <v>No Data</v>
      </c>
      <c r="P318" s="13" t="str">
        <f t="shared" si="33"/>
        <v>Incomplete</v>
      </c>
      <c r="Q318" s="7" t="str">
        <f t="shared" si="34"/>
        <v>No Data</v>
      </c>
    </row>
    <row r="319" spans="1:17" ht="60">
      <c r="A319" s="7" t="str">
        <f>IF(Raw_Data!A319="","",TRIM(SUBSTITUTE(CLEAN(Raw_Data!A319),CHAR(160)," ")))</f>
        <v>Kuje Local Government Area</v>
      </c>
      <c r="B319" s="7" t="str">
        <f>IF(Raw_Data!B319="","",TRIM(SUBSTITUTE(CLEAN(Raw_Data!B319),CHAR(160)," ")))</f>
        <v>Rubochi Ward</v>
      </c>
      <c r="C319" s="7" t="str">
        <f>IF(Raw_Data!C319="","",TRIM(SUBSTITUTE(CLEAN(Raw_Data!C319),CHAR(160)," ")))</f>
        <v>Rubochi General Hospital</v>
      </c>
      <c r="D319" s="28">
        <f>IFERROR(IF(COUNT(Raw_Data!D319:O319)=0,"",AVERAGE(Raw_Data!D319:O319)/100),"")</f>
        <v>0.95833333333333326</v>
      </c>
      <c r="E319" s="28" t="str">
        <f>IFERROR(IF(COUNT(Raw_Data!P319:AA319)=0,"",AVERAGE(Raw_Data!P319:AA319)/100),"")</f>
        <v/>
      </c>
      <c r="F319" s="30">
        <f>IFERROR(IF(COUNT(Raw_Data!AB319:AM319)=0,"",SUM(Raw_Data!AB319:AM319)),"")</f>
        <v>104</v>
      </c>
      <c r="G319" s="30">
        <f>IFERROR(IF(COUNT(Raw_Data!AN319:AY319)=0,"",SUM(Raw_Data!AN319:AY319)),"")</f>
        <v>94</v>
      </c>
      <c r="H319" s="30">
        <f>IFERROR(IF(COUNT(Raw_Data!AZ319:BK319)=0,"",SUM(Raw_Data!AZ319:BK319)),"")</f>
        <v>82</v>
      </c>
      <c r="I319" s="30">
        <f>IFERROR(IF(COUNT(Raw_Data!BL319:BW319)=0,"",SUM(Raw_Data!BL319:BW319)),"")</f>
        <v>25</v>
      </c>
      <c r="J319" s="30">
        <f>IFERROR(IF(COUNT(Raw_Data!BX319:CI319)=0,"",SUM(Raw_Data!BX319:CI319)),"")</f>
        <v>63</v>
      </c>
      <c r="K319" s="28">
        <f t="shared" si="28"/>
        <v>0.90384615384615385</v>
      </c>
      <c r="L319" s="28">
        <f t="shared" si="29"/>
        <v>9.6153846153846159E-2</v>
      </c>
      <c r="M319" s="28">
        <f t="shared" si="30"/>
        <v>0.3048780487804878</v>
      </c>
      <c r="N319" s="28">
        <f t="shared" si="31"/>
        <v>0.76829268292682928</v>
      </c>
      <c r="O319" s="7" t="str">
        <f t="shared" si="32"/>
        <v>Valid</v>
      </c>
      <c r="P319" s="13" t="str">
        <f t="shared" si="33"/>
        <v>Invalid</v>
      </c>
      <c r="Q319" s="7" t="str">
        <f t="shared" si="34"/>
        <v>Invalid</v>
      </c>
    </row>
    <row r="320" spans="1:17" ht="60">
      <c r="A320" s="7" t="str">
        <f>IF(Raw_Data!A320="","",TRIM(SUBSTITUTE(CLEAN(Raw_Data!A320),CHAR(160)," ")))</f>
        <v>Kuje Local Government Area</v>
      </c>
      <c r="B320" s="7" t="str">
        <f>IF(Raw_Data!B320="","",TRIM(SUBSTITUTE(CLEAN(Raw_Data!B320),CHAR(160)," ")))</f>
        <v>Rubochi Ward</v>
      </c>
      <c r="C320" s="7" t="str">
        <f>IF(Raw_Data!C320="","",TRIM(SUBSTITUTE(CLEAN(Raw_Data!C320),CHAR(160)," ")))</f>
        <v>Rubochi Primary Health Centre</v>
      </c>
      <c r="D320" s="28">
        <f>IFERROR(IF(COUNT(Raw_Data!D320:O320)=0,"",AVERAGE(Raw_Data!D320:O320)/100),"")</f>
        <v>0.97727272727272729</v>
      </c>
      <c r="E320" s="28">
        <f>IFERROR(IF(COUNT(Raw_Data!P320:AA320)=0,"",AVERAGE(Raw_Data!P320:AA320)/100),"")</f>
        <v>0.90909090909090906</v>
      </c>
      <c r="F320" s="30">
        <f>IFERROR(IF(COUNT(Raw_Data!AB320:AM320)=0,"",SUM(Raw_Data!AB320:AM320)),"")</f>
        <v>449</v>
      </c>
      <c r="G320" s="30">
        <f>IFERROR(IF(COUNT(Raw_Data!AN320:AY320)=0,"",SUM(Raw_Data!AN320:AY320)),"")</f>
        <v>491</v>
      </c>
      <c r="H320" s="30">
        <f>IFERROR(IF(COUNT(Raw_Data!AZ320:BK320)=0,"",SUM(Raw_Data!AZ320:BK320)),"")</f>
        <v>100</v>
      </c>
      <c r="I320" s="30">
        <f>IFERROR(IF(COUNT(Raw_Data!BL320:BW320)=0,"",SUM(Raw_Data!BL320:BW320)),"")</f>
        <v>40</v>
      </c>
      <c r="J320" s="30">
        <f>IFERROR(IF(COUNT(Raw_Data!BX320:CI320)=0,"",SUM(Raw_Data!BX320:CI320)),"")</f>
        <v>45</v>
      </c>
      <c r="K320" s="28">
        <f t="shared" si="28"/>
        <v>1.0935412026726057</v>
      </c>
      <c r="L320" s="28">
        <f t="shared" si="29"/>
        <v>-9.3541202672605794E-2</v>
      </c>
      <c r="M320" s="28">
        <f t="shared" si="30"/>
        <v>0.4</v>
      </c>
      <c r="N320" s="28">
        <f t="shared" si="31"/>
        <v>0.45</v>
      </c>
      <c r="O320" s="7" t="str">
        <f t="shared" si="32"/>
        <v>Invalid</v>
      </c>
      <c r="P320" s="13" t="str">
        <f t="shared" si="33"/>
        <v>Invalid</v>
      </c>
      <c r="Q320" s="7" t="str">
        <f t="shared" si="34"/>
        <v>Invalid</v>
      </c>
    </row>
    <row r="321" spans="1:17" ht="60">
      <c r="A321" s="7" t="str">
        <f>IF(Raw_Data!A321="","",TRIM(SUBSTITUTE(CLEAN(Raw_Data!A321),CHAR(160)," ")))</f>
        <v>Kuje Local Government Area</v>
      </c>
      <c r="B321" s="7" t="str">
        <f>IF(Raw_Data!B321="","",TRIM(SUBSTITUTE(CLEAN(Raw_Data!B321),CHAR(160)," ")))</f>
        <v>Kwaku Ward</v>
      </c>
      <c r="C321" s="7" t="str">
        <f>IF(Raw_Data!C321="","",TRIM(SUBSTITUTE(CLEAN(Raw_Data!C321),CHAR(160)," ")))</f>
        <v>Sabo Primary Health Centre</v>
      </c>
      <c r="D321" s="28">
        <f>IFERROR(IF(COUNT(Raw_Data!D321:O321)=0,"",AVERAGE(Raw_Data!D321:O321)/100),"")</f>
        <v>1</v>
      </c>
      <c r="E321" s="28">
        <f>IFERROR(IF(COUNT(Raw_Data!P321:AA321)=0,"",AVERAGE(Raw_Data!P321:AA321)/100),"")</f>
        <v>1</v>
      </c>
      <c r="F321" s="30">
        <f>IFERROR(IF(COUNT(Raw_Data!AB321:AM321)=0,"",SUM(Raw_Data!AB321:AM321)),"")</f>
        <v>140</v>
      </c>
      <c r="G321" s="30">
        <f>IFERROR(IF(COUNT(Raw_Data!AN321:AY321)=0,"",SUM(Raw_Data!AN321:AY321)),"")</f>
        <v>140</v>
      </c>
      <c r="H321" s="30">
        <f>IFERROR(IF(COUNT(Raw_Data!AZ321:BK321)=0,"",SUM(Raw_Data!AZ321:BK321)),"")</f>
        <v>97</v>
      </c>
      <c r="I321" s="30">
        <f>IFERROR(IF(COUNT(Raw_Data!BL321:BW321)=0,"",SUM(Raw_Data!BL321:BW321)),"")</f>
        <v>35</v>
      </c>
      <c r="J321" s="30">
        <f>IFERROR(IF(COUNT(Raw_Data!BX321:CI321)=0,"",SUM(Raw_Data!BX321:CI321)),"")</f>
        <v>19</v>
      </c>
      <c r="K321" s="28">
        <f t="shared" si="28"/>
        <v>1</v>
      </c>
      <c r="L321" s="28">
        <f t="shared" si="29"/>
        <v>0</v>
      </c>
      <c r="M321" s="28">
        <f t="shared" si="30"/>
        <v>0.36082474226804123</v>
      </c>
      <c r="N321" s="28">
        <f t="shared" si="31"/>
        <v>0.19587628865979381</v>
      </c>
      <c r="O321" s="7" t="str">
        <f t="shared" si="32"/>
        <v>Valid</v>
      </c>
      <c r="P321" s="13" t="str">
        <f t="shared" si="33"/>
        <v>Valid</v>
      </c>
      <c r="Q321" s="7" t="str">
        <f t="shared" si="34"/>
        <v>Valid</v>
      </c>
    </row>
    <row r="322" spans="1:17" ht="75">
      <c r="A322" s="7" t="str">
        <f>IF(Raw_Data!A322="","",TRIM(SUBSTITUTE(CLEAN(Raw_Data!A322),CHAR(160)," ")))</f>
        <v>Bwari Local Government Area</v>
      </c>
      <c r="B322" s="7" t="str">
        <f>IF(Raw_Data!B322="","",TRIM(SUBSTITUTE(CLEAN(Raw_Data!B322),CHAR(160)," ")))</f>
        <v>Kuduru Ward</v>
      </c>
      <c r="C322" s="7" t="str">
        <f>IF(Raw_Data!C322="","",TRIM(SUBSTITUTE(CLEAN(Raw_Data!C322),CHAR(160)," ")))</f>
        <v>Sabon Gari Primary Health Clinic</v>
      </c>
      <c r="D322" s="28">
        <f>IFERROR(IF(COUNT(Raw_Data!D322:O322)=0,"",AVERAGE(Raw_Data!D322:O322)/100),"")</f>
        <v>0.94444545454545448</v>
      </c>
      <c r="E322" s="28">
        <f>IFERROR(IF(COUNT(Raw_Data!P322:AA322)=0,"",AVERAGE(Raw_Data!P322:AA322)/100),"")</f>
        <v>0.83333333333333326</v>
      </c>
      <c r="F322" s="30">
        <f>IFERROR(IF(COUNT(Raw_Data!AB322:AM322)=0,"",SUM(Raw_Data!AB322:AM322)),"")</f>
        <v>517</v>
      </c>
      <c r="G322" s="30">
        <f>IFERROR(IF(COUNT(Raw_Data!AN322:AY322)=0,"",SUM(Raw_Data!AN322:AY322)),"")</f>
        <v>513</v>
      </c>
      <c r="H322" s="30">
        <f>IFERROR(IF(COUNT(Raw_Data!AZ322:BK322)=0,"",SUM(Raw_Data!AZ322:BK322)),"")</f>
        <v>291</v>
      </c>
      <c r="I322" s="30">
        <f>IFERROR(IF(COUNT(Raw_Data!BL322:BW322)=0,"",SUM(Raw_Data!BL322:BW322)),"")</f>
        <v>101</v>
      </c>
      <c r="J322" s="30">
        <f>IFERROR(IF(COUNT(Raw_Data!BX322:CI322)=0,"",SUM(Raw_Data!BX322:CI322)),"")</f>
        <v>79</v>
      </c>
      <c r="K322" s="28">
        <f t="shared" si="28"/>
        <v>0.99226305609284338</v>
      </c>
      <c r="L322" s="28">
        <f t="shared" si="29"/>
        <v>7.7369439071566732E-3</v>
      </c>
      <c r="M322" s="28">
        <f t="shared" si="30"/>
        <v>0.34707903780068727</v>
      </c>
      <c r="N322" s="28">
        <f t="shared" si="31"/>
        <v>0.27147766323024053</v>
      </c>
      <c r="O322" s="7" t="str">
        <f t="shared" si="32"/>
        <v>Valid</v>
      </c>
      <c r="P322" s="13" t="str">
        <f t="shared" si="33"/>
        <v>Valid</v>
      </c>
      <c r="Q322" s="7" t="str">
        <f t="shared" si="34"/>
        <v>Valid</v>
      </c>
    </row>
    <row r="323" spans="1:17" ht="60">
      <c r="A323" s="7" t="str">
        <f>IF(Raw_Data!A323="","",TRIM(SUBSTITUTE(CLEAN(Raw_Data!A323),CHAR(160)," ")))</f>
        <v>Abuja Municipal Area Council</v>
      </c>
      <c r="B323" s="7" t="str">
        <f>IF(Raw_Data!B323="","",TRIM(SUBSTITUTE(CLEAN(Raw_Data!B323),CHAR(160)," ")))</f>
        <v>Gwagwa Ward</v>
      </c>
      <c r="C323" s="7" t="str">
        <f>IF(Raw_Data!C323="","",TRIM(SUBSTITUTE(CLEAN(Raw_Data!C323),CHAR(160)," ")))</f>
        <v>Saburi Primary Health Clinic</v>
      </c>
      <c r="D323" s="28">
        <f>IFERROR(IF(COUNT(Raw_Data!D323:O323)=0,"",AVERAGE(Raw_Data!D323:O323)/100),"")</f>
        <v>0.99604545454545457</v>
      </c>
      <c r="E323" s="28">
        <f>IFERROR(IF(COUNT(Raw_Data!P323:AA323)=0,"",AVERAGE(Raw_Data!P323:AA323)/100),"")</f>
        <v>0.61111111111111116</v>
      </c>
      <c r="F323" s="30">
        <f>IFERROR(IF(COUNT(Raw_Data!AB323:AM323)=0,"",SUM(Raw_Data!AB323:AM323)),"")</f>
        <v>908</v>
      </c>
      <c r="G323" s="30">
        <f>IFERROR(IF(COUNT(Raw_Data!AN323:AY323)=0,"",SUM(Raw_Data!AN323:AY323)),"")</f>
        <v>906</v>
      </c>
      <c r="H323" s="30">
        <f>IFERROR(IF(COUNT(Raw_Data!AZ323:BK323)=0,"",SUM(Raw_Data!AZ323:BK323)),"")</f>
        <v>194</v>
      </c>
      <c r="I323" s="30">
        <f>IFERROR(IF(COUNT(Raw_Data!BL323:BW323)=0,"",SUM(Raw_Data!BL323:BW323)),"")</f>
        <v>134</v>
      </c>
      <c r="J323" s="30">
        <f>IFERROR(IF(COUNT(Raw_Data!BX323:CI323)=0,"",SUM(Raw_Data!BX323:CI323)),"")</f>
        <v>48</v>
      </c>
      <c r="K323" s="28">
        <f t="shared" ref="K323:K386" si="35">IFERROR(IF(OR(F323="",G323="",F323&lt;=0),"",G323/F323),"")</f>
        <v>0.99779735682819382</v>
      </c>
      <c r="L323" s="28">
        <f t="shared" ref="L323:L386" si="36">IFERROR(IF(OR(F323="",G323="",F323&lt;=0),"",(F323-G323)/F323),"")</f>
        <v>2.2026431718061676E-3</v>
      </c>
      <c r="M323" s="28">
        <f t="shared" ref="M323:M386" si="37">IFERROR(IF(OR(H323="",I323="",H323&lt;=0),"",I323/H323),"")</f>
        <v>0.69072164948453607</v>
      </c>
      <c r="N323" s="28">
        <f t="shared" ref="N323:N386" si="38">IFERROR(IF(OR(H323="",J323="",H323&lt;=0),"",J323/H323),"")</f>
        <v>0.24742268041237114</v>
      </c>
      <c r="O323" s="7" t="str">
        <f t="shared" ref="O323:O386" si="39">IFERROR(IF(AND(F323="",G323=""),"No Data",IF(OR(F323="",G323="",F323&lt;=0),"Incomplete",IF(OR(G323&gt;F323,K323&lt;0,K323&gt;1,L323&lt;0,L323&gt;1),"Invalid","Valid"))),"Invalid")</f>
        <v>Valid</v>
      </c>
      <c r="P323" s="13" t="str">
        <f t="shared" ref="P323:P386" si="40">IFERROR(IF(AND(H323="",I323="",J323=""),"No Data",IF(OR(H323="",I323="",J323="",H323&lt;=0),"Incomplete",IF(OR(I323&gt;H323,J323&gt;H323,J323&gt;I323,M323&lt;0,M323&gt;1,N323&lt;0,N323&gt;1),"Invalid","Valid"))),"Invalid")</f>
        <v>Valid</v>
      </c>
      <c r="Q323" s="7" t="str">
        <f t="shared" ref="Q323:Q386" si="41">IF(OR(O323="No Data",P323="No Data"),"No Data",IF(OR(O323="Incomplete",P323="Incomplete"),"Incomplete",IF(OR(O323="Invalid",P323="Invalid"),"Invalid","Valid")))</f>
        <v>Valid</v>
      </c>
    </row>
    <row r="324" spans="1:17" ht="60">
      <c r="A324" s="7" t="str">
        <f>IF(Raw_Data!A324="","",TRIM(SUBSTITUTE(CLEAN(Raw_Data!A324),CHAR(160)," ")))</f>
        <v>Abuja Municipal Area Council</v>
      </c>
      <c r="B324" s="7" t="str">
        <f>IF(Raw_Data!B324="","",TRIM(SUBSTITUTE(CLEAN(Raw_Data!B324),CHAR(160)," ")))</f>
        <v>Nyanya Ward</v>
      </c>
      <c r="C324" s="7" t="str">
        <f>IF(Raw_Data!C324="","",TRIM(SUBSTITUTE(CLEAN(Raw_Data!C324),CHAR(160)," ")))</f>
        <v>Saffron Hospital</v>
      </c>
      <c r="D324" s="28">
        <f>IFERROR(IF(COUNT(Raw_Data!D324:O324)=0,"",AVERAGE(Raw_Data!D324:O324)/100),"")</f>
        <v>1</v>
      </c>
      <c r="E324" s="28" t="str">
        <f>IFERROR(IF(COUNT(Raw_Data!P324:AA324)=0,"",AVERAGE(Raw_Data!P324:AA324)/100),"")</f>
        <v/>
      </c>
      <c r="F324" s="30">
        <f>IFERROR(IF(COUNT(Raw_Data!AB324:AM324)=0,"",SUM(Raw_Data!AB324:AM324)),"")</f>
        <v>14</v>
      </c>
      <c r="G324" s="30">
        <f>IFERROR(IF(COUNT(Raw_Data!AN324:AY324)=0,"",SUM(Raw_Data!AN324:AY324)),"")</f>
        <v>8</v>
      </c>
      <c r="H324" s="30">
        <f>IFERROR(IF(COUNT(Raw_Data!AZ324:BK324)=0,"",SUM(Raw_Data!AZ324:BK324)),"")</f>
        <v>54</v>
      </c>
      <c r="I324" s="30">
        <f>IFERROR(IF(COUNT(Raw_Data!BL324:BW324)=0,"",SUM(Raw_Data!BL324:BW324)),"")</f>
        <v>15</v>
      </c>
      <c r="J324" s="30">
        <f>IFERROR(IF(COUNT(Raw_Data!BX324:CI324)=0,"",SUM(Raw_Data!BX324:CI324)),"")</f>
        <v>96</v>
      </c>
      <c r="K324" s="28">
        <f t="shared" si="35"/>
        <v>0.5714285714285714</v>
      </c>
      <c r="L324" s="28">
        <f t="shared" si="36"/>
        <v>0.42857142857142855</v>
      </c>
      <c r="M324" s="28">
        <f t="shared" si="37"/>
        <v>0.27777777777777779</v>
      </c>
      <c r="N324" s="28">
        <f t="shared" si="38"/>
        <v>1.7777777777777777</v>
      </c>
      <c r="O324" s="7" t="str">
        <f t="shared" si="39"/>
        <v>Valid</v>
      </c>
      <c r="P324" s="13" t="str">
        <f t="shared" si="40"/>
        <v>Invalid</v>
      </c>
      <c r="Q324" s="7" t="str">
        <f t="shared" si="41"/>
        <v>Invalid</v>
      </c>
    </row>
    <row r="325" spans="1:17" ht="90">
      <c r="A325" s="7" t="str">
        <f>IF(Raw_Data!A325="","",TRIM(SUBSTITUTE(CLEAN(Raw_Data!A325),CHAR(160)," ")))</f>
        <v>Abuja Municipal Area Council</v>
      </c>
      <c r="B325" s="7" t="str">
        <f>IF(Raw_Data!B325="","",TRIM(SUBSTITUTE(CLEAN(Raw_Data!B325),CHAR(160)," ")))</f>
        <v>Wuse Ward</v>
      </c>
      <c r="C325" s="7" t="str">
        <f>IF(Raw_Data!C325="","",TRIM(SUBSTITUTE(CLEAN(Raw_Data!C325),CHAR(160)," ")))</f>
        <v>Saint Catherine's Specialist Hospital</v>
      </c>
      <c r="D325" s="28">
        <f>IFERROR(IF(COUNT(Raw_Data!D325:O325)=0,"",AVERAGE(Raw_Data!D325:O325)/100),"")</f>
        <v>1</v>
      </c>
      <c r="E325" s="28" t="str">
        <f>IFERROR(IF(COUNT(Raw_Data!P325:AA325)=0,"",AVERAGE(Raw_Data!P325:AA325)/100),"")</f>
        <v/>
      </c>
      <c r="F325" s="30">
        <f>IFERROR(IF(COUNT(Raw_Data!AB325:AM325)=0,"",SUM(Raw_Data!AB325:AM325)),"")</f>
        <v>84</v>
      </c>
      <c r="G325" s="30">
        <f>IFERROR(IF(COUNT(Raw_Data!AN325:AY325)=0,"",SUM(Raw_Data!AN325:AY325)),"")</f>
        <v>67</v>
      </c>
      <c r="H325" s="30">
        <f>IFERROR(IF(COUNT(Raw_Data!AZ325:BK325)=0,"",SUM(Raw_Data!AZ325:BK325)),"")</f>
        <v>135</v>
      </c>
      <c r="I325" s="30">
        <f>IFERROR(IF(COUNT(Raw_Data!BL325:BW325)=0,"",SUM(Raw_Data!BL325:BW325)),"")</f>
        <v>302</v>
      </c>
      <c r="J325" s="30">
        <f>IFERROR(IF(COUNT(Raw_Data!BX325:CI325)=0,"",SUM(Raw_Data!BX325:CI325)),"")</f>
        <v>181</v>
      </c>
      <c r="K325" s="28">
        <f t="shared" si="35"/>
        <v>0.79761904761904767</v>
      </c>
      <c r="L325" s="28">
        <f t="shared" si="36"/>
        <v>0.20238095238095238</v>
      </c>
      <c r="M325" s="28">
        <f t="shared" si="37"/>
        <v>2.2370370370370369</v>
      </c>
      <c r="N325" s="28">
        <f t="shared" si="38"/>
        <v>1.3407407407407408</v>
      </c>
      <c r="O325" s="7" t="str">
        <f t="shared" si="39"/>
        <v>Valid</v>
      </c>
      <c r="P325" s="13" t="str">
        <f t="shared" si="40"/>
        <v>Invalid</v>
      </c>
      <c r="Q325" s="7" t="str">
        <f t="shared" si="41"/>
        <v>Invalid</v>
      </c>
    </row>
    <row r="326" spans="1:17" ht="90">
      <c r="A326" s="7" t="str">
        <f>IF(Raw_Data!A326="","",TRIM(SUBSTITUTE(CLEAN(Raw_Data!A326),CHAR(160)," ")))</f>
        <v>Abuja Municipal Area Council</v>
      </c>
      <c r="B326" s="7" t="str">
        <f>IF(Raw_Data!B326="","",TRIM(SUBSTITUTE(CLEAN(Raw_Data!B326),CHAR(160)," ")))</f>
        <v>Gwarimpa Ward</v>
      </c>
      <c r="C326" s="7" t="str">
        <f>IF(Raw_Data!C326="","",TRIM(SUBSTITUTE(CLEAN(Raw_Data!C326),CHAR(160)," ")))</f>
        <v>Salama Infirmary Hospital &amp; Maternity Ltd</v>
      </c>
      <c r="D326" s="28" t="str">
        <f>IFERROR(IF(COUNT(Raw_Data!D326:O326)=0,"",AVERAGE(Raw_Data!D326:O326)/100),"")</f>
        <v/>
      </c>
      <c r="E326" s="28" t="str">
        <f>IFERROR(IF(COUNT(Raw_Data!P326:AA326)=0,"",AVERAGE(Raw_Data!P326:AA326)/100),"")</f>
        <v/>
      </c>
      <c r="F326" s="30">
        <f>IFERROR(IF(COUNT(Raw_Data!AB326:AM326)=0,"",SUM(Raw_Data!AB326:AM326)),"")</f>
        <v>4</v>
      </c>
      <c r="G326" s="30">
        <f>IFERROR(IF(COUNT(Raw_Data!AN326:AY326)=0,"",SUM(Raw_Data!AN326:AY326)),"")</f>
        <v>6</v>
      </c>
      <c r="H326" s="30">
        <f>IFERROR(IF(COUNT(Raw_Data!AZ326:BK326)=0,"",SUM(Raw_Data!AZ326:BK326)),"")</f>
        <v>14</v>
      </c>
      <c r="I326" s="30">
        <f>IFERROR(IF(COUNT(Raw_Data!BL326:BW326)=0,"",SUM(Raw_Data!BL326:BW326)),"")</f>
        <v>9</v>
      </c>
      <c r="J326" s="30">
        <f>IFERROR(IF(COUNT(Raw_Data!BX326:CI326)=0,"",SUM(Raw_Data!BX326:CI326)),"")</f>
        <v>11</v>
      </c>
      <c r="K326" s="28">
        <f t="shared" si="35"/>
        <v>1.5</v>
      </c>
      <c r="L326" s="28">
        <f t="shared" si="36"/>
        <v>-0.5</v>
      </c>
      <c r="M326" s="28">
        <f t="shared" si="37"/>
        <v>0.6428571428571429</v>
      </c>
      <c r="N326" s="28">
        <f t="shared" si="38"/>
        <v>0.7857142857142857</v>
      </c>
      <c r="O326" s="7" t="str">
        <f t="shared" si="39"/>
        <v>Invalid</v>
      </c>
      <c r="P326" s="13" t="str">
        <f t="shared" si="40"/>
        <v>Invalid</v>
      </c>
      <c r="Q326" s="7" t="str">
        <f t="shared" si="41"/>
        <v>Invalid</v>
      </c>
    </row>
    <row r="327" spans="1:17" ht="60">
      <c r="A327" s="7" t="str">
        <f>IF(Raw_Data!A327="","",TRIM(SUBSTITUTE(CLEAN(Raw_Data!A327),CHAR(160)," ")))</f>
        <v>Abuja Municipal Area Council</v>
      </c>
      <c r="B327" s="7" t="str">
        <f>IF(Raw_Data!B327="","",TRIM(SUBSTITUTE(CLEAN(Raw_Data!B327),CHAR(160)," ")))</f>
        <v>Wuse Ward</v>
      </c>
      <c r="C327" s="7" t="str">
        <f>IF(Raw_Data!C327="","",TRIM(SUBSTITUTE(CLEAN(Raw_Data!C327),CHAR(160)," ")))</f>
        <v>Sami Wadata Clinic (Wuse)</v>
      </c>
      <c r="D327" s="28" t="str">
        <f>IFERROR(IF(COUNT(Raw_Data!D327:O327)=0,"",AVERAGE(Raw_Data!D327:O327)/100),"")</f>
        <v/>
      </c>
      <c r="E327" s="28" t="str">
        <f>IFERROR(IF(COUNT(Raw_Data!P327:AA327)=0,"",AVERAGE(Raw_Data!P327:AA327)/100),"")</f>
        <v/>
      </c>
      <c r="F327" s="30">
        <f>IFERROR(IF(COUNT(Raw_Data!AB327:AM327)=0,"",SUM(Raw_Data!AB327:AM327)),"")</f>
        <v>11</v>
      </c>
      <c r="G327" s="30">
        <f>IFERROR(IF(COUNT(Raw_Data!AN327:AY327)=0,"",SUM(Raw_Data!AN327:AY327)),"")</f>
        <v>11</v>
      </c>
      <c r="H327" s="30">
        <f>IFERROR(IF(COUNT(Raw_Data!AZ327:BK327)=0,"",SUM(Raw_Data!AZ327:BK327)),"")</f>
        <v>25</v>
      </c>
      <c r="I327" s="30">
        <f>IFERROR(IF(COUNT(Raw_Data!BL327:BW327)=0,"",SUM(Raw_Data!BL327:BW327)),"")</f>
        <v>35</v>
      </c>
      <c r="J327" s="30">
        <f>IFERROR(IF(COUNT(Raw_Data!BX327:CI327)=0,"",SUM(Raw_Data!BX327:CI327)),"")</f>
        <v>22</v>
      </c>
      <c r="K327" s="28">
        <f t="shared" si="35"/>
        <v>1</v>
      </c>
      <c r="L327" s="28">
        <f t="shared" si="36"/>
        <v>0</v>
      </c>
      <c r="M327" s="28">
        <f t="shared" si="37"/>
        <v>1.4</v>
      </c>
      <c r="N327" s="28">
        <f t="shared" si="38"/>
        <v>0.88</v>
      </c>
      <c r="O327" s="7" t="str">
        <f t="shared" si="39"/>
        <v>Valid</v>
      </c>
      <c r="P327" s="13" t="str">
        <f t="shared" si="40"/>
        <v>Invalid</v>
      </c>
      <c r="Q327" s="7" t="str">
        <f t="shared" si="41"/>
        <v>Invalid</v>
      </c>
    </row>
    <row r="328" spans="1:17" ht="60">
      <c r="A328" s="7" t="str">
        <f>IF(Raw_Data!A328="","",TRIM(SUBSTITUTE(CLEAN(Raw_Data!A328),CHAR(160)," ")))</f>
        <v>Abuja Municipal Area Council</v>
      </c>
      <c r="B328" s="7" t="str">
        <f>IF(Raw_Data!B328="","",TRIM(SUBSTITUTE(CLEAN(Raw_Data!B328),CHAR(160)," ")))</f>
        <v>Wuse Ward</v>
      </c>
      <c r="C328" s="7" t="str">
        <f>IF(Raw_Data!C328="","",TRIM(SUBSTITUTE(CLEAN(Raw_Data!C328),CHAR(160)," ")))</f>
        <v>Sauki Private Hospital</v>
      </c>
      <c r="D328" s="28">
        <f>IFERROR(IF(COUNT(Raw_Data!D328:O328)=0,"",AVERAGE(Raw_Data!D328:O328)/100),"")</f>
        <v>1</v>
      </c>
      <c r="E328" s="28">
        <f>IFERROR(IF(COUNT(Raw_Data!P328:AA328)=0,"",AVERAGE(Raw_Data!P328:AA328)/100),"")</f>
        <v>1</v>
      </c>
      <c r="F328" s="30">
        <f>IFERROR(IF(COUNT(Raw_Data!AB328:AM328)=0,"",SUM(Raw_Data!AB328:AM328)),"")</f>
        <v>81</v>
      </c>
      <c r="G328" s="30">
        <f>IFERROR(IF(COUNT(Raw_Data!AN328:AY328)=0,"",SUM(Raw_Data!AN328:AY328)),"")</f>
        <v>74</v>
      </c>
      <c r="H328" s="30">
        <f>IFERROR(IF(COUNT(Raw_Data!AZ328:BK328)=0,"",SUM(Raw_Data!AZ328:BK328)),"")</f>
        <v>15</v>
      </c>
      <c r="I328" s="30">
        <f>IFERROR(IF(COUNT(Raw_Data!BL328:BW328)=0,"",SUM(Raw_Data!BL328:BW328)),"")</f>
        <v>13</v>
      </c>
      <c r="J328" s="30">
        <f>IFERROR(IF(COUNT(Raw_Data!BX328:CI328)=0,"",SUM(Raw_Data!BX328:CI328)),"")</f>
        <v>10</v>
      </c>
      <c r="K328" s="28">
        <f t="shared" si="35"/>
        <v>0.9135802469135802</v>
      </c>
      <c r="L328" s="28">
        <f t="shared" si="36"/>
        <v>8.6419753086419748E-2</v>
      </c>
      <c r="M328" s="28">
        <f t="shared" si="37"/>
        <v>0.8666666666666667</v>
      </c>
      <c r="N328" s="28">
        <f t="shared" si="38"/>
        <v>0.66666666666666663</v>
      </c>
      <c r="O328" s="7" t="str">
        <f t="shared" si="39"/>
        <v>Valid</v>
      </c>
      <c r="P328" s="13" t="str">
        <f t="shared" si="40"/>
        <v>Valid</v>
      </c>
      <c r="Q328" s="7" t="str">
        <f t="shared" si="41"/>
        <v>Valid</v>
      </c>
    </row>
    <row r="329" spans="1:17" ht="60">
      <c r="A329" s="7" t="str">
        <f>IF(Raw_Data!A329="","",TRIM(SUBSTITUTE(CLEAN(Raw_Data!A329),CHAR(160)," ")))</f>
        <v>Abuja Municipal Area Council</v>
      </c>
      <c r="B329" s="7" t="str">
        <f>IF(Raw_Data!B329="","",TRIM(SUBSTITUTE(CLEAN(Raw_Data!B329),CHAR(160)," ")))</f>
        <v>Garki Ward</v>
      </c>
      <c r="C329" s="7" t="str">
        <f>IF(Raw_Data!C329="","",TRIM(SUBSTITUTE(CLEAN(Raw_Data!C329),CHAR(160)," ")))</f>
        <v>Shadalafiya Clinic</v>
      </c>
      <c r="D329" s="28" t="str">
        <f>IFERROR(IF(COUNT(Raw_Data!D329:O329)=0,"",AVERAGE(Raw_Data!D329:O329)/100),"")</f>
        <v/>
      </c>
      <c r="E329" s="28" t="str">
        <f>IFERROR(IF(COUNT(Raw_Data!P329:AA329)=0,"",AVERAGE(Raw_Data!P329:AA329)/100),"")</f>
        <v/>
      </c>
      <c r="F329" s="30" t="str">
        <f>IFERROR(IF(COUNT(Raw_Data!AB329:AM329)=0,"",SUM(Raw_Data!AB329:AM329)),"")</f>
        <v/>
      </c>
      <c r="G329" s="30" t="str">
        <f>IFERROR(IF(COUNT(Raw_Data!AN329:AY329)=0,"",SUM(Raw_Data!AN329:AY329)),"")</f>
        <v/>
      </c>
      <c r="H329" s="30">
        <f>IFERROR(IF(COUNT(Raw_Data!AZ329:BK329)=0,"",SUM(Raw_Data!AZ329:BK329)),"")</f>
        <v>43</v>
      </c>
      <c r="I329" s="30">
        <f>IFERROR(IF(COUNT(Raw_Data!BL329:BW329)=0,"",SUM(Raw_Data!BL329:BW329)),"")</f>
        <v>32</v>
      </c>
      <c r="J329" s="30">
        <f>IFERROR(IF(COUNT(Raw_Data!BX329:CI329)=0,"",SUM(Raw_Data!BX329:CI329)),"")</f>
        <v>12</v>
      </c>
      <c r="K329" s="28" t="str">
        <f t="shared" si="35"/>
        <v/>
      </c>
      <c r="L329" s="28" t="str">
        <f t="shared" si="36"/>
        <v/>
      </c>
      <c r="M329" s="28">
        <f t="shared" si="37"/>
        <v>0.7441860465116279</v>
      </c>
      <c r="N329" s="28">
        <f t="shared" si="38"/>
        <v>0.27906976744186046</v>
      </c>
      <c r="O329" s="7" t="str">
        <f t="shared" si="39"/>
        <v>No Data</v>
      </c>
      <c r="P329" s="13" t="str">
        <f t="shared" si="40"/>
        <v>Valid</v>
      </c>
      <c r="Q329" s="7" t="str">
        <f t="shared" si="41"/>
        <v>No Data</v>
      </c>
    </row>
    <row r="330" spans="1:17" ht="90">
      <c r="A330" s="7" t="str">
        <f>IF(Raw_Data!A330="","",TRIM(SUBSTITUTE(CLEAN(Raw_Data!A330),CHAR(160)," ")))</f>
        <v>Kwali Local Government Area</v>
      </c>
      <c r="B330" s="7" t="str">
        <f>IF(Raw_Data!B330="","",TRIM(SUBSTITUTE(CLEAN(Raw_Data!B330),CHAR(160)," ")))</f>
        <v>Kilankwa Ward</v>
      </c>
      <c r="C330" s="7" t="str">
        <f>IF(Raw_Data!C330="","",TRIM(SUBSTITUTE(CLEAN(Raw_Data!C330),CHAR(160)," ")))</f>
        <v>Sheda Galadima Primary Health Clinic</v>
      </c>
      <c r="D330" s="28">
        <f>IFERROR(IF(COUNT(Raw_Data!D330:O330)=0,"",AVERAGE(Raw_Data!D330:O330)/100),"")</f>
        <v>0.75</v>
      </c>
      <c r="E330" s="28">
        <f>IFERROR(IF(COUNT(Raw_Data!P330:AA330)=0,"",AVERAGE(Raw_Data!P330:AA330)/100),"")</f>
        <v>1</v>
      </c>
      <c r="F330" s="30">
        <f>IFERROR(IF(COUNT(Raw_Data!AB330:AM330)=0,"",SUM(Raw_Data!AB330:AM330)),"")</f>
        <v>83</v>
      </c>
      <c r="G330" s="30">
        <f>IFERROR(IF(COUNT(Raw_Data!AN330:AY330)=0,"",SUM(Raw_Data!AN330:AY330)),"")</f>
        <v>118</v>
      </c>
      <c r="H330" s="30">
        <f>IFERROR(IF(COUNT(Raw_Data!AZ330:BK330)=0,"",SUM(Raw_Data!AZ330:BK330)),"")</f>
        <v>23</v>
      </c>
      <c r="I330" s="30">
        <f>IFERROR(IF(COUNT(Raw_Data!BL330:BW330)=0,"",SUM(Raw_Data!BL330:BW330)),"")</f>
        <v>1</v>
      </c>
      <c r="J330" s="30" t="str">
        <f>IFERROR(IF(COUNT(Raw_Data!BX330:CI330)=0,"",SUM(Raw_Data!BX330:CI330)),"")</f>
        <v/>
      </c>
      <c r="K330" s="28">
        <f t="shared" si="35"/>
        <v>1.4216867469879517</v>
      </c>
      <c r="L330" s="28">
        <f t="shared" si="36"/>
        <v>-0.42168674698795183</v>
      </c>
      <c r="M330" s="28">
        <f t="shared" si="37"/>
        <v>4.3478260869565216E-2</v>
      </c>
      <c r="N330" s="28" t="str">
        <f t="shared" si="38"/>
        <v/>
      </c>
      <c r="O330" s="7" t="str">
        <f t="shared" si="39"/>
        <v>Invalid</v>
      </c>
      <c r="P330" s="13" t="str">
        <f t="shared" si="40"/>
        <v>Incomplete</v>
      </c>
      <c r="Q330" s="7" t="str">
        <f t="shared" si="41"/>
        <v>Incomplete</v>
      </c>
    </row>
    <row r="331" spans="1:17" ht="60">
      <c r="A331" s="7" t="str">
        <f>IF(Raw_Data!A331="","",TRIM(SUBSTITUTE(CLEAN(Raw_Data!A331),CHAR(160)," ")))</f>
        <v>Kwali Local Government Area</v>
      </c>
      <c r="B331" s="7" t="str">
        <f>IF(Raw_Data!B331="","",TRIM(SUBSTITUTE(CLEAN(Raw_Data!B331),CHAR(160)," ")))</f>
        <v>Kilankwa Ward</v>
      </c>
      <c r="C331" s="7" t="str">
        <f>IF(Raw_Data!C331="","",TRIM(SUBSTITUTE(CLEAN(Raw_Data!C331),CHAR(160)," ")))</f>
        <v>Sheda Primary Health Centre</v>
      </c>
      <c r="D331" s="28">
        <f>IFERROR(IF(COUNT(Raw_Data!D331:O331)=0,"",AVERAGE(Raw_Data!D331:O331)/100),"")</f>
        <v>0.90909090909090906</v>
      </c>
      <c r="E331" s="28">
        <f>IFERROR(IF(COUNT(Raw_Data!P331:AA331)=0,"",AVERAGE(Raw_Data!P331:AA331)/100),"")</f>
        <v>0.75</v>
      </c>
      <c r="F331" s="30">
        <f>IFERROR(IF(COUNT(Raw_Data!AB331:AM331)=0,"",SUM(Raw_Data!AB331:AM331)),"")</f>
        <v>403</v>
      </c>
      <c r="G331" s="30">
        <f>IFERROR(IF(COUNT(Raw_Data!AN331:AY331)=0,"",SUM(Raw_Data!AN331:AY331)),"")</f>
        <v>296</v>
      </c>
      <c r="H331" s="30">
        <f>IFERROR(IF(COUNT(Raw_Data!AZ331:BK331)=0,"",SUM(Raw_Data!AZ331:BK331)),"")</f>
        <v>59</v>
      </c>
      <c r="I331" s="30">
        <f>IFERROR(IF(COUNT(Raw_Data!BL331:BW331)=0,"",SUM(Raw_Data!BL331:BW331)),"")</f>
        <v>25</v>
      </c>
      <c r="J331" s="30">
        <f>IFERROR(IF(COUNT(Raw_Data!BX331:CI331)=0,"",SUM(Raw_Data!BX331:CI331)),"")</f>
        <v>5</v>
      </c>
      <c r="K331" s="28">
        <f t="shared" si="35"/>
        <v>0.73449131513647647</v>
      </c>
      <c r="L331" s="28">
        <f t="shared" si="36"/>
        <v>0.26550868486352358</v>
      </c>
      <c r="M331" s="28">
        <f t="shared" si="37"/>
        <v>0.42372881355932202</v>
      </c>
      <c r="N331" s="28">
        <f t="shared" si="38"/>
        <v>8.4745762711864403E-2</v>
      </c>
      <c r="O331" s="7" t="str">
        <f t="shared" si="39"/>
        <v>Valid</v>
      </c>
      <c r="P331" s="13" t="str">
        <f t="shared" si="40"/>
        <v>Valid</v>
      </c>
      <c r="Q331" s="7" t="str">
        <f t="shared" si="41"/>
        <v>Valid</v>
      </c>
    </row>
    <row r="332" spans="1:17" ht="60">
      <c r="A332" s="7" t="str">
        <f>IF(Raw_Data!A332="","",TRIM(SUBSTITUTE(CLEAN(Raw_Data!A332),CHAR(160)," ")))</f>
        <v>Gwagwalada Local Government Area</v>
      </c>
      <c r="B332" s="7" t="str">
        <f>IF(Raw_Data!B332="","",TRIM(SUBSTITUTE(CLEAN(Raw_Data!B332),CHAR(160)," ")))</f>
        <v>Tungan Maje Ward</v>
      </c>
      <c r="C332" s="7" t="str">
        <f>IF(Raw_Data!C332="","",TRIM(SUBSTITUTE(CLEAN(Raw_Data!C332),CHAR(160)," ")))</f>
        <v>Shenagu Health Clinic</v>
      </c>
      <c r="D332" s="28">
        <f>IFERROR(IF(COUNT(Raw_Data!D332:O332)=0,"",AVERAGE(Raw_Data!D332:O332)/100),"")</f>
        <v>1</v>
      </c>
      <c r="E332" s="28">
        <f>IFERROR(IF(COUNT(Raw_Data!P332:AA332)=0,"",AVERAGE(Raw_Data!P332:AA332)/100),"")</f>
        <v>0.75</v>
      </c>
      <c r="F332" s="30">
        <f>IFERROR(IF(COUNT(Raw_Data!AB332:AM332)=0,"",SUM(Raw_Data!AB332:AM332)),"")</f>
        <v>49</v>
      </c>
      <c r="G332" s="30">
        <f>IFERROR(IF(COUNT(Raw_Data!AN332:AY332)=0,"",SUM(Raw_Data!AN332:AY332)),"")</f>
        <v>18</v>
      </c>
      <c r="H332" s="30">
        <f>IFERROR(IF(COUNT(Raw_Data!AZ332:BK332)=0,"",SUM(Raw_Data!AZ332:BK332)),"")</f>
        <v>46</v>
      </c>
      <c r="I332" s="30">
        <f>IFERROR(IF(COUNT(Raw_Data!BL332:BW332)=0,"",SUM(Raw_Data!BL332:BW332)),"")</f>
        <v>8</v>
      </c>
      <c r="J332" s="30" t="str">
        <f>IFERROR(IF(COUNT(Raw_Data!BX332:CI332)=0,"",SUM(Raw_Data!BX332:CI332)),"")</f>
        <v/>
      </c>
      <c r="K332" s="28">
        <f t="shared" si="35"/>
        <v>0.36734693877551022</v>
      </c>
      <c r="L332" s="28">
        <f t="shared" si="36"/>
        <v>0.63265306122448983</v>
      </c>
      <c r="M332" s="28">
        <f t="shared" si="37"/>
        <v>0.17391304347826086</v>
      </c>
      <c r="N332" s="28" t="str">
        <f t="shared" si="38"/>
        <v/>
      </c>
      <c r="O332" s="7" t="str">
        <f t="shared" si="39"/>
        <v>Valid</v>
      </c>
      <c r="P332" s="13" t="str">
        <f t="shared" si="40"/>
        <v>Incomplete</v>
      </c>
      <c r="Q332" s="7" t="str">
        <f t="shared" si="41"/>
        <v>Incomplete</v>
      </c>
    </row>
    <row r="333" spans="1:17" ht="60">
      <c r="A333" s="7" t="str">
        <f>IF(Raw_Data!A333="","",TRIM(SUBSTITUTE(CLEAN(Raw_Data!A333),CHAR(160)," ")))</f>
        <v>Bwari Local Government Area</v>
      </c>
      <c r="B333" s="7" t="str">
        <f>IF(Raw_Data!B333="","",TRIM(SUBSTITUTE(CLEAN(Raw_Data!B333),CHAR(160)," ")))</f>
        <v>Shere Ward</v>
      </c>
      <c r="C333" s="7" t="str">
        <f>IF(Raw_Data!C333="","",TRIM(SUBSTITUTE(CLEAN(Raw_Data!C333),CHAR(160)," ")))</f>
        <v>Shere Primary Health Center</v>
      </c>
      <c r="D333" s="28">
        <f>IFERROR(IF(COUNT(Raw_Data!D333:O333)=0,"",AVERAGE(Raw_Data!D333:O333)/100),"")</f>
        <v>0.93181818181818188</v>
      </c>
      <c r="E333" s="28">
        <f>IFERROR(IF(COUNT(Raw_Data!P333:AA333)=0,"",AVERAGE(Raw_Data!P333:AA333)/100),"")</f>
        <v>0.54166249999999994</v>
      </c>
      <c r="F333" s="30">
        <f>IFERROR(IF(COUNT(Raw_Data!AB333:AM333)=0,"",SUM(Raw_Data!AB333:AM333)),"")</f>
        <v>166</v>
      </c>
      <c r="G333" s="30">
        <f>IFERROR(IF(COUNT(Raw_Data!AN333:AY333)=0,"",SUM(Raw_Data!AN333:AY333)),"")</f>
        <v>160</v>
      </c>
      <c r="H333" s="30">
        <f>IFERROR(IF(COUNT(Raw_Data!AZ333:BK333)=0,"",SUM(Raw_Data!AZ333:BK333)),"")</f>
        <v>136</v>
      </c>
      <c r="I333" s="30">
        <f>IFERROR(IF(COUNT(Raw_Data!BL333:BW333)=0,"",SUM(Raw_Data!BL333:BW333)),"")</f>
        <v>67</v>
      </c>
      <c r="J333" s="30">
        <f>IFERROR(IF(COUNT(Raw_Data!BX333:CI333)=0,"",SUM(Raw_Data!BX333:CI333)),"")</f>
        <v>6</v>
      </c>
      <c r="K333" s="28">
        <f t="shared" si="35"/>
        <v>0.96385542168674698</v>
      </c>
      <c r="L333" s="28">
        <f t="shared" si="36"/>
        <v>3.614457831325301E-2</v>
      </c>
      <c r="M333" s="28">
        <f t="shared" si="37"/>
        <v>0.49264705882352944</v>
      </c>
      <c r="N333" s="28">
        <f t="shared" si="38"/>
        <v>4.4117647058823532E-2</v>
      </c>
      <c r="O333" s="7" t="str">
        <f t="shared" si="39"/>
        <v>Valid</v>
      </c>
      <c r="P333" s="13" t="str">
        <f t="shared" si="40"/>
        <v>Valid</v>
      </c>
      <c r="Q333" s="7" t="str">
        <f t="shared" si="41"/>
        <v>Valid</v>
      </c>
    </row>
    <row r="334" spans="1:17" ht="60">
      <c r="A334" s="7" t="str">
        <f>IF(Raw_Data!A334="","",TRIM(SUBSTITUTE(CLEAN(Raw_Data!A334),CHAR(160)," ")))</f>
        <v>Bwari Local Government Area</v>
      </c>
      <c r="B334" s="7" t="str">
        <f>IF(Raw_Data!B334="","",TRIM(SUBSTITUTE(CLEAN(Raw_Data!B334),CHAR(160)," ")))</f>
        <v>Shere Ward</v>
      </c>
      <c r="C334" s="7" t="str">
        <f>IF(Raw_Data!C334="","",TRIM(SUBSTITUTE(CLEAN(Raw_Data!C334),CHAR(160)," ")))</f>
        <v>Sherepe Primary Health Clinic</v>
      </c>
      <c r="D334" s="28">
        <f>IFERROR(IF(COUNT(Raw_Data!D334:O334)=0,"",AVERAGE(Raw_Data!D334:O334)/100),"")</f>
        <v>1</v>
      </c>
      <c r="E334" s="28">
        <f>IFERROR(IF(COUNT(Raw_Data!P334:AA334)=0,"",AVERAGE(Raw_Data!P334:AA334)/100),"")</f>
        <v>0.7</v>
      </c>
      <c r="F334" s="30">
        <f>IFERROR(IF(COUNT(Raw_Data!AB334:AM334)=0,"",SUM(Raw_Data!AB334:AM334)),"")</f>
        <v>50</v>
      </c>
      <c r="G334" s="30">
        <f>IFERROR(IF(COUNT(Raw_Data!AN334:AY334)=0,"",SUM(Raw_Data!AN334:AY334)),"")</f>
        <v>66</v>
      </c>
      <c r="H334" s="30">
        <f>IFERROR(IF(COUNT(Raw_Data!AZ334:BK334)=0,"",SUM(Raw_Data!AZ334:BK334)),"")</f>
        <v>7</v>
      </c>
      <c r="I334" s="30" t="str">
        <f>IFERROR(IF(COUNT(Raw_Data!BL334:BW334)=0,"",SUM(Raw_Data!BL334:BW334)),"")</f>
        <v/>
      </c>
      <c r="J334" s="30" t="str">
        <f>IFERROR(IF(COUNT(Raw_Data!BX334:CI334)=0,"",SUM(Raw_Data!BX334:CI334)),"")</f>
        <v/>
      </c>
      <c r="K334" s="28">
        <f t="shared" si="35"/>
        <v>1.32</v>
      </c>
      <c r="L334" s="28">
        <f t="shared" si="36"/>
        <v>-0.32</v>
      </c>
      <c r="M334" s="28" t="str">
        <f t="shared" si="37"/>
        <v/>
      </c>
      <c r="N334" s="28" t="str">
        <f t="shared" si="38"/>
        <v/>
      </c>
      <c r="O334" s="7" t="str">
        <f t="shared" si="39"/>
        <v>Invalid</v>
      </c>
      <c r="P334" s="13" t="str">
        <f t="shared" si="40"/>
        <v>Incomplete</v>
      </c>
      <c r="Q334" s="7" t="str">
        <f t="shared" si="41"/>
        <v>Incomplete</v>
      </c>
    </row>
    <row r="335" spans="1:17" ht="60">
      <c r="A335" s="7" t="str">
        <f>IF(Raw_Data!A335="","",TRIM(SUBSTITUTE(CLEAN(Raw_Data!A335),CHAR(160)," ")))</f>
        <v>Abuja Municipal Area Council</v>
      </c>
      <c r="B335" s="7" t="str">
        <f>IF(Raw_Data!B335="","",TRIM(SUBSTITUTE(CLEAN(Raw_Data!B335),CHAR(160)," ")))</f>
        <v>Kabusa Ward</v>
      </c>
      <c r="C335" s="7" t="str">
        <f>IF(Raw_Data!C335="","",TRIM(SUBSTITUTE(CLEAN(Raw_Data!C335),CHAR(160)," ")))</f>
        <v>Sheretti Primary Health Clinic</v>
      </c>
      <c r="D335" s="28">
        <f>IFERROR(IF(COUNT(Raw_Data!D335:O335)=0,"",AVERAGE(Raw_Data!D335:O335)/100),"")</f>
        <v>1</v>
      </c>
      <c r="E335" s="28" t="str">
        <f>IFERROR(IF(COUNT(Raw_Data!P335:AA335)=0,"",AVERAGE(Raw_Data!P335:AA335)/100),"")</f>
        <v/>
      </c>
      <c r="F335" s="30">
        <f>IFERROR(IF(COUNT(Raw_Data!AB335:AM335)=0,"",SUM(Raw_Data!AB335:AM335)),"")</f>
        <v>868</v>
      </c>
      <c r="G335" s="30">
        <f>IFERROR(IF(COUNT(Raw_Data!AN335:AY335)=0,"",SUM(Raw_Data!AN335:AY335)),"")</f>
        <v>845</v>
      </c>
      <c r="H335" s="30">
        <f>IFERROR(IF(COUNT(Raw_Data!AZ335:BK335)=0,"",SUM(Raw_Data!AZ335:BK335)),"")</f>
        <v>451</v>
      </c>
      <c r="I335" s="30">
        <f>IFERROR(IF(COUNT(Raw_Data!BL335:BW335)=0,"",SUM(Raw_Data!BL335:BW335)),"")</f>
        <v>159</v>
      </c>
      <c r="J335" s="30">
        <f>IFERROR(IF(COUNT(Raw_Data!BX335:CI335)=0,"",SUM(Raw_Data!BX335:CI335)),"")</f>
        <v>53</v>
      </c>
      <c r="K335" s="28">
        <f t="shared" si="35"/>
        <v>0.97350230414746541</v>
      </c>
      <c r="L335" s="28">
        <f t="shared" si="36"/>
        <v>2.6497695852534562E-2</v>
      </c>
      <c r="M335" s="28">
        <f t="shared" si="37"/>
        <v>0.35254988913525498</v>
      </c>
      <c r="N335" s="28">
        <f t="shared" si="38"/>
        <v>0.11751662971175167</v>
      </c>
      <c r="O335" s="7" t="str">
        <f t="shared" si="39"/>
        <v>Valid</v>
      </c>
      <c r="P335" s="13" t="str">
        <f t="shared" si="40"/>
        <v>Valid</v>
      </c>
      <c r="Q335" s="7" t="str">
        <f t="shared" si="41"/>
        <v>Valid</v>
      </c>
    </row>
    <row r="336" spans="1:17" ht="60">
      <c r="A336" s="7" t="str">
        <f>IF(Raw_Data!A336="","",TRIM(SUBSTITUTE(CLEAN(Raw_Data!A336),CHAR(160)," ")))</f>
        <v>Bwari Local Government Area</v>
      </c>
      <c r="B336" s="7" t="str">
        <f>IF(Raw_Data!B336="","",TRIM(SUBSTITUTE(CLEAN(Raw_Data!B336),CHAR(160)," ")))</f>
        <v>Dutse Ward</v>
      </c>
      <c r="C336" s="7" t="str">
        <f>IF(Raw_Data!C336="","",TRIM(SUBSTITUTE(CLEAN(Raw_Data!C336),CHAR(160)," ")))</f>
        <v>Shishipe Primary Health Clinic</v>
      </c>
      <c r="D336" s="28">
        <f>IFERROR(IF(COUNT(Raw_Data!D336:O336)=0,"",AVERAGE(Raw_Data!D336:O336)/100),"")</f>
        <v>0.91363636363636358</v>
      </c>
      <c r="E336" s="28">
        <f>IFERROR(IF(COUNT(Raw_Data!P336:AA336)=0,"",AVERAGE(Raw_Data!P336:AA336)/100),"")</f>
        <v>0.8571428571428571</v>
      </c>
      <c r="F336" s="30">
        <f>IFERROR(IF(COUNT(Raw_Data!AB336:AM336)=0,"",SUM(Raw_Data!AB336:AM336)),"")</f>
        <v>78</v>
      </c>
      <c r="G336" s="30">
        <f>IFERROR(IF(COUNT(Raw_Data!AN336:AY336)=0,"",SUM(Raw_Data!AN336:AY336)),"")</f>
        <v>84</v>
      </c>
      <c r="H336" s="30">
        <f>IFERROR(IF(COUNT(Raw_Data!AZ336:BK336)=0,"",SUM(Raw_Data!AZ336:BK336)),"")</f>
        <v>38</v>
      </c>
      <c r="I336" s="30">
        <f>IFERROR(IF(COUNT(Raw_Data!BL336:BW336)=0,"",SUM(Raw_Data!BL336:BW336)),"")</f>
        <v>21</v>
      </c>
      <c r="J336" s="30">
        <f>IFERROR(IF(COUNT(Raw_Data!BX336:CI336)=0,"",SUM(Raw_Data!BX336:CI336)),"")</f>
        <v>21</v>
      </c>
      <c r="K336" s="28">
        <f t="shared" si="35"/>
        <v>1.0769230769230769</v>
      </c>
      <c r="L336" s="28">
        <f t="shared" si="36"/>
        <v>-7.6923076923076927E-2</v>
      </c>
      <c r="M336" s="28">
        <f t="shared" si="37"/>
        <v>0.55263157894736847</v>
      </c>
      <c r="N336" s="28">
        <f t="shared" si="38"/>
        <v>0.55263157894736847</v>
      </c>
      <c r="O336" s="7" t="str">
        <f t="shared" si="39"/>
        <v>Invalid</v>
      </c>
      <c r="P336" s="13" t="str">
        <f t="shared" si="40"/>
        <v>Valid</v>
      </c>
      <c r="Q336" s="7" t="str">
        <f t="shared" si="41"/>
        <v>Invalid</v>
      </c>
    </row>
    <row r="337" spans="1:17" ht="60">
      <c r="A337" s="7" t="str">
        <f>IF(Raw_Data!A337="","",TRIM(SUBSTITUTE(CLEAN(Raw_Data!A337),CHAR(160)," ")))</f>
        <v>Abuja Municipal Area Council</v>
      </c>
      <c r="B337" s="7" t="str">
        <f>IF(Raw_Data!B337="","",TRIM(SUBSTITUTE(CLEAN(Raw_Data!B337),CHAR(160)," ")))</f>
        <v>Gwarimpa Ward</v>
      </c>
      <c r="C337" s="7" t="str">
        <f>IF(Raw_Data!C337="","",TRIM(SUBSTITUTE(CLEAN(Raw_Data!C337),CHAR(160)," ")))</f>
        <v>Silver Fountain Medical Center</v>
      </c>
      <c r="D337" s="28" t="str">
        <f>IFERROR(IF(COUNT(Raw_Data!D337:O337)=0,"",AVERAGE(Raw_Data!D337:O337)/100),"")</f>
        <v/>
      </c>
      <c r="E337" s="28" t="str">
        <f>IFERROR(IF(COUNT(Raw_Data!P337:AA337)=0,"",AVERAGE(Raw_Data!P337:AA337)/100),"")</f>
        <v/>
      </c>
      <c r="F337" s="30" t="str">
        <f>IFERROR(IF(COUNT(Raw_Data!AB337:AM337)=0,"",SUM(Raw_Data!AB337:AM337)),"")</f>
        <v/>
      </c>
      <c r="G337" s="30" t="str">
        <f>IFERROR(IF(COUNT(Raw_Data!AN337:AY337)=0,"",SUM(Raw_Data!AN337:AY337)),"")</f>
        <v/>
      </c>
      <c r="H337" s="30">
        <f>IFERROR(IF(COUNT(Raw_Data!AZ337:BK337)=0,"",SUM(Raw_Data!AZ337:BK337)),"")</f>
        <v>3</v>
      </c>
      <c r="I337" s="30">
        <f>IFERROR(IF(COUNT(Raw_Data!BL337:BW337)=0,"",SUM(Raw_Data!BL337:BW337)),"")</f>
        <v>5</v>
      </c>
      <c r="J337" s="30" t="str">
        <f>IFERROR(IF(COUNT(Raw_Data!BX337:CI337)=0,"",SUM(Raw_Data!BX337:CI337)),"")</f>
        <v/>
      </c>
      <c r="K337" s="28" t="str">
        <f t="shared" si="35"/>
        <v/>
      </c>
      <c r="L337" s="28" t="str">
        <f t="shared" si="36"/>
        <v/>
      </c>
      <c r="M337" s="28">
        <f t="shared" si="37"/>
        <v>1.6666666666666667</v>
      </c>
      <c r="N337" s="28" t="str">
        <f t="shared" si="38"/>
        <v/>
      </c>
      <c r="O337" s="7" t="str">
        <f t="shared" si="39"/>
        <v>No Data</v>
      </c>
      <c r="P337" s="13" t="str">
        <f t="shared" si="40"/>
        <v>Incomplete</v>
      </c>
      <c r="Q337" s="7" t="str">
        <f t="shared" si="41"/>
        <v>No Data</v>
      </c>
    </row>
    <row r="338" spans="1:17" ht="60">
      <c r="A338" s="7" t="str">
        <f>IF(Raw_Data!A338="","",TRIM(SUBSTITUTE(CLEAN(Raw_Data!A338),CHAR(160)," ")))</f>
        <v>Abuja Municipal Area Council</v>
      </c>
      <c r="B338" s="7" t="str">
        <f>IF(Raw_Data!B338="","",TRIM(SUBSTITUTE(CLEAN(Raw_Data!B338),CHAR(160)," ")))</f>
        <v>Karu Ward</v>
      </c>
      <c r="C338" s="7" t="str">
        <f>IF(Raw_Data!C338="","",TRIM(SUBSTITUTE(CLEAN(Raw_Data!C338),CHAR(160)," ")))</f>
        <v>Sisters of Nativity Hospital</v>
      </c>
      <c r="D338" s="28">
        <f>IFERROR(IF(COUNT(Raw_Data!D338:O338)=0,"",AVERAGE(Raw_Data!D338:O338)/100),"")</f>
        <v>1</v>
      </c>
      <c r="E338" s="28" t="str">
        <f>IFERROR(IF(COUNT(Raw_Data!P338:AA338)=0,"",AVERAGE(Raw_Data!P338:AA338)/100),"")</f>
        <v/>
      </c>
      <c r="F338" s="30">
        <f>IFERROR(IF(COUNT(Raw_Data!AB338:AM338)=0,"",SUM(Raw_Data!AB338:AM338)),"")</f>
        <v>238</v>
      </c>
      <c r="G338" s="30">
        <f>IFERROR(IF(COUNT(Raw_Data!AN338:AY338)=0,"",SUM(Raw_Data!AN338:AY338)),"")</f>
        <v>186</v>
      </c>
      <c r="H338" s="30">
        <f>IFERROR(IF(COUNT(Raw_Data!AZ338:BK338)=0,"",SUM(Raw_Data!AZ338:BK338)),"")</f>
        <v>491</v>
      </c>
      <c r="I338" s="30">
        <f>IFERROR(IF(COUNT(Raw_Data!BL338:BW338)=0,"",SUM(Raw_Data!BL338:BW338)),"")</f>
        <v>337</v>
      </c>
      <c r="J338" s="30">
        <f>IFERROR(IF(COUNT(Raw_Data!BX338:CI338)=0,"",SUM(Raw_Data!BX338:CI338)),"")</f>
        <v>182</v>
      </c>
      <c r="K338" s="28">
        <f t="shared" si="35"/>
        <v>0.78151260504201681</v>
      </c>
      <c r="L338" s="28">
        <f t="shared" si="36"/>
        <v>0.21848739495798319</v>
      </c>
      <c r="M338" s="28">
        <f t="shared" si="37"/>
        <v>0.68635437881873729</v>
      </c>
      <c r="N338" s="28">
        <f t="shared" si="38"/>
        <v>0.37067209775967414</v>
      </c>
      <c r="O338" s="7" t="str">
        <f t="shared" si="39"/>
        <v>Valid</v>
      </c>
      <c r="P338" s="13" t="str">
        <f t="shared" si="40"/>
        <v>Valid</v>
      </c>
      <c r="Q338" s="7" t="str">
        <f t="shared" si="41"/>
        <v>Valid</v>
      </c>
    </row>
    <row r="339" spans="1:17" ht="90">
      <c r="A339" s="7" t="str">
        <f>IF(Raw_Data!A339="","",TRIM(SUBSTITUTE(CLEAN(Raw_Data!A339),CHAR(160)," ")))</f>
        <v>Abaji Local Government Area</v>
      </c>
      <c r="B339" s="7" t="str">
        <f>IF(Raw_Data!B339="","",TRIM(SUBSTITUTE(CLEAN(Raw_Data!B339),CHAR(160)," ")))</f>
        <v>South East Ward</v>
      </c>
      <c r="C339" s="7" t="str">
        <f>IF(Raw_Data!C339="","",TRIM(SUBSTITUTE(CLEAN(Raw_Data!C339),CHAR(160)," ")))</f>
        <v>South East Primary Healthcare Centre</v>
      </c>
      <c r="D339" s="28">
        <f>IFERROR(IF(COUNT(Raw_Data!D339:O339)=0,"",AVERAGE(Raw_Data!D339:O339)/100),"")</f>
        <v>0.97499999999999998</v>
      </c>
      <c r="E339" s="28">
        <f>IFERROR(IF(COUNT(Raw_Data!P339:AA339)=0,"",AVERAGE(Raw_Data!P339:AA339)/100),"")</f>
        <v>0.57499999999999996</v>
      </c>
      <c r="F339" s="30">
        <f>IFERROR(IF(COUNT(Raw_Data!AB339:AM339)=0,"",SUM(Raw_Data!AB339:AM339)),"")</f>
        <v>148</v>
      </c>
      <c r="G339" s="30">
        <f>IFERROR(IF(COUNT(Raw_Data!AN339:AY339)=0,"",SUM(Raw_Data!AN339:AY339)),"")</f>
        <v>139</v>
      </c>
      <c r="H339" s="30">
        <f>IFERROR(IF(COUNT(Raw_Data!AZ339:BK339)=0,"",SUM(Raw_Data!AZ339:BK339)),"")</f>
        <v>28</v>
      </c>
      <c r="I339" s="30">
        <f>IFERROR(IF(COUNT(Raw_Data!BL339:BW339)=0,"",SUM(Raw_Data!BL339:BW339)),"")</f>
        <v>17</v>
      </c>
      <c r="J339" s="30" t="str">
        <f>IFERROR(IF(COUNT(Raw_Data!BX339:CI339)=0,"",SUM(Raw_Data!BX339:CI339)),"")</f>
        <v/>
      </c>
      <c r="K339" s="28">
        <f t="shared" si="35"/>
        <v>0.93918918918918914</v>
      </c>
      <c r="L339" s="28">
        <f t="shared" si="36"/>
        <v>6.0810810810810814E-2</v>
      </c>
      <c r="M339" s="28">
        <f t="shared" si="37"/>
        <v>0.6071428571428571</v>
      </c>
      <c r="N339" s="28" t="str">
        <f t="shared" si="38"/>
        <v/>
      </c>
      <c r="O339" s="7" t="str">
        <f t="shared" si="39"/>
        <v>Valid</v>
      </c>
      <c r="P339" s="13" t="str">
        <f t="shared" si="40"/>
        <v>Incomplete</v>
      </c>
      <c r="Q339" s="7" t="str">
        <f t="shared" si="41"/>
        <v>Incomplete</v>
      </c>
    </row>
    <row r="340" spans="1:17" ht="60">
      <c r="A340" s="7" t="str">
        <f>IF(Raw_Data!A340="","",TRIM(SUBSTITUTE(CLEAN(Raw_Data!A340),CHAR(160)," ")))</f>
        <v>Gwagwalada Local Government Area</v>
      </c>
      <c r="B340" s="7" t="str">
        <f>IF(Raw_Data!B340="","",TRIM(SUBSTITUTE(CLEAN(Raw_Data!B340),CHAR(160)," ")))</f>
        <v>Kutunku Ward</v>
      </c>
      <c r="C340" s="7" t="str">
        <f>IF(Raw_Data!C340="","",TRIM(SUBSTITUTE(CLEAN(Raw_Data!C340),CHAR(160)," ")))</f>
        <v>St. Mary'S Catholic Hospital</v>
      </c>
      <c r="D340" s="28">
        <f>IFERROR(IF(COUNT(Raw_Data!D340:O340)=0,"",AVERAGE(Raw_Data!D340:O340)/100),"")</f>
        <v>1</v>
      </c>
      <c r="E340" s="28" t="str">
        <f>IFERROR(IF(COUNT(Raw_Data!P340:AA340)=0,"",AVERAGE(Raw_Data!P340:AA340)/100),"")</f>
        <v/>
      </c>
      <c r="F340" s="30">
        <f>IFERROR(IF(COUNT(Raw_Data!AB340:AM340)=0,"",SUM(Raw_Data!AB340:AM340)),"")</f>
        <v>228</v>
      </c>
      <c r="G340" s="30">
        <f>IFERROR(IF(COUNT(Raw_Data!AN340:AY340)=0,"",SUM(Raw_Data!AN340:AY340)),"")</f>
        <v>198</v>
      </c>
      <c r="H340" s="30">
        <f>IFERROR(IF(COUNT(Raw_Data!AZ340:BK340)=0,"",SUM(Raw_Data!AZ340:BK340)),"")</f>
        <v>383</v>
      </c>
      <c r="I340" s="30">
        <f>IFERROR(IF(COUNT(Raw_Data!BL340:BW340)=0,"",SUM(Raw_Data!BL340:BW340)),"")</f>
        <v>233</v>
      </c>
      <c r="J340" s="30">
        <f>IFERROR(IF(COUNT(Raw_Data!BX340:CI340)=0,"",SUM(Raw_Data!BX340:CI340)),"")</f>
        <v>196</v>
      </c>
      <c r="K340" s="28">
        <f t="shared" si="35"/>
        <v>0.86842105263157898</v>
      </c>
      <c r="L340" s="28">
        <f t="shared" si="36"/>
        <v>0.13157894736842105</v>
      </c>
      <c r="M340" s="28">
        <f t="shared" si="37"/>
        <v>0.60835509138381205</v>
      </c>
      <c r="N340" s="28">
        <f t="shared" si="38"/>
        <v>0.51174934725848564</v>
      </c>
      <c r="O340" s="7" t="str">
        <f t="shared" si="39"/>
        <v>Valid</v>
      </c>
      <c r="P340" s="13" t="str">
        <f t="shared" si="40"/>
        <v>Valid</v>
      </c>
      <c r="Q340" s="7" t="str">
        <f t="shared" si="41"/>
        <v>Valid</v>
      </c>
    </row>
    <row r="341" spans="1:17" ht="75">
      <c r="A341" s="7" t="str">
        <f>IF(Raw_Data!A341="","",TRIM(SUBSTITUTE(CLEAN(Raw_Data!A341),CHAR(160)," ")))</f>
        <v>Abuja Municipal Area Council</v>
      </c>
      <c r="B341" s="7" t="str">
        <f>IF(Raw_Data!B341="","",TRIM(SUBSTITUTE(CLEAN(Raw_Data!B341),CHAR(160)," ")))</f>
        <v>Wuse Ward</v>
      </c>
      <c r="C341" s="7" t="str">
        <f>IF(Raw_Data!C341="","",TRIM(SUBSTITUTE(CLEAN(Raw_Data!C341),CHAR(160)," ")))</f>
        <v>State House Clinic (Asokoro)</v>
      </c>
      <c r="D341" s="28">
        <f>IFERROR(IF(COUNT(Raw_Data!D341:O341)=0,"",AVERAGE(Raw_Data!D341:O341)/100),"")</f>
        <v>1</v>
      </c>
      <c r="E341" s="28" t="str">
        <f>IFERROR(IF(COUNT(Raw_Data!P341:AA341)=0,"",AVERAGE(Raw_Data!P341:AA341)/100),"")</f>
        <v/>
      </c>
      <c r="F341" s="30">
        <f>IFERROR(IF(COUNT(Raw_Data!AB341:AM341)=0,"",SUM(Raw_Data!AB341:AM341)),"")</f>
        <v>57</v>
      </c>
      <c r="G341" s="30">
        <f>IFERROR(IF(COUNT(Raw_Data!AN341:AY341)=0,"",SUM(Raw_Data!AN341:AY341)),"")</f>
        <v>53</v>
      </c>
      <c r="H341" s="30">
        <f>IFERROR(IF(COUNT(Raw_Data!AZ341:BK341)=0,"",SUM(Raw_Data!AZ341:BK341)),"")</f>
        <v>58</v>
      </c>
      <c r="I341" s="30">
        <f>IFERROR(IF(COUNT(Raw_Data!BL341:BW341)=0,"",SUM(Raw_Data!BL341:BW341)),"")</f>
        <v>69</v>
      </c>
      <c r="J341" s="30">
        <f>IFERROR(IF(COUNT(Raw_Data!BX341:CI341)=0,"",SUM(Raw_Data!BX341:CI341)),"")</f>
        <v>43</v>
      </c>
      <c r="K341" s="28">
        <f t="shared" si="35"/>
        <v>0.92982456140350878</v>
      </c>
      <c r="L341" s="28">
        <f t="shared" si="36"/>
        <v>7.0175438596491224E-2</v>
      </c>
      <c r="M341" s="28">
        <f t="shared" si="37"/>
        <v>1.1896551724137931</v>
      </c>
      <c r="N341" s="28">
        <f t="shared" si="38"/>
        <v>0.74137931034482762</v>
      </c>
      <c r="O341" s="7" t="str">
        <f t="shared" si="39"/>
        <v>Valid</v>
      </c>
      <c r="P341" s="13" t="str">
        <f t="shared" si="40"/>
        <v>Invalid</v>
      </c>
      <c r="Q341" s="7" t="str">
        <f t="shared" si="41"/>
        <v>Invalid</v>
      </c>
    </row>
    <row r="342" spans="1:17" ht="60">
      <c r="A342" s="7" t="str">
        <f>IF(Raw_Data!A342="","",TRIM(SUBSTITUTE(CLEAN(Raw_Data!A342),CHAR(160)," ")))</f>
        <v>Kwali Local Government Area</v>
      </c>
      <c r="B342" s="7" t="str">
        <f>IF(Raw_Data!B342="","",TRIM(SUBSTITUTE(CLEAN(Raw_Data!B342),CHAR(160)," ")))</f>
        <v>Yangoji Ward</v>
      </c>
      <c r="C342" s="7" t="str">
        <f>IF(Raw_Data!C342="","",TRIM(SUBSTITUTE(CLEAN(Raw_Data!C342),CHAR(160)," ")))</f>
        <v>Sukuku Primay Health Clinic</v>
      </c>
      <c r="D342" s="28">
        <f>IFERROR(IF(COUNT(Raw_Data!D342:O342)=0,"",AVERAGE(Raw_Data!D342:O342)/100),"")</f>
        <v>1.05</v>
      </c>
      <c r="E342" s="28">
        <f>IFERROR(IF(COUNT(Raw_Data!P342:AA342)=0,"",AVERAGE(Raw_Data!P342:AA342)/100),"")</f>
        <v>0.9</v>
      </c>
      <c r="F342" s="30">
        <f>IFERROR(IF(COUNT(Raw_Data!AB342:AM342)=0,"",SUM(Raw_Data!AB342:AM342)),"")</f>
        <v>200</v>
      </c>
      <c r="G342" s="30">
        <f>IFERROR(IF(COUNT(Raw_Data!AN342:AY342)=0,"",SUM(Raw_Data!AN342:AY342)),"")</f>
        <v>205</v>
      </c>
      <c r="H342" s="30">
        <f>IFERROR(IF(COUNT(Raw_Data!AZ342:BK342)=0,"",SUM(Raw_Data!AZ342:BK342)),"")</f>
        <v>88</v>
      </c>
      <c r="I342" s="30">
        <f>IFERROR(IF(COUNT(Raw_Data!BL342:BW342)=0,"",SUM(Raw_Data!BL342:BW342)),"")</f>
        <v>14</v>
      </c>
      <c r="J342" s="30" t="str">
        <f>IFERROR(IF(COUNT(Raw_Data!BX342:CI342)=0,"",SUM(Raw_Data!BX342:CI342)),"")</f>
        <v/>
      </c>
      <c r="K342" s="28">
        <f t="shared" si="35"/>
        <v>1.0249999999999999</v>
      </c>
      <c r="L342" s="28">
        <f t="shared" si="36"/>
        <v>-2.5000000000000001E-2</v>
      </c>
      <c r="M342" s="28">
        <f t="shared" si="37"/>
        <v>0.15909090909090909</v>
      </c>
      <c r="N342" s="28" t="str">
        <f t="shared" si="38"/>
        <v/>
      </c>
      <c r="O342" s="7" t="str">
        <f t="shared" si="39"/>
        <v>Invalid</v>
      </c>
      <c r="P342" s="13" t="str">
        <f t="shared" si="40"/>
        <v>Incomplete</v>
      </c>
      <c r="Q342" s="7" t="str">
        <f t="shared" si="41"/>
        <v>Incomplete</v>
      </c>
    </row>
    <row r="343" spans="1:17" ht="60">
      <c r="A343" s="7" t="str">
        <f>IF(Raw_Data!A343="","",TRIM(SUBSTITUTE(CLEAN(Raw_Data!A343),CHAR(160)," ")))</f>
        <v>Bwari Local Government Area</v>
      </c>
      <c r="B343" s="7" t="str">
        <f>IF(Raw_Data!B343="","",TRIM(SUBSTITUTE(CLEAN(Raw_Data!B343),CHAR(160)," ")))</f>
        <v>Shere Ward</v>
      </c>
      <c r="C343" s="7" t="str">
        <f>IF(Raw_Data!C343="","",TRIM(SUBSTITUTE(CLEAN(Raw_Data!C343),CHAR(160)," ")))</f>
        <v>Sumpe Primary Health Clinic</v>
      </c>
      <c r="D343" s="28">
        <f>IFERROR(IF(COUNT(Raw_Data!D343:O343)=0,"",AVERAGE(Raw_Data!D343:O343)/100),"")</f>
        <v>0.86363636363636365</v>
      </c>
      <c r="E343" s="28">
        <f>IFERROR(IF(COUNT(Raw_Data!P343:AA343)=0,"",AVERAGE(Raw_Data!P343:AA343)/100),"")</f>
        <v>0.65</v>
      </c>
      <c r="F343" s="30">
        <f>IFERROR(IF(COUNT(Raw_Data!AB343:AM343)=0,"",SUM(Raw_Data!AB343:AM343)),"")</f>
        <v>63</v>
      </c>
      <c r="G343" s="30">
        <f>IFERROR(IF(COUNT(Raw_Data!AN343:AY343)=0,"",SUM(Raw_Data!AN343:AY343)),"")</f>
        <v>62</v>
      </c>
      <c r="H343" s="30">
        <f>IFERROR(IF(COUNT(Raw_Data!AZ343:BK343)=0,"",SUM(Raw_Data!AZ343:BK343)),"")</f>
        <v>19</v>
      </c>
      <c r="I343" s="30">
        <f>IFERROR(IF(COUNT(Raw_Data!BL343:BW343)=0,"",SUM(Raw_Data!BL343:BW343)),"")</f>
        <v>14</v>
      </c>
      <c r="J343" s="30">
        <f>IFERROR(IF(COUNT(Raw_Data!BX343:CI343)=0,"",SUM(Raw_Data!BX343:CI343)),"")</f>
        <v>6</v>
      </c>
      <c r="K343" s="28">
        <f t="shared" si="35"/>
        <v>0.98412698412698407</v>
      </c>
      <c r="L343" s="28">
        <f t="shared" si="36"/>
        <v>1.5873015873015872E-2</v>
      </c>
      <c r="M343" s="28">
        <f t="shared" si="37"/>
        <v>0.73684210526315785</v>
      </c>
      <c r="N343" s="28">
        <f t="shared" si="38"/>
        <v>0.31578947368421051</v>
      </c>
      <c r="O343" s="7" t="str">
        <f t="shared" si="39"/>
        <v>Valid</v>
      </c>
      <c r="P343" s="13" t="str">
        <f t="shared" si="40"/>
        <v>Valid</v>
      </c>
      <c r="Q343" s="7" t="str">
        <f t="shared" si="41"/>
        <v>Valid</v>
      </c>
    </row>
    <row r="344" spans="1:17" ht="60">
      <c r="A344" s="7" t="str">
        <f>IF(Raw_Data!A344="","",TRIM(SUBSTITUTE(CLEAN(Raw_Data!A344),CHAR(160)," ")))</f>
        <v>Abuja Municipal Area Council</v>
      </c>
      <c r="B344" s="7" t="str">
        <f>IF(Raw_Data!B344="","",TRIM(SUBSTITUTE(CLEAN(Raw_Data!B344),CHAR(160)," ")))</f>
        <v>City Centre Ward</v>
      </c>
      <c r="C344" s="7" t="str">
        <f>IF(Raw_Data!C344="","",TRIM(SUBSTITUTE(CLEAN(Raw_Data!C344),CHAR(160)," ")))</f>
        <v>Supreme Court Of Nigeria Clinic</v>
      </c>
      <c r="D344" s="28">
        <f>IFERROR(IF(COUNT(Raw_Data!D344:O344)=0,"",AVERAGE(Raw_Data!D344:O344)/100),"")</f>
        <v>1.125</v>
      </c>
      <c r="E344" s="28" t="str">
        <f>IFERROR(IF(COUNT(Raw_Data!P344:AA344)=0,"",AVERAGE(Raw_Data!P344:AA344)/100),"")</f>
        <v/>
      </c>
      <c r="F344" s="30">
        <f>IFERROR(IF(COUNT(Raw_Data!AB344:AM344)=0,"",SUM(Raw_Data!AB344:AM344)),"")</f>
        <v>11</v>
      </c>
      <c r="G344" s="30">
        <f>IFERROR(IF(COUNT(Raw_Data!AN344:AY344)=0,"",SUM(Raw_Data!AN344:AY344)),"")</f>
        <v>15</v>
      </c>
      <c r="H344" s="30">
        <f>IFERROR(IF(COUNT(Raw_Data!AZ344:BK344)=0,"",SUM(Raw_Data!AZ344:BK344)),"")</f>
        <v>2</v>
      </c>
      <c r="I344" s="30" t="str">
        <f>IFERROR(IF(COUNT(Raw_Data!BL344:BW344)=0,"",SUM(Raw_Data!BL344:BW344)),"")</f>
        <v/>
      </c>
      <c r="J344" s="30" t="str">
        <f>IFERROR(IF(COUNT(Raw_Data!BX344:CI344)=0,"",SUM(Raw_Data!BX344:CI344)),"")</f>
        <v/>
      </c>
      <c r="K344" s="28">
        <f t="shared" si="35"/>
        <v>1.3636363636363635</v>
      </c>
      <c r="L344" s="28">
        <f t="shared" si="36"/>
        <v>-0.36363636363636365</v>
      </c>
      <c r="M344" s="28" t="str">
        <f t="shared" si="37"/>
        <v/>
      </c>
      <c r="N344" s="28" t="str">
        <f t="shared" si="38"/>
        <v/>
      </c>
      <c r="O344" s="7" t="str">
        <f t="shared" si="39"/>
        <v>Invalid</v>
      </c>
      <c r="P344" s="13" t="str">
        <f t="shared" si="40"/>
        <v>Incomplete</v>
      </c>
      <c r="Q344" s="7" t="str">
        <f t="shared" si="41"/>
        <v>Incomplete</v>
      </c>
    </row>
    <row r="345" spans="1:17" ht="75">
      <c r="A345" s="7" t="str">
        <f>IF(Raw_Data!A345="","",TRIM(SUBSTITUTE(CLEAN(Raw_Data!A345),CHAR(160)," ")))</f>
        <v>Abuja Municipal Area Council</v>
      </c>
      <c r="B345" s="7" t="str">
        <f>IF(Raw_Data!B345="","",TRIM(SUBSTITUTE(CLEAN(Raw_Data!B345),CHAR(160)," ")))</f>
        <v>Kabusa Ward</v>
      </c>
      <c r="C345" s="7" t="str">
        <f>IF(Raw_Data!C345="","",TRIM(SUBSTITUTE(CLEAN(Raw_Data!C345),CHAR(160)," ")))</f>
        <v>Takushara Primary Health Clinic</v>
      </c>
      <c r="D345" s="28">
        <f>IFERROR(IF(COUNT(Raw_Data!D345:O345)=0,"",AVERAGE(Raw_Data!D345:O345)/100),"")</f>
        <v>0.92500000000000004</v>
      </c>
      <c r="E345" s="28">
        <f>IFERROR(IF(COUNT(Raw_Data!P345:AA345)=0,"",AVERAGE(Raw_Data!P345:AA345)/100),"")</f>
        <v>0.25</v>
      </c>
      <c r="F345" s="30">
        <f>IFERROR(IF(COUNT(Raw_Data!AB345:AM345)=0,"",SUM(Raw_Data!AB345:AM345)),"")</f>
        <v>154</v>
      </c>
      <c r="G345" s="30">
        <f>IFERROR(IF(COUNT(Raw_Data!AN345:AY345)=0,"",SUM(Raw_Data!AN345:AY345)),"")</f>
        <v>110</v>
      </c>
      <c r="H345" s="30">
        <f>IFERROR(IF(COUNT(Raw_Data!AZ345:BK345)=0,"",SUM(Raw_Data!AZ345:BK345)),"")</f>
        <v>167</v>
      </c>
      <c r="I345" s="30">
        <f>IFERROR(IF(COUNT(Raw_Data!BL345:BW345)=0,"",SUM(Raw_Data!BL345:BW345)),"")</f>
        <v>51</v>
      </c>
      <c r="J345" s="30">
        <f>IFERROR(IF(COUNT(Raw_Data!BX345:CI345)=0,"",SUM(Raw_Data!BX345:CI345)),"")</f>
        <v>7</v>
      </c>
      <c r="K345" s="28">
        <f t="shared" si="35"/>
        <v>0.7142857142857143</v>
      </c>
      <c r="L345" s="28">
        <f t="shared" si="36"/>
        <v>0.2857142857142857</v>
      </c>
      <c r="M345" s="28">
        <f t="shared" si="37"/>
        <v>0.30538922155688625</v>
      </c>
      <c r="N345" s="28">
        <f t="shared" si="38"/>
        <v>4.1916167664670656E-2</v>
      </c>
      <c r="O345" s="7" t="str">
        <f t="shared" si="39"/>
        <v>Valid</v>
      </c>
      <c r="P345" s="13" t="str">
        <f t="shared" si="40"/>
        <v>Valid</v>
      </c>
      <c r="Q345" s="7" t="str">
        <f t="shared" si="41"/>
        <v>Valid</v>
      </c>
    </row>
    <row r="346" spans="1:17" ht="60">
      <c r="A346" s="7" t="str">
        <f>IF(Raw_Data!A346="","",TRIM(SUBSTITUTE(CLEAN(Raw_Data!A346),CHAR(160)," ")))</f>
        <v>Abuja Municipal Area Council</v>
      </c>
      <c r="B346" s="7" t="str">
        <f>IF(Raw_Data!B346="","",TRIM(SUBSTITUTE(CLEAN(Raw_Data!B346),CHAR(160)," ")))</f>
        <v>Kabusa Ward</v>
      </c>
      <c r="C346" s="7" t="str">
        <f>IF(Raw_Data!C346="","",TRIM(SUBSTITUTE(CLEAN(Raw_Data!C346),CHAR(160)," ")))</f>
        <v>Talek Clinic</v>
      </c>
      <c r="D346" s="28" t="str">
        <f>IFERROR(IF(COUNT(Raw_Data!D346:O346)=0,"",AVERAGE(Raw_Data!D346:O346)/100),"")</f>
        <v/>
      </c>
      <c r="E346" s="28" t="str">
        <f>IFERROR(IF(COUNT(Raw_Data!P346:AA346)=0,"",AVERAGE(Raw_Data!P346:AA346)/100),"")</f>
        <v/>
      </c>
      <c r="F346" s="30">
        <f>IFERROR(IF(COUNT(Raw_Data!AB346:AM346)=0,"",SUM(Raw_Data!AB346:AM346)),"")</f>
        <v>202</v>
      </c>
      <c r="G346" s="30">
        <f>IFERROR(IF(COUNT(Raw_Data!AN346:AY346)=0,"",SUM(Raw_Data!AN346:AY346)),"")</f>
        <v>207</v>
      </c>
      <c r="H346" s="30">
        <f>IFERROR(IF(COUNT(Raw_Data!AZ346:BK346)=0,"",SUM(Raw_Data!AZ346:BK346)),"")</f>
        <v>68</v>
      </c>
      <c r="I346" s="30">
        <f>IFERROR(IF(COUNT(Raw_Data!BL346:BW346)=0,"",SUM(Raw_Data!BL346:BW346)),"")</f>
        <v>25</v>
      </c>
      <c r="J346" s="30">
        <f>IFERROR(IF(COUNT(Raw_Data!BX346:CI346)=0,"",SUM(Raw_Data!BX346:CI346)),"")</f>
        <v>26</v>
      </c>
      <c r="K346" s="28">
        <f t="shared" si="35"/>
        <v>1.0247524752475248</v>
      </c>
      <c r="L346" s="28">
        <f t="shared" si="36"/>
        <v>-2.4752475247524754E-2</v>
      </c>
      <c r="M346" s="28">
        <f t="shared" si="37"/>
        <v>0.36764705882352944</v>
      </c>
      <c r="N346" s="28">
        <f t="shared" si="38"/>
        <v>0.38235294117647056</v>
      </c>
      <c r="O346" s="7" t="str">
        <f t="shared" si="39"/>
        <v>Invalid</v>
      </c>
      <c r="P346" s="13" t="str">
        <f t="shared" si="40"/>
        <v>Invalid</v>
      </c>
      <c r="Q346" s="7" t="str">
        <f t="shared" si="41"/>
        <v>Invalid</v>
      </c>
    </row>
    <row r="347" spans="1:17" ht="60">
      <c r="A347" s="7" t="str">
        <f>IF(Raw_Data!A347="","",TRIM(SUBSTITUTE(CLEAN(Raw_Data!A347),CHAR(160)," ")))</f>
        <v>Abuja Municipal Area Council</v>
      </c>
      <c r="B347" s="7" t="str">
        <f>IF(Raw_Data!B347="","",TRIM(SUBSTITUTE(CLEAN(Raw_Data!B347),CHAR(160)," ")))</f>
        <v>Kabusa Ward</v>
      </c>
      <c r="C347" s="7" t="str">
        <f>IF(Raw_Data!C347="","",TRIM(SUBSTITUTE(CLEAN(Raw_Data!C347),CHAR(160)," ")))</f>
        <v>Taprobane Medical Centre</v>
      </c>
      <c r="D347" s="28">
        <f>IFERROR(IF(COUNT(Raw_Data!D347:O347)=0,"",AVERAGE(Raw_Data!D347:O347)/100),"")</f>
        <v>0.5</v>
      </c>
      <c r="E347" s="28" t="str">
        <f>IFERROR(IF(COUNT(Raw_Data!P347:AA347)=0,"",AVERAGE(Raw_Data!P347:AA347)/100),"")</f>
        <v/>
      </c>
      <c r="F347" s="30" t="str">
        <f>IFERROR(IF(COUNT(Raw_Data!AB347:AM347)=0,"",SUM(Raw_Data!AB347:AM347)),"")</f>
        <v/>
      </c>
      <c r="G347" s="30" t="str">
        <f>IFERROR(IF(COUNT(Raw_Data!AN347:AY347)=0,"",SUM(Raw_Data!AN347:AY347)),"")</f>
        <v/>
      </c>
      <c r="H347" s="30" t="str">
        <f>IFERROR(IF(COUNT(Raw_Data!AZ347:BK347)=0,"",SUM(Raw_Data!AZ347:BK347)),"")</f>
        <v/>
      </c>
      <c r="I347" s="30" t="str">
        <f>IFERROR(IF(COUNT(Raw_Data!BL347:BW347)=0,"",SUM(Raw_Data!BL347:BW347)),"")</f>
        <v/>
      </c>
      <c r="J347" s="30" t="str">
        <f>IFERROR(IF(COUNT(Raw_Data!BX347:CI347)=0,"",SUM(Raw_Data!BX347:CI347)),"")</f>
        <v/>
      </c>
      <c r="K347" s="28" t="str">
        <f t="shared" si="35"/>
        <v/>
      </c>
      <c r="L347" s="28" t="str">
        <f t="shared" si="36"/>
        <v/>
      </c>
      <c r="M347" s="28" t="str">
        <f t="shared" si="37"/>
        <v/>
      </c>
      <c r="N347" s="28" t="str">
        <f t="shared" si="38"/>
        <v/>
      </c>
      <c r="O347" s="7" t="str">
        <f t="shared" si="39"/>
        <v>No Data</v>
      </c>
      <c r="P347" s="13" t="str">
        <f t="shared" si="40"/>
        <v>No Data</v>
      </c>
      <c r="Q347" s="7" t="str">
        <f t="shared" si="41"/>
        <v>No Data</v>
      </c>
    </row>
    <row r="348" spans="1:17" ht="60">
      <c r="A348" s="7" t="str">
        <f>IF(Raw_Data!A348="","",TRIM(SUBSTITUTE(CLEAN(Raw_Data!A348),CHAR(160)," ")))</f>
        <v>Kuje Local Government Area</v>
      </c>
      <c r="B348" s="7" t="str">
        <f>IF(Raw_Data!B348="","",TRIM(SUBSTITUTE(CLEAN(Raw_Data!B348),CHAR(160)," ")))</f>
        <v>Gudunkarya Ward</v>
      </c>
      <c r="C348" s="7" t="str">
        <f>IF(Raw_Data!C348="","",TRIM(SUBSTITUTE(CLEAN(Raw_Data!C348),CHAR(160)," ")))</f>
        <v>Tashara Primary Health Centre</v>
      </c>
      <c r="D348" s="28">
        <f>IFERROR(IF(COUNT(Raw_Data!D348:O348)=0,"",AVERAGE(Raw_Data!D348:O348)/100),"")</f>
        <v>0.7857142857142857</v>
      </c>
      <c r="E348" s="28">
        <f>IFERROR(IF(COUNT(Raw_Data!P348:AA348)=0,"",AVERAGE(Raw_Data!P348:AA348)/100),"")</f>
        <v>0.66666666666666674</v>
      </c>
      <c r="F348" s="30">
        <f>IFERROR(IF(COUNT(Raw_Data!AB348:AM348)=0,"",SUM(Raw_Data!AB348:AM348)),"")</f>
        <v>60</v>
      </c>
      <c r="G348" s="30">
        <f>IFERROR(IF(COUNT(Raw_Data!AN348:AY348)=0,"",SUM(Raw_Data!AN348:AY348)),"")</f>
        <v>68</v>
      </c>
      <c r="H348" s="30">
        <f>IFERROR(IF(COUNT(Raw_Data!AZ348:BK348)=0,"",SUM(Raw_Data!AZ348:BK348)),"")</f>
        <v>87</v>
      </c>
      <c r="I348" s="30">
        <f>IFERROR(IF(COUNT(Raw_Data!BL348:BW348)=0,"",SUM(Raw_Data!BL348:BW348)),"")</f>
        <v>4</v>
      </c>
      <c r="J348" s="30" t="str">
        <f>IFERROR(IF(COUNT(Raw_Data!BX348:CI348)=0,"",SUM(Raw_Data!BX348:CI348)),"")</f>
        <v/>
      </c>
      <c r="K348" s="28">
        <f t="shared" si="35"/>
        <v>1.1333333333333333</v>
      </c>
      <c r="L348" s="28">
        <f t="shared" si="36"/>
        <v>-0.13333333333333333</v>
      </c>
      <c r="M348" s="28">
        <f t="shared" si="37"/>
        <v>4.5977011494252873E-2</v>
      </c>
      <c r="N348" s="28" t="str">
        <f t="shared" si="38"/>
        <v/>
      </c>
      <c r="O348" s="7" t="str">
        <f t="shared" si="39"/>
        <v>Invalid</v>
      </c>
      <c r="P348" s="13" t="str">
        <f t="shared" si="40"/>
        <v>Incomplete</v>
      </c>
      <c r="Q348" s="7" t="str">
        <f t="shared" si="41"/>
        <v>Incomplete</v>
      </c>
    </row>
    <row r="349" spans="1:17" ht="60">
      <c r="A349" s="7" t="str">
        <f>IF(Raw_Data!A349="","",TRIM(SUBSTITUTE(CLEAN(Raw_Data!A349),CHAR(160)," ")))</f>
        <v>Abuja Municipal Area Council</v>
      </c>
      <c r="B349" s="7" t="str">
        <f>IF(Raw_Data!B349="","",TRIM(SUBSTITUTE(CLEAN(Raw_Data!B349),CHAR(160)," ")))</f>
        <v>Kabusa Ward</v>
      </c>
      <c r="C349" s="7" t="str">
        <f>IF(Raw_Data!C349="","",TRIM(SUBSTITUTE(CLEAN(Raw_Data!C349),CHAR(160)," ")))</f>
        <v>TD Maternity</v>
      </c>
      <c r="D349" s="28">
        <f>IFERROR(IF(COUNT(Raw_Data!D349:O349)=0,"",AVERAGE(Raw_Data!D349:O349)/100),"")</f>
        <v>1</v>
      </c>
      <c r="E349" s="28" t="str">
        <f>IFERROR(IF(COUNT(Raw_Data!P349:AA349)=0,"",AVERAGE(Raw_Data!P349:AA349)/100),"")</f>
        <v/>
      </c>
      <c r="F349" s="30">
        <f>IFERROR(IF(COUNT(Raw_Data!AB349:AM349)=0,"",SUM(Raw_Data!AB349:AM349)),"")</f>
        <v>43</v>
      </c>
      <c r="G349" s="30">
        <f>IFERROR(IF(COUNT(Raw_Data!AN349:AY349)=0,"",SUM(Raw_Data!AN349:AY349)),"")</f>
        <v>45</v>
      </c>
      <c r="H349" s="30">
        <f>IFERROR(IF(COUNT(Raw_Data!AZ349:BK349)=0,"",SUM(Raw_Data!AZ349:BK349)),"")</f>
        <v>34</v>
      </c>
      <c r="I349" s="30">
        <f>IFERROR(IF(COUNT(Raw_Data!BL349:BW349)=0,"",SUM(Raw_Data!BL349:BW349)),"")</f>
        <v>35</v>
      </c>
      <c r="J349" s="30">
        <f>IFERROR(IF(COUNT(Raw_Data!BX349:CI349)=0,"",SUM(Raw_Data!BX349:CI349)),"")</f>
        <v>28</v>
      </c>
      <c r="K349" s="28">
        <f t="shared" si="35"/>
        <v>1.0465116279069768</v>
      </c>
      <c r="L349" s="28">
        <f t="shared" si="36"/>
        <v>-4.6511627906976744E-2</v>
      </c>
      <c r="M349" s="28">
        <f t="shared" si="37"/>
        <v>1.0294117647058822</v>
      </c>
      <c r="N349" s="28">
        <f t="shared" si="38"/>
        <v>0.82352941176470584</v>
      </c>
      <c r="O349" s="7" t="str">
        <f t="shared" si="39"/>
        <v>Invalid</v>
      </c>
      <c r="P349" s="13" t="str">
        <f t="shared" si="40"/>
        <v>Invalid</v>
      </c>
      <c r="Q349" s="7" t="str">
        <f t="shared" si="41"/>
        <v>Invalid</v>
      </c>
    </row>
    <row r="350" spans="1:17" ht="90">
      <c r="A350" s="7" t="str">
        <f>IF(Raw_Data!A350="","",TRIM(SUBSTITUTE(CLEAN(Raw_Data!A350),CHAR(160)," ")))</f>
        <v>Abuja Municipal Area Council</v>
      </c>
      <c r="B350" s="7" t="str">
        <f>IF(Raw_Data!B350="","",TRIM(SUBSTITUTE(CLEAN(Raw_Data!B350),CHAR(160)," ")))</f>
        <v>Gwagwa Ward</v>
      </c>
      <c r="C350" s="7" t="str">
        <f>IF(Raw_Data!C350="","",TRIM(SUBSTITUTE(CLEAN(Raw_Data!C350),CHAR(160)," ")))</f>
        <v>The Crown Hospital LTD (Gwagwa)</v>
      </c>
      <c r="D350" s="28" t="str">
        <f>IFERROR(IF(COUNT(Raw_Data!D350:O350)=0,"",AVERAGE(Raw_Data!D350:O350)/100),"")</f>
        <v/>
      </c>
      <c r="E350" s="28" t="str">
        <f>IFERROR(IF(COUNT(Raw_Data!P350:AA350)=0,"",AVERAGE(Raw_Data!P350:AA350)/100),"")</f>
        <v/>
      </c>
      <c r="F350" s="30" t="str">
        <f>IFERROR(IF(COUNT(Raw_Data!AB350:AM350)=0,"",SUM(Raw_Data!AB350:AM350)),"")</f>
        <v/>
      </c>
      <c r="G350" s="30" t="str">
        <f>IFERROR(IF(COUNT(Raw_Data!AN350:AY350)=0,"",SUM(Raw_Data!AN350:AY350)),"")</f>
        <v/>
      </c>
      <c r="H350" s="30">
        <f>IFERROR(IF(COUNT(Raw_Data!AZ350:BK350)=0,"",SUM(Raw_Data!AZ350:BK350)),"")</f>
        <v>304</v>
      </c>
      <c r="I350" s="30">
        <f>IFERROR(IF(COUNT(Raw_Data!BL350:BW350)=0,"",SUM(Raw_Data!BL350:BW350)),"")</f>
        <v>90</v>
      </c>
      <c r="J350" s="30">
        <f>IFERROR(IF(COUNT(Raw_Data!BX350:CI350)=0,"",SUM(Raw_Data!BX350:CI350)),"")</f>
        <v>36</v>
      </c>
      <c r="K350" s="28" t="str">
        <f t="shared" si="35"/>
        <v/>
      </c>
      <c r="L350" s="28" t="str">
        <f t="shared" si="36"/>
        <v/>
      </c>
      <c r="M350" s="28">
        <f t="shared" si="37"/>
        <v>0.29605263157894735</v>
      </c>
      <c r="N350" s="28">
        <f t="shared" si="38"/>
        <v>0.11842105263157894</v>
      </c>
      <c r="O350" s="7" t="str">
        <f t="shared" si="39"/>
        <v>No Data</v>
      </c>
      <c r="P350" s="13" t="str">
        <f t="shared" si="40"/>
        <v>Valid</v>
      </c>
      <c r="Q350" s="7" t="str">
        <f t="shared" si="41"/>
        <v>No Data</v>
      </c>
    </row>
    <row r="351" spans="1:17" ht="60">
      <c r="A351" s="7" t="str">
        <f>IF(Raw_Data!A351="","",TRIM(SUBSTITUTE(CLEAN(Raw_Data!A351),CHAR(160)," ")))</f>
        <v>Bwari Local Government Area</v>
      </c>
      <c r="B351" s="7" t="str">
        <f>IF(Raw_Data!B351="","",TRIM(SUBSTITUTE(CLEAN(Raw_Data!B351),CHAR(160)," ")))</f>
        <v>Igu Ward</v>
      </c>
      <c r="C351" s="7" t="str">
        <f>IF(Raw_Data!C351="","",TRIM(SUBSTITUTE(CLEAN(Raw_Data!C351),CHAR(160)," ")))</f>
        <v>Tokolu Primary Health Clinic</v>
      </c>
      <c r="D351" s="28">
        <f>IFERROR(IF(COUNT(Raw_Data!D351:O351)=0,"",AVERAGE(Raw_Data!D351:O351)/100),"")</f>
        <v>0.88636363636363635</v>
      </c>
      <c r="E351" s="28">
        <f>IFERROR(IF(COUNT(Raw_Data!P351:AA351)=0,"",AVERAGE(Raw_Data!P351:AA351)/100),"")</f>
        <v>0.74241818181818175</v>
      </c>
      <c r="F351" s="30">
        <f>IFERROR(IF(COUNT(Raw_Data!AB351:AM351)=0,"",SUM(Raw_Data!AB351:AM351)),"")</f>
        <v>107</v>
      </c>
      <c r="G351" s="30">
        <f>IFERROR(IF(COUNT(Raw_Data!AN351:AY351)=0,"",SUM(Raw_Data!AN351:AY351)),"")</f>
        <v>100</v>
      </c>
      <c r="H351" s="30">
        <f>IFERROR(IF(COUNT(Raw_Data!AZ351:BK351)=0,"",SUM(Raw_Data!AZ351:BK351)),"")</f>
        <v>20</v>
      </c>
      <c r="I351" s="30">
        <f>IFERROR(IF(COUNT(Raw_Data!BL351:BW351)=0,"",SUM(Raw_Data!BL351:BW351)),"")</f>
        <v>18</v>
      </c>
      <c r="J351" s="30">
        <f>IFERROR(IF(COUNT(Raw_Data!BX351:CI351)=0,"",SUM(Raw_Data!BX351:CI351)),"")</f>
        <v>3</v>
      </c>
      <c r="K351" s="28">
        <f t="shared" si="35"/>
        <v>0.93457943925233644</v>
      </c>
      <c r="L351" s="28">
        <f t="shared" si="36"/>
        <v>6.5420560747663545E-2</v>
      </c>
      <c r="M351" s="28">
        <f t="shared" si="37"/>
        <v>0.9</v>
      </c>
      <c r="N351" s="28">
        <f t="shared" si="38"/>
        <v>0.15</v>
      </c>
      <c r="O351" s="7" t="str">
        <f t="shared" si="39"/>
        <v>Valid</v>
      </c>
      <c r="P351" s="13" t="str">
        <f t="shared" si="40"/>
        <v>Valid</v>
      </c>
      <c r="Q351" s="7" t="str">
        <f t="shared" si="41"/>
        <v>Valid</v>
      </c>
    </row>
    <row r="352" spans="1:17" ht="60">
      <c r="A352" s="7" t="str">
        <f>IF(Raw_Data!A352="","",TRIM(SUBSTITUTE(CLEAN(Raw_Data!A352),CHAR(160)," ")))</f>
        <v>Abuja Municipal Area Council</v>
      </c>
      <c r="B352" s="7" t="str">
        <f>IF(Raw_Data!B352="","",TRIM(SUBSTITUTE(CLEAN(Raw_Data!B352),CHAR(160)," ")))</f>
        <v>Garki Ward</v>
      </c>
      <c r="C352" s="7" t="str">
        <f>IF(Raw_Data!C352="","",TRIM(SUBSTITUTE(CLEAN(Raw_Data!C352),CHAR(160)," ")))</f>
        <v>Tolbert Specialist Hospital</v>
      </c>
      <c r="D352" s="28">
        <f>IFERROR(IF(COUNT(Raw_Data!D352:O352)=0,"",AVERAGE(Raw_Data!D352:O352)/100),"")</f>
        <v>1</v>
      </c>
      <c r="E352" s="28" t="str">
        <f>IFERROR(IF(COUNT(Raw_Data!P352:AA352)=0,"",AVERAGE(Raw_Data!P352:AA352)/100),"")</f>
        <v/>
      </c>
      <c r="F352" s="30">
        <f>IFERROR(IF(COUNT(Raw_Data!AB352:AM352)=0,"",SUM(Raw_Data!AB352:AM352)),"")</f>
        <v>48</v>
      </c>
      <c r="G352" s="30">
        <f>IFERROR(IF(COUNT(Raw_Data!AN352:AY352)=0,"",SUM(Raw_Data!AN352:AY352)),"")</f>
        <v>40</v>
      </c>
      <c r="H352" s="30">
        <f>IFERROR(IF(COUNT(Raw_Data!AZ352:BK352)=0,"",SUM(Raw_Data!AZ352:BK352)),"")</f>
        <v>149</v>
      </c>
      <c r="I352" s="30">
        <f>IFERROR(IF(COUNT(Raw_Data!BL352:BW352)=0,"",SUM(Raw_Data!BL352:BW352)),"")</f>
        <v>185</v>
      </c>
      <c r="J352" s="30">
        <f>IFERROR(IF(COUNT(Raw_Data!BX352:CI352)=0,"",SUM(Raw_Data!BX352:CI352)),"")</f>
        <v>63</v>
      </c>
      <c r="K352" s="28">
        <f t="shared" si="35"/>
        <v>0.83333333333333337</v>
      </c>
      <c r="L352" s="28">
        <f t="shared" si="36"/>
        <v>0.16666666666666666</v>
      </c>
      <c r="M352" s="28">
        <f t="shared" si="37"/>
        <v>1.2416107382550337</v>
      </c>
      <c r="N352" s="28">
        <f t="shared" si="38"/>
        <v>0.42281879194630873</v>
      </c>
      <c r="O352" s="7" t="str">
        <f t="shared" si="39"/>
        <v>Valid</v>
      </c>
      <c r="P352" s="13" t="str">
        <f t="shared" si="40"/>
        <v>Invalid</v>
      </c>
      <c r="Q352" s="7" t="str">
        <f t="shared" si="41"/>
        <v>Invalid</v>
      </c>
    </row>
    <row r="353" spans="1:17" ht="75">
      <c r="A353" s="7" t="str">
        <f>IF(Raw_Data!A353="","",TRIM(SUBSTITUTE(CLEAN(Raw_Data!A353),CHAR(160)," ")))</f>
        <v>Kuje Local Government Area</v>
      </c>
      <c r="B353" s="7" t="str">
        <f>IF(Raw_Data!B353="","",TRIM(SUBSTITUTE(CLEAN(Raw_Data!B353),CHAR(160)," ")))</f>
        <v>Rubochi Ward</v>
      </c>
      <c r="C353" s="7" t="str">
        <f>IF(Raw_Data!C353="","",TRIM(SUBSTITUTE(CLEAN(Raw_Data!C353),CHAR(160)," ")))</f>
        <v>Totogambiya Primary Health Centre</v>
      </c>
      <c r="D353" s="28">
        <f>IFERROR(IF(COUNT(Raw_Data!D353:O353)=0,"",AVERAGE(Raw_Data!D353:O353)/100),"")</f>
        <v>1</v>
      </c>
      <c r="E353" s="28">
        <f>IFERROR(IF(COUNT(Raw_Data!P353:AA353)=0,"",AVERAGE(Raw_Data!P353:AA353)/100),"")</f>
        <v>1</v>
      </c>
      <c r="F353" s="30">
        <f>IFERROR(IF(COUNT(Raw_Data!AB353:AM353)=0,"",SUM(Raw_Data!AB353:AM353)),"")</f>
        <v>182</v>
      </c>
      <c r="G353" s="30">
        <f>IFERROR(IF(COUNT(Raw_Data!AN353:AY353)=0,"",SUM(Raw_Data!AN353:AY353)),"")</f>
        <v>168</v>
      </c>
      <c r="H353" s="30">
        <f>IFERROR(IF(COUNT(Raw_Data!AZ353:BK353)=0,"",SUM(Raw_Data!AZ353:BK353)),"")</f>
        <v>1</v>
      </c>
      <c r="I353" s="30">
        <f>IFERROR(IF(COUNT(Raw_Data!BL353:BW353)=0,"",SUM(Raw_Data!BL353:BW353)),"")</f>
        <v>5</v>
      </c>
      <c r="J353" s="30">
        <f>IFERROR(IF(COUNT(Raw_Data!BX353:CI353)=0,"",SUM(Raw_Data!BX353:CI353)),"")</f>
        <v>5</v>
      </c>
      <c r="K353" s="28">
        <f t="shared" si="35"/>
        <v>0.92307692307692313</v>
      </c>
      <c r="L353" s="28">
        <f t="shared" si="36"/>
        <v>7.6923076923076927E-2</v>
      </c>
      <c r="M353" s="28">
        <f t="shared" si="37"/>
        <v>5</v>
      </c>
      <c r="N353" s="28">
        <f t="shared" si="38"/>
        <v>5</v>
      </c>
      <c r="O353" s="7" t="str">
        <f t="shared" si="39"/>
        <v>Valid</v>
      </c>
      <c r="P353" s="13" t="str">
        <f t="shared" si="40"/>
        <v>Invalid</v>
      </c>
      <c r="Q353" s="7" t="str">
        <f t="shared" si="41"/>
        <v>Invalid</v>
      </c>
    </row>
    <row r="354" spans="1:17" ht="60">
      <c r="A354" s="7" t="str">
        <f>IF(Raw_Data!A354="","",TRIM(SUBSTITUTE(CLEAN(Raw_Data!A354),CHAR(160)," ")))</f>
        <v>Abuja Municipal Area Council</v>
      </c>
      <c r="B354" s="7" t="str">
        <f>IF(Raw_Data!B354="","",TRIM(SUBSTITUTE(CLEAN(Raw_Data!B354),CHAR(160)," ")))</f>
        <v>Gwarimpa Ward</v>
      </c>
      <c r="C354" s="7" t="str">
        <f>IF(Raw_Data!C354="","",TRIM(SUBSTITUTE(CLEAN(Raw_Data!C354),CHAR(160)," ")))</f>
        <v>Trust Charitos Hospital</v>
      </c>
      <c r="D354" s="28" t="str">
        <f>IFERROR(IF(COUNT(Raw_Data!D354:O354)=0,"",AVERAGE(Raw_Data!D354:O354)/100),"")</f>
        <v/>
      </c>
      <c r="E354" s="28" t="str">
        <f>IFERROR(IF(COUNT(Raw_Data!P354:AA354)=0,"",AVERAGE(Raw_Data!P354:AA354)/100),"")</f>
        <v/>
      </c>
      <c r="F354" s="30">
        <f>IFERROR(IF(COUNT(Raw_Data!AB354:AM354)=0,"",SUM(Raw_Data!AB354:AM354)),"")</f>
        <v>116</v>
      </c>
      <c r="G354" s="30">
        <f>IFERROR(IF(COUNT(Raw_Data!AN354:AY354)=0,"",SUM(Raw_Data!AN354:AY354)),"")</f>
        <v>101</v>
      </c>
      <c r="H354" s="30">
        <f>IFERROR(IF(COUNT(Raw_Data!AZ354:BK354)=0,"",SUM(Raw_Data!AZ354:BK354)),"")</f>
        <v>237</v>
      </c>
      <c r="I354" s="30">
        <f>IFERROR(IF(COUNT(Raw_Data!BL354:BW354)=0,"",SUM(Raw_Data!BL354:BW354)),"")</f>
        <v>195</v>
      </c>
      <c r="J354" s="30">
        <f>IFERROR(IF(COUNT(Raw_Data!BX354:CI354)=0,"",SUM(Raw_Data!BX354:CI354)),"")</f>
        <v>126</v>
      </c>
      <c r="K354" s="28">
        <f t="shared" si="35"/>
        <v>0.87068965517241381</v>
      </c>
      <c r="L354" s="28">
        <f t="shared" si="36"/>
        <v>0.12931034482758622</v>
      </c>
      <c r="M354" s="28">
        <f t="shared" si="37"/>
        <v>0.82278481012658233</v>
      </c>
      <c r="N354" s="28">
        <f t="shared" si="38"/>
        <v>0.53164556962025311</v>
      </c>
      <c r="O354" s="7" t="str">
        <f t="shared" si="39"/>
        <v>Valid</v>
      </c>
      <c r="P354" s="13" t="str">
        <f t="shared" si="40"/>
        <v>Valid</v>
      </c>
      <c r="Q354" s="7" t="str">
        <f t="shared" si="41"/>
        <v>Valid</v>
      </c>
    </row>
    <row r="355" spans="1:17" ht="60">
      <c r="A355" s="7" t="str">
        <f>IF(Raw_Data!A355="","",TRIM(SUBSTITUTE(CLEAN(Raw_Data!A355),CHAR(160)," ")))</f>
        <v>Gwagwalada Local Government Area</v>
      </c>
      <c r="B355" s="7" t="str">
        <f>IF(Raw_Data!B355="","",TRIM(SUBSTITUTE(CLEAN(Raw_Data!B355),CHAR(160)," ")))</f>
        <v>Dobi Ward</v>
      </c>
      <c r="C355" s="7" t="str">
        <f>IF(Raw_Data!C355="","",TRIM(SUBSTITUTE(CLEAN(Raw_Data!C355),CHAR(160)," ")))</f>
        <v>Tsuani Primary Health Clinic</v>
      </c>
      <c r="D355" s="28">
        <f>IFERROR(IF(COUNT(Raw_Data!D355:O355)=0,"",AVERAGE(Raw_Data!D355:O355)/100),"")</f>
        <v>1.5</v>
      </c>
      <c r="E355" s="28">
        <f>IFERROR(IF(COUNT(Raw_Data!P355:AA355)=0,"",AVERAGE(Raw_Data!P355:AA355)/100),"")</f>
        <v>1.2</v>
      </c>
      <c r="F355" s="30">
        <f>IFERROR(IF(COUNT(Raw_Data!AB355:AM355)=0,"",SUM(Raw_Data!AB355:AM355)),"")</f>
        <v>329</v>
      </c>
      <c r="G355" s="30">
        <f>IFERROR(IF(COUNT(Raw_Data!AN355:AY355)=0,"",SUM(Raw_Data!AN355:AY355)),"")</f>
        <v>535</v>
      </c>
      <c r="H355" s="30">
        <f>IFERROR(IF(COUNT(Raw_Data!AZ355:BK355)=0,"",SUM(Raw_Data!AZ355:BK355)),"")</f>
        <v>266</v>
      </c>
      <c r="I355" s="30">
        <f>IFERROR(IF(COUNT(Raw_Data!BL355:BW355)=0,"",SUM(Raw_Data!BL355:BW355)),"")</f>
        <v>74</v>
      </c>
      <c r="J355" s="30" t="str">
        <f>IFERROR(IF(COUNT(Raw_Data!BX355:CI355)=0,"",SUM(Raw_Data!BX355:CI355)),"")</f>
        <v/>
      </c>
      <c r="K355" s="28">
        <f t="shared" si="35"/>
        <v>1.6261398176291793</v>
      </c>
      <c r="L355" s="28">
        <f t="shared" si="36"/>
        <v>-0.62613981762917936</v>
      </c>
      <c r="M355" s="28">
        <f t="shared" si="37"/>
        <v>0.2781954887218045</v>
      </c>
      <c r="N355" s="28" t="str">
        <f t="shared" si="38"/>
        <v/>
      </c>
      <c r="O355" s="7" t="str">
        <f t="shared" si="39"/>
        <v>Invalid</v>
      </c>
      <c r="P355" s="13" t="str">
        <f t="shared" si="40"/>
        <v>Incomplete</v>
      </c>
      <c r="Q355" s="7" t="str">
        <f t="shared" si="41"/>
        <v>Incomplete</v>
      </c>
    </row>
    <row r="356" spans="1:17" ht="60">
      <c r="A356" s="7" t="str">
        <f>IF(Raw_Data!A356="","",TRIM(SUBSTITUTE(CLEAN(Raw_Data!A356),CHAR(160)," ")))</f>
        <v>Kuje Local Government Area</v>
      </c>
      <c r="B356" s="7" t="str">
        <f>IF(Raw_Data!B356="","",TRIM(SUBSTITUTE(CLEAN(Raw_Data!B356),CHAR(160)," ")))</f>
        <v>Kabi Ward</v>
      </c>
      <c r="C356" s="7" t="str">
        <f>IF(Raw_Data!C356="","",TRIM(SUBSTITUTE(CLEAN(Raw_Data!C356),CHAR(160)," ")))</f>
        <v>Tude Primary Health Centre</v>
      </c>
      <c r="D356" s="28">
        <f>IFERROR(IF(COUNT(Raw_Data!D356:O356)=0,"",AVERAGE(Raw_Data!D356:O356)/100),"")</f>
        <v>1</v>
      </c>
      <c r="E356" s="28">
        <f>IFERROR(IF(COUNT(Raw_Data!P356:AA356)=0,"",AVERAGE(Raw_Data!P356:AA356)/100),"")</f>
        <v>1</v>
      </c>
      <c r="F356" s="30">
        <f>IFERROR(IF(COUNT(Raw_Data!AB356:AM356)=0,"",SUM(Raw_Data!AB356:AM356)),"")</f>
        <v>238</v>
      </c>
      <c r="G356" s="30">
        <f>IFERROR(IF(COUNT(Raw_Data!AN356:AY356)=0,"",SUM(Raw_Data!AN356:AY356)),"")</f>
        <v>246</v>
      </c>
      <c r="H356" s="30">
        <f>IFERROR(IF(COUNT(Raw_Data!AZ356:BK356)=0,"",SUM(Raw_Data!AZ356:BK356)),"")</f>
        <v>66</v>
      </c>
      <c r="I356" s="30">
        <f>IFERROR(IF(COUNT(Raw_Data!BL356:BW356)=0,"",SUM(Raw_Data!BL356:BW356)),"")</f>
        <v>38</v>
      </c>
      <c r="J356" s="30">
        <f>IFERROR(IF(COUNT(Raw_Data!BX356:CI356)=0,"",SUM(Raw_Data!BX356:CI356)),"")</f>
        <v>34</v>
      </c>
      <c r="K356" s="28">
        <f t="shared" si="35"/>
        <v>1.0336134453781514</v>
      </c>
      <c r="L356" s="28">
        <f t="shared" si="36"/>
        <v>-3.3613445378151259E-2</v>
      </c>
      <c r="M356" s="28">
        <f t="shared" si="37"/>
        <v>0.5757575757575758</v>
      </c>
      <c r="N356" s="28">
        <f t="shared" si="38"/>
        <v>0.51515151515151514</v>
      </c>
      <c r="O356" s="7" t="str">
        <f t="shared" si="39"/>
        <v>Invalid</v>
      </c>
      <c r="P356" s="13" t="str">
        <f t="shared" si="40"/>
        <v>Valid</v>
      </c>
      <c r="Q356" s="7" t="str">
        <f t="shared" si="41"/>
        <v>Invalid</v>
      </c>
    </row>
    <row r="357" spans="1:17" ht="60">
      <c r="A357" s="7" t="str">
        <f>IF(Raw_Data!A357="","",TRIM(SUBSTITUTE(CLEAN(Raw_Data!A357),CHAR(160)," ")))</f>
        <v>Kuje Local Government Area</v>
      </c>
      <c r="B357" s="7" t="str">
        <f>IF(Raw_Data!B357="","",TRIM(SUBSTITUTE(CLEAN(Raw_Data!B357),CHAR(160)," ")))</f>
        <v>Kuje Central Ward</v>
      </c>
      <c r="C357" s="7" t="str">
        <f>IF(Raw_Data!C357="","",TRIM(SUBSTITUTE(CLEAN(Raw_Data!C357),CHAR(160)," ")))</f>
        <v>Tukpechi Primary Health Centre</v>
      </c>
      <c r="D357" s="28">
        <f>IFERROR(IF(COUNT(Raw_Data!D357:O357)=0,"",AVERAGE(Raw_Data!D357:O357)/100),"")</f>
        <v>0.92500000000000004</v>
      </c>
      <c r="E357" s="28">
        <f>IFERROR(IF(COUNT(Raw_Data!P357:AA357)=0,"",AVERAGE(Raw_Data!P357:AA357)/100),"")</f>
        <v>3</v>
      </c>
      <c r="F357" s="30">
        <f>IFERROR(IF(COUNT(Raw_Data!AB357:AM357)=0,"",SUM(Raw_Data!AB357:AM357)),"")</f>
        <v>63</v>
      </c>
      <c r="G357" s="30">
        <f>IFERROR(IF(COUNT(Raw_Data!AN357:AY357)=0,"",SUM(Raw_Data!AN357:AY357)),"")</f>
        <v>126</v>
      </c>
      <c r="H357" s="30">
        <f>IFERROR(IF(COUNT(Raw_Data!AZ357:BK357)=0,"",SUM(Raw_Data!AZ357:BK357)),"")</f>
        <v>58</v>
      </c>
      <c r="I357" s="30">
        <f>IFERROR(IF(COUNT(Raw_Data!BL357:BW357)=0,"",SUM(Raw_Data!BL357:BW357)),"")</f>
        <v>14</v>
      </c>
      <c r="J357" s="30">
        <f>IFERROR(IF(COUNT(Raw_Data!BX357:CI357)=0,"",SUM(Raw_Data!BX357:CI357)),"")</f>
        <v>17</v>
      </c>
      <c r="K357" s="28">
        <f t="shared" si="35"/>
        <v>2</v>
      </c>
      <c r="L357" s="28">
        <f t="shared" si="36"/>
        <v>-1</v>
      </c>
      <c r="M357" s="28">
        <f t="shared" si="37"/>
        <v>0.2413793103448276</v>
      </c>
      <c r="N357" s="28">
        <f t="shared" si="38"/>
        <v>0.29310344827586204</v>
      </c>
      <c r="O357" s="7" t="str">
        <f t="shared" si="39"/>
        <v>Invalid</v>
      </c>
      <c r="P357" s="13" t="str">
        <f t="shared" si="40"/>
        <v>Invalid</v>
      </c>
      <c r="Q357" s="7" t="str">
        <f t="shared" si="41"/>
        <v>Invalid</v>
      </c>
    </row>
    <row r="358" spans="1:17" ht="75">
      <c r="A358" s="7" t="str">
        <f>IF(Raw_Data!A358="","",TRIM(SUBSTITUTE(CLEAN(Raw_Data!A358),CHAR(160)," ")))</f>
        <v>Bwari Local Government Area</v>
      </c>
      <c r="B358" s="7" t="str">
        <f>IF(Raw_Data!B358="","",TRIM(SUBSTITUTE(CLEAN(Raw_Data!B358),CHAR(160)," ")))</f>
        <v>Kubwa Ward</v>
      </c>
      <c r="C358" s="7" t="str">
        <f>IF(Raw_Data!C358="","",TRIM(SUBSTITUTE(CLEAN(Raw_Data!C358),CHAR(160)," ")))</f>
        <v>Tunga Kwaso Primary Health Clinic</v>
      </c>
      <c r="D358" s="28">
        <f>IFERROR(IF(COUNT(Raw_Data!D358:O358)=0,"",AVERAGE(Raw_Data!D358:O358)/100),"")</f>
        <v>0.95499999999999996</v>
      </c>
      <c r="E358" s="28">
        <f>IFERROR(IF(COUNT(Raw_Data!P358:AA358)=0,"",AVERAGE(Raw_Data!P358:AA358)/100),"")</f>
        <v>0.95</v>
      </c>
      <c r="F358" s="30">
        <f>IFERROR(IF(COUNT(Raw_Data!AB358:AM358)=0,"",SUM(Raw_Data!AB358:AM358)),"")</f>
        <v>291</v>
      </c>
      <c r="G358" s="30">
        <f>IFERROR(IF(COUNT(Raw_Data!AN358:AY358)=0,"",SUM(Raw_Data!AN358:AY358)),"")</f>
        <v>252</v>
      </c>
      <c r="H358" s="30">
        <f>IFERROR(IF(COUNT(Raw_Data!AZ358:BK358)=0,"",SUM(Raw_Data!AZ358:BK358)),"")</f>
        <v>37</v>
      </c>
      <c r="I358" s="30">
        <f>IFERROR(IF(COUNT(Raw_Data!BL358:BW358)=0,"",SUM(Raw_Data!BL358:BW358)),"")</f>
        <v>8</v>
      </c>
      <c r="J358" s="30">
        <f>IFERROR(IF(COUNT(Raw_Data!BX358:CI358)=0,"",SUM(Raw_Data!BX358:CI358)),"")</f>
        <v>1</v>
      </c>
      <c r="K358" s="28">
        <f t="shared" si="35"/>
        <v>0.865979381443299</v>
      </c>
      <c r="L358" s="28">
        <f t="shared" si="36"/>
        <v>0.13402061855670103</v>
      </c>
      <c r="M358" s="28">
        <f t="shared" si="37"/>
        <v>0.21621621621621623</v>
      </c>
      <c r="N358" s="28">
        <f t="shared" si="38"/>
        <v>2.7027027027027029E-2</v>
      </c>
      <c r="O358" s="7" t="str">
        <f t="shared" si="39"/>
        <v>Valid</v>
      </c>
      <c r="P358" s="13" t="str">
        <f t="shared" si="40"/>
        <v>Valid</v>
      </c>
      <c r="Q358" s="7" t="str">
        <f t="shared" si="41"/>
        <v>Valid</v>
      </c>
    </row>
    <row r="359" spans="1:17" ht="75">
      <c r="A359" s="7" t="str">
        <f>IF(Raw_Data!A359="","",TRIM(SUBSTITUTE(CLEAN(Raw_Data!A359),CHAR(160)," ")))</f>
        <v>Gwagwalada Local Government Area</v>
      </c>
      <c r="B359" s="7" t="str">
        <f>IF(Raw_Data!B359="","",TRIM(SUBSTITUTE(CLEAN(Raw_Data!B359),CHAR(160)," ")))</f>
        <v>Ikwa Ward</v>
      </c>
      <c r="C359" s="7" t="str">
        <f>IF(Raw_Data!C359="","",TRIM(SUBSTITUTE(CLEAN(Raw_Data!C359),CHAR(160)," ")))</f>
        <v>Tungan Gaya Primary Health Clinic</v>
      </c>
      <c r="D359" s="28">
        <f>IFERROR(IF(COUNT(Raw_Data!D359:O359)=0,"",AVERAGE(Raw_Data!D359:O359)/100),"")</f>
        <v>0.875</v>
      </c>
      <c r="E359" s="28">
        <f>IFERROR(IF(COUNT(Raw_Data!P359:AA359)=0,"",AVERAGE(Raw_Data!P359:AA359)/100),"")</f>
        <v>0.61363636363636365</v>
      </c>
      <c r="F359" s="30">
        <f>IFERROR(IF(COUNT(Raw_Data!AB359:AM359)=0,"",SUM(Raw_Data!AB359:AM359)),"")</f>
        <v>348</v>
      </c>
      <c r="G359" s="30">
        <f>IFERROR(IF(COUNT(Raw_Data!AN359:AY359)=0,"",SUM(Raw_Data!AN359:AY359)),"")</f>
        <v>339</v>
      </c>
      <c r="H359" s="30">
        <f>IFERROR(IF(COUNT(Raw_Data!AZ359:BK359)=0,"",SUM(Raw_Data!AZ359:BK359)),"")</f>
        <v>61</v>
      </c>
      <c r="I359" s="30">
        <f>IFERROR(IF(COUNT(Raw_Data!BL359:BW359)=0,"",SUM(Raw_Data!BL359:BW359)),"")</f>
        <v>5</v>
      </c>
      <c r="J359" s="30">
        <f>IFERROR(IF(COUNT(Raw_Data!BX359:CI359)=0,"",SUM(Raw_Data!BX359:CI359)),"")</f>
        <v>13</v>
      </c>
      <c r="K359" s="28">
        <f t="shared" si="35"/>
        <v>0.97413793103448276</v>
      </c>
      <c r="L359" s="28">
        <f t="shared" si="36"/>
        <v>2.5862068965517241E-2</v>
      </c>
      <c r="M359" s="28">
        <f t="shared" si="37"/>
        <v>8.1967213114754092E-2</v>
      </c>
      <c r="N359" s="28">
        <f t="shared" si="38"/>
        <v>0.21311475409836064</v>
      </c>
      <c r="O359" s="7" t="str">
        <f t="shared" si="39"/>
        <v>Valid</v>
      </c>
      <c r="P359" s="13" t="str">
        <f t="shared" si="40"/>
        <v>Invalid</v>
      </c>
      <c r="Q359" s="7" t="str">
        <f t="shared" si="41"/>
        <v>Invalid</v>
      </c>
    </row>
    <row r="360" spans="1:17" ht="75">
      <c r="A360" s="7" t="str">
        <f>IF(Raw_Data!A360="","",TRIM(SUBSTITUTE(CLEAN(Raw_Data!A360),CHAR(160)," ")))</f>
        <v>Kwali Local Government Area</v>
      </c>
      <c r="B360" s="7" t="str">
        <f>IF(Raw_Data!B360="","",TRIM(SUBSTITUTE(CLEAN(Raw_Data!B360),CHAR(160)," ")))</f>
        <v>Dafa Ward</v>
      </c>
      <c r="C360" s="7" t="str">
        <f>IF(Raw_Data!C360="","",TRIM(SUBSTITUTE(CLEAN(Raw_Data!C360),CHAR(160)," ")))</f>
        <v>Tungan Guli Primary Health Clinic</v>
      </c>
      <c r="D360" s="28">
        <f>IFERROR(IF(COUNT(Raw_Data!D360:O360)=0,"",AVERAGE(Raw_Data!D360:O360)/100),"")</f>
        <v>0.97727272727272729</v>
      </c>
      <c r="E360" s="28">
        <f>IFERROR(IF(COUNT(Raw_Data!P360:AA360)=0,"",AVERAGE(Raw_Data!P360:AA360)/100),"")</f>
        <v>0.97499999999999998</v>
      </c>
      <c r="F360" s="30">
        <f>IFERROR(IF(COUNT(Raw_Data!AB360:AM360)=0,"",SUM(Raw_Data!AB360:AM360)),"")</f>
        <v>204</v>
      </c>
      <c r="G360" s="30">
        <f>IFERROR(IF(COUNT(Raw_Data!AN360:AY360)=0,"",SUM(Raw_Data!AN360:AY360)),"")</f>
        <v>255</v>
      </c>
      <c r="H360" s="30">
        <f>IFERROR(IF(COUNT(Raw_Data!AZ360:BK360)=0,"",SUM(Raw_Data!AZ360:BK360)),"")</f>
        <v>148</v>
      </c>
      <c r="I360" s="30">
        <f>IFERROR(IF(COUNT(Raw_Data!BL360:BW360)=0,"",SUM(Raw_Data!BL360:BW360)),"")</f>
        <v>21</v>
      </c>
      <c r="J360" s="30">
        <f>IFERROR(IF(COUNT(Raw_Data!BX360:CI360)=0,"",SUM(Raw_Data!BX360:CI360)),"")</f>
        <v>11</v>
      </c>
      <c r="K360" s="28">
        <f t="shared" si="35"/>
        <v>1.25</v>
      </c>
      <c r="L360" s="28">
        <f t="shared" si="36"/>
        <v>-0.25</v>
      </c>
      <c r="M360" s="28">
        <f t="shared" si="37"/>
        <v>0.14189189189189189</v>
      </c>
      <c r="N360" s="28">
        <f t="shared" si="38"/>
        <v>7.4324324324324328E-2</v>
      </c>
      <c r="O360" s="7" t="str">
        <f t="shared" si="39"/>
        <v>Invalid</v>
      </c>
      <c r="P360" s="13" t="str">
        <f t="shared" si="40"/>
        <v>Valid</v>
      </c>
      <c r="Q360" s="7" t="str">
        <f t="shared" si="41"/>
        <v>Invalid</v>
      </c>
    </row>
    <row r="361" spans="1:17" ht="75">
      <c r="A361" s="7" t="str">
        <f>IF(Raw_Data!A361="","",TRIM(SUBSTITUTE(CLEAN(Raw_Data!A361),CHAR(160)," ")))</f>
        <v>Abuja Municipal Area Council</v>
      </c>
      <c r="B361" s="7" t="str">
        <f>IF(Raw_Data!B361="","",TRIM(SUBSTITUTE(CLEAN(Raw_Data!B361),CHAR(160)," ")))</f>
        <v>Gui Ward</v>
      </c>
      <c r="C361" s="7" t="str">
        <f>IF(Raw_Data!C361="","",TRIM(SUBSTITUTE(CLEAN(Raw_Data!C361),CHAR(160)," ")))</f>
        <v>Tungan Madaki Primary Health Clinic</v>
      </c>
      <c r="D361" s="28">
        <f>IFERROR(IF(COUNT(Raw_Data!D361:O361)=0,"",AVERAGE(Raw_Data!D361:O361)/100),"")</f>
        <v>0.94090909090909092</v>
      </c>
      <c r="E361" s="28">
        <f>IFERROR(IF(COUNT(Raw_Data!P361:AA361)=0,"",AVERAGE(Raw_Data!P361:AA361)/100),"")</f>
        <v>0.25</v>
      </c>
      <c r="F361" s="30">
        <f>IFERROR(IF(COUNT(Raw_Data!AB361:AM361)=0,"",SUM(Raw_Data!AB361:AM361)),"")</f>
        <v>210</v>
      </c>
      <c r="G361" s="30">
        <f>IFERROR(IF(COUNT(Raw_Data!AN361:AY361)=0,"",SUM(Raw_Data!AN361:AY361)),"")</f>
        <v>187</v>
      </c>
      <c r="H361" s="30">
        <f>IFERROR(IF(COUNT(Raw_Data!AZ361:BK361)=0,"",SUM(Raw_Data!AZ361:BK361)),"")</f>
        <v>225</v>
      </c>
      <c r="I361" s="30">
        <f>IFERROR(IF(COUNT(Raw_Data!BL361:BW361)=0,"",SUM(Raw_Data!BL361:BW361)),"")</f>
        <v>23</v>
      </c>
      <c r="J361" s="30" t="str">
        <f>IFERROR(IF(COUNT(Raw_Data!BX361:CI361)=0,"",SUM(Raw_Data!BX361:CI361)),"")</f>
        <v/>
      </c>
      <c r="K361" s="28">
        <f t="shared" si="35"/>
        <v>0.89047619047619042</v>
      </c>
      <c r="L361" s="28">
        <f t="shared" si="36"/>
        <v>0.10952380952380952</v>
      </c>
      <c r="M361" s="28">
        <f t="shared" si="37"/>
        <v>0.10222222222222223</v>
      </c>
      <c r="N361" s="28" t="str">
        <f t="shared" si="38"/>
        <v/>
      </c>
      <c r="O361" s="7" t="str">
        <f t="shared" si="39"/>
        <v>Valid</v>
      </c>
      <c r="P361" s="13" t="str">
        <f t="shared" si="40"/>
        <v>Incomplete</v>
      </c>
      <c r="Q361" s="7" t="str">
        <f t="shared" si="41"/>
        <v>Incomplete</v>
      </c>
    </row>
    <row r="362" spans="1:17" ht="60">
      <c r="A362" s="7" t="str">
        <f>IF(Raw_Data!A362="","",TRIM(SUBSTITUTE(CLEAN(Raw_Data!A362),CHAR(160)," ")))</f>
        <v>Gwagwalada Local Government Area</v>
      </c>
      <c r="B362" s="7" t="str">
        <f>IF(Raw_Data!B362="","",TRIM(SUBSTITUTE(CLEAN(Raw_Data!B362),CHAR(160)," ")))</f>
        <v>Tungan Maje Ward</v>
      </c>
      <c r="C362" s="7" t="str">
        <f>IF(Raw_Data!C362="","",TRIM(SUBSTITUTE(CLEAN(Raw_Data!C362),CHAR(160)," ")))</f>
        <v>Tungan Maje Health Clinic</v>
      </c>
      <c r="D362" s="28">
        <f>IFERROR(IF(COUNT(Raw_Data!D362:O362)=0,"",AVERAGE(Raw_Data!D362:O362)/100),"")</f>
        <v>0.93332999999999999</v>
      </c>
      <c r="E362" s="28">
        <f>IFERROR(IF(COUNT(Raw_Data!P362:AA362)=0,"",AVERAGE(Raw_Data!P362:AA362)/100),"")</f>
        <v>0.9</v>
      </c>
      <c r="F362" s="30">
        <f>IFERROR(IF(COUNT(Raw_Data!AB362:AM362)=0,"",SUM(Raw_Data!AB362:AM362)),"")</f>
        <v>1101</v>
      </c>
      <c r="G362" s="30">
        <f>IFERROR(IF(COUNT(Raw_Data!AN362:AY362)=0,"",SUM(Raw_Data!AN362:AY362)),"")</f>
        <v>2607</v>
      </c>
      <c r="H362" s="30">
        <f>IFERROR(IF(COUNT(Raw_Data!AZ362:BK362)=0,"",SUM(Raw_Data!AZ362:BK362)),"")</f>
        <v>607</v>
      </c>
      <c r="I362" s="30">
        <f>IFERROR(IF(COUNT(Raw_Data!BL362:BW362)=0,"",SUM(Raw_Data!BL362:BW362)),"")</f>
        <v>156</v>
      </c>
      <c r="J362" s="30">
        <f>IFERROR(IF(COUNT(Raw_Data!BX362:CI362)=0,"",SUM(Raw_Data!BX362:CI362)),"")</f>
        <v>42</v>
      </c>
      <c r="K362" s="28">
        <f t="shared" si="35"/>
        <v>2.3678474114441417</v>
      </c>
      <c r="L362" s="28">
        <f t="shared" si="36"/>
        <v>-1.3678474114441417</v>
      </c>
      <c r="M362" s="28">
        <f t="shared" si="37"/>
        <v>0.25700164744645798</v>
      </c>
      <c r="N362" s="28">
        <f t="shared" si="38"/>
        <v>6.919275123558484E-2</v>
      </c>
      <c r="O362" s="7" t="str">
        <f t="shared" si="39"/>
        <v>Invalid</v>
      </c>
      <c r="P362" s="13" t="str">
        <f t="shared" si="40"/>
        <v>Valid</v>
      </c>
      <c r="Q362" s="7" t="str">
        <f t="shared" si="41"/>
        <v>Invalid</v>
      </c>
    </row>
    <row r="363" spans="1:17" ht="75">
      <c r="A363" s="7" t="str">
        <f>IF(Raw_Data!A363="","",TRIM(SUBSTITUTE(CLEAN(Raw_Data!A363),CHAR(160)," ")))</f>
        <v>Abuja Municipal Area Council</v>
      </c>
      <c r="B363" s="7" t="str">
        <f>IF(Raw_Data!B363="","",TRIM(SUBSTITUTE(CLEAN(Raw_Data!B363),CHAR(160)," ")))</f>
        <v>Gui Ward</v>
      </c>
      <c r="C363" s="7" t="str">
        <f>IF(Raw_Data!C363="","",TRIM(SUBSTITUTE(CLEAN(Raw_Data!C363),CHAR(160)," ")))</f>
        <v>Tungan Nasara Primary Health Centre</v>
      </c>
      <c r="D363" s="28">
        <f>IFERROR(IF(COUNT(Raw_Data!D363:O363)=0,"",AVERAGE(Raw_Data!D363:O363)/100),"")</f>
        <v>0.25</v>
      </c>
      <c r="E363" s="28" t="str">
        <f>IFERROR(IF(COUNT(Raw_Data!P363:AA363)=0,"",AVERAGE(Raw_Data!P363:AA363)/100),"")</f>
        <v/>
      </c>
      <c r="F363" s="30">
        <f>IFERROR(IF(COUNT(Raw_Data!AB363:AM363)=0,"",SUM(Raw_Data!AB363:AM363)),"")</f>
        <v>9</v>
      </c>
      <c r="G363" s="30">
        <f>IFERROR(IF(COUNT(Raw_Data!AN363:AY363)=0,"",SUM(Raw_Data!AN363:AY363)),"")</f>
        <v>5</v>
      </c>
      <c r="H363" s="30">
        <f>IFERROR(IF(COUNT(Raw_Data!AZ363:BK363)=0,"",SUM(Raw_Data!AZ363:BK363)),"")</f>
        <v>6</v>
      </c>
      <c r="I363" s="30">
        <f>IFERROR(IF(COUNT(Raw_Data!BL363:BW363)=0,"",SUM(Raw_Data!BL363:BW363)),"")</f>
        <v>1</v>
      </c>
      <c r="J363" s="30" t="str">
        <f>IFERROR(IF(COUNT(Raw_Data!BX363:CI363)=0,"",SUM(Raw_Data!BX363:CI363)),"")</f>
        <v/>
      </c>
      <c r="K363" s="28">
        <f t="shared" si="35"/>
        <v>0.55555555555555558</v>
      </c>
      <c r="L363" s="28">
        <f t="shared" si="36"/>
        <v>0.44444444444444442</v>
      </c>
      <c r="M363" s="28">
        <f t="shared" si="37"/>
        <v>0.16666666666666666</v>
      </c>
      <c r="N363" s="28" t="str">
        <f t="shared" si="38"/>
        <v/>
      </c>
      <c r="O363" s="7" t="str">
        <f t="shared" si="39"/>
        <v>Valid</v>
      </c>
      <c r="P363" s="13" t="str">
        <f t="shared" si="40"/>
        <v>Incomplete</v>
      </c>
      <c r="Q363" s="7" t="str">
        <f t="shared" si="41"/>
        <v>Incomplete</v>
      </c>
    </row>
    <row r="364" spans="1:17" ht="75">
      <c r="A364" s="7" t="str">
        <f>IF(Raw_Data!A364="","",TRIM(SUBSTITUTE(CLEAN(Raw_Data!A364),CHAR(160)," ")))</f>
        <v>Kwali Local Government Area</v>
      </c>
      <c r="B364" s="7" t="str">
        <f>IF(Raw_Data!B364="","",TRIM(SUBSTITUTE(CLEAN(Raw_Data!B364),CHAR(160)," ")))</f>
        <v>Kundu Ward</v>
      </c>
      <c r="C364" s="7" t="str">
        <f>IF(Raw_Data!C364="","",TRIM(SUBSTITUTE(CLEAN(Raw_Data!C364),CHAR(160)," ")))</f>
        <v>Tungan Sarki Primary Health clinic</v>
      </c>
      <c r="D364" s="28">
        <f>IFERROR(IF(COUNT(Raw_Data!D364:O364)=0,"",AVERAGE(Raw_Data!D364:O364)/100),"")</f>
        <v>0.97727272727272729</v>
      </c>
      <c r="E364" s="28">
        <f>IFERROR(IF(COUNT(Raw_Data!P364:AA364)=0,"",AVERAGE(Raw_Data!P364:AA364)/100),"")</f>
        <v>0.93181818181818188</v>
      </c>
      <c r="F364" s="30">
        <f>IFERROR(IF(COUNT(Raw_Data!AB364:AM364)=0,"",SUM(Raw_Data!AB364:AM364)),"")</f>
        <v>109</v>
      </c>
      <c r="G364" s="30">
        <f>IFERROR(IF(COUNT(Raw_Data!AN364:AY364)=0,"",SUM(Raw_Data!AN364:AY364)),"")</f>
        <v>82</v>
      </c>
      <c r="H364" s="30">
        <f>IFERROR(IF(COUNT(Raw_Data!AZ364:BK364)=0,"",SUM(Raw_Data!AZ364:BK364)),"")</f>
        <v>74</v>
      </c>
      <c r="I364" s="30">
        <f>IFERROR(IF(COUNT(Raw_Data!BL364:BW364)=0,"",SUM(Raw_Data!BL364:BW364)),"")</f>
        <v>3</v>
      </c>
      <c r="J364" s="30" t="str">
        <f>IFERROR(IF(COUNT(Raw_Data!BX364:CI364)=0,"",SUM(Raw_Data!BX364:CI364)),"")</f>
        <v/>
      </c>
      <c r="K364" s="28">
        <f t="shared" si="35"/>
        <v>0.75229357798165142</v>
      </c>
      <c r="L364" s="28">
        <f t="shared" si="36"/>
        <v>0.24770642201834864</v>
      </c>
      <c r="M364" s="28">
        <f t="shared" si="37"/>
        <v>4.0540540540540543E-2</v>
      </c>
      <c r="N364" s="28" t="str">
        <f t="shared" si="38"/>
        <v/>
      </c>
      <c r="O364" s="7" t="str">
        <f t="shared" si="39"/>
        <v>Valid</v>
      </c>
      <c r="P364" s="13" t="str">
        <f t="shared" si="40"/>
        <v>Incomplete</v>
      </c>
      <c r="Q364" s="7" t="str">
        <f t="shared" si="41"/>
        <v>Incomplete</v>
      </c>
    </row>
    <row r="365" spans="1:17" ht="75">
      <c r="A365" s="7" t="str">
        <f>IF(Raw_Data!A365="","",TRIM(SUBSTITUTE(CLEAN(Raw_Data!A365),CHAR(160)," ")))</f>
        <v>Bwari Local Government Area</v>
      </c>
      <c r="B365" s="7" t="str">
        <f>IF(Raw_Data!B365="","",TRIM(SUBSTITUTE(CLEAN(Raw_Data!B365),CHAR(160)," ")))</f>
        <v>Kawu Ward</v>
      </c>
      <c r="C365" s="7" t="str">
        <f>IF(Raw_Data!C365="","",TRIM(SUBSTITUTE(CLEAN(Raw_Data!C365),CHAR(160)," ")))</f>
        <v>Tunganbijimi Primary Health Clinic</v>
      </c>
      <c r="D365" s="28">
        <f>IFERROR(IF(COUNT(Raw_Data!D365:O365)=0,"",AVERAGE(Raw_Data!D365:O365)/100),"")</f>
        <v>1</v>
      </c>
      <c r="E365" s="28">
        <f>IFERROR(IF(COUNT(Raw_Data!P365:AA365)=0,"",AVERAGE(Raw_Data!P365:AA365)/100),"")</f>
        <v>1</v>
      </c>
      <c r="F365" s="30">
        <f>IFERROR(IF(COUNT(Raw_Data!AB365:AM365)=0,"",SUM(Raw_Data!AB365:AM365)),"")</f>
        <v>433</v>
      </c>
      <c r="G365" s="30">
        <f>IFERROR(IF(COUNT(Raw_Data!AN365:AY365)=0,"",SUM(Raw_Data!AN365:AY365)),"")</f>
        <v>488</v>
      </c>
      <c r="H365" s="30">
        <f>IFERROR(IF(COUNT(Raw_Data!AZ365:BK365)=0,"",SUM(Raw_Data!AZ365:BK365)),"")</f>
        <v>42</v>
      </c>
      <c r="I365" s="30">
        <f>IFERROR(IF(COUNT(Raw_Data!BL365:BW365)=0,"",SUM(Raw_Data!BL365:BW365)),"")</f>
        <v>2</v>
      </c>
      <c r="J365" s="30" t="str">
        <f>IFERROR(IF(COUNT(Raw_Data!BX365:CI365)=0,"",SUM(Raw_Data!BX365:CI365)),"")</f>
        <v/>
      </c>
      <c r="K365" s="28">
        <f t="shared" si="35"/>
        <v>1.1270207852193996</v>
      </c>
      <c r="L365" s="28">
        <f t="shared" si="36"/>
        <v>-0.12702078521939955</v>
      </c>
      <c r="M365" s="28">
        <f t="shared" si="37"/>
        <v>4.7619047619047616E-2</v>
      </c>
      <c r="N365" s="28" t="str">
        <f t="shared" si="38"/>
        <v/>
      </c>
      <c r="O365" s="7" t="str">
        <f t="shared" si="39"/>
        <v>Invalid</v>
      </c>
      <c r="P365" s="13" t="str">
        <f t="shared" si="40"/>
        <v>Incomplete</v>
      </c>
      <c r="Q365" s="7" t="str">
        <f t="shared" si="41"/>
        <v>Incomplete</v>
      </c>
    </row>
    <row r="366" spans="1:17" ht="75">
      <c r="A366" s="7" t="str">
        <f>IF(Raw_Data!A366="","",TRIM(SUBSTITUTE(CLEAN(Raw_Data!A366),CHAR(160)," ")))</f>
        <v>Kwali Local Government Area</v>
      </c>
      <c r="B366" s="7" t="str">
        <f>IF(Raw_Data!B366="","",TRIM(SUBSTITUTE(CLEAN(Raw_Data!B366),CHAR(160)," ")))</f>
        <v>Wako Ward</v>
      </c>
      <c r="C366" s="7" t="str">
        <f>IF(Raw_Data!C366="","",TRIM(SUBSTITUTE(CLEAN(Raw_Data!C366),CHAR(160)," ")))</f>
        <v>Ubosharu Primary Health Clinic</v>
      </c>
      <c r="D366" s="28">
        <f>IFERROR(IF(COUNT(Raw_Data!D366:O366)=0,"",AVERAGE(Raw_Data!D366:O366)/100),"")</f>
        <v>1</v>
      </c>
      <c r="E366" s="28">
        <f>IFERROR(IF(COUNT(Raw_Data!P366:AA366)=0,"",AVERAGE(Raw_Data!P366:AA366)/100),"")</f>
        <v>0.97727272727272729</v>
      </c>
      <c r="F366" s="30">
        <f>IFERROR(IF(COUNT(Raw_Data!AB366:AM366)=0,"",SUM(Raw_Data!AB366:AM366)),"")</f>
        <v>275</v>
      </c>
      <c r="G366" s="30">
        <f>IFERROR(IF(COUNT(Raw_Data!AN366:AY366)=0,"",SUM(Raw_Data!AN366:AY366)),"")</f>
        <v>275</v>
      </c>
      <c r="H366" s="30">
        <f>IFERROR(IF(COUNT(Raw_Data!AZ366:BK366)=0,"",SUM(Raw_Data!AZ366:BK366)),"")</f>
        <v>121</v>
      </c>
      <c r="I366" s="30">
        <f>IFERROR(IF(COUNT(Raw_Data!BL366:BW366)=0,"",SUM(Raw_Data!BL366:BW366)),"")</f>
        <v>27</v>
      </c>
      <c r="J366" s="30" t="str">
        <f>IFERROR(IF(COUNT(Raw_Data!BX366:CI366)=0,"",SUM(Raw_Data!BX366:CI366)),"")</f>
        <v/>
      </c>
      <c r="K366" s="28">
        <f t="shared" si="35"/>
        <v>1</v>
      </c>
      <c r="L366" s="28">
        <f t="shared" si="36"/>
        <v>0</v>
      </c>
      <c r="M366" s="28">
        <f t="shared" si="37"/>
        <v>0.2231404958677686</v>
      </c>
      <c r="N366" s="28" t="str">
        <f t="shared" si="38"/>
        <v/>
      </c>
      <c r="O366" s="7" t="str">
        <f t="shared" si="39"/>
        <v>Valid</v>
      </c>
      <c r="P366" s="13" t="str">
        <f t="shared" si="40"/>
        <v>Incomplete</v>
      </c>
      <c r="Q366" s="7" t="str">
        <f t="shared" si="41"/>
        <v>Incomplete</v>
      </c>
    </row>
    <row r="367" spans="1:17" ht="60">
      <c r="A367" s="7" t="str">
        <f>IF(Raw_Data!A367="","",TRIM(SUBSTITUTE(CLEAN(Raw_Data!A367),CHAR(160)," ")))</f>
        <v>Abuja Municipal Area Council</v>
      </c>
      <c r="B367" s="7" t="str">
        <f>IF(Raw_Data!B367="","",TRIM(SUBSTITUTE(CLEAN(Raw_Data!B367),CHAR(160)," ")))</f>
        <v>Gwagwa Ward</v>
      </c>
      <c r="C367" s="7" t="str">
        <f>IF(Raw_Data!C367="","",TRIM(SUBSTITUTE(CLEAN(Raw_Data!C367),CHAR(160)," ")))</f>
        <v>Una Clinic</v>
      </c>
      <c r="D367" s="28" t="str">
        <f>IFERROR(IF(COUNT(Raw_Data!D367:O367)=0,"",AVERAGE(Raw_Data!D367:O367)/100),"")</f>
        <v/>
      </c>
      <c r="E367" s="28" t="str">
        <f>IFERROR(IF(COUNT(Raw_Data!P367:AA367)=0,"",AVERAGE(Raw_Data!P367:AA367)/100),"")</f>
        <v/>
      </c>
      <c r="F367" s="30" t="str">
        <f>IFERROR(IF(COUNT(Raw_Data!AB367:AM367)=0,"",SUM(Raw_Data!AB367:AM367)),"")</f>
        <v/>
      </c>
      <c r="G367" s="30" t="str">
        <f>IFERROR(IF(COUNT(Raw_Data!AN367:AY367)=0,"",SUM(Raw_Data!AN367:AY367)),"")</f>
        <v/>
      </c>
      <c r="H367" s="30">
        <f>IFERROR(IF(COUNT(Raw_Data!AZ367:BK367)=0,"",SUM(Raw_Data!AZ367:BK367)),"")</f>
        <v>9</v>
      </c>
      <c r="I367" s="30">
        <f>IFERROR(IF(COUNT(Raw_Data!BL367:BW367)=0,"",SUM(Raw_Data!BL367:BW367)),"")</f>
        <v>2</v>
      </c>
      <c r="J367" s="30">
        <f>IFERROR(IF(COUNT(Raw_Data!BX367:CI367)=0,"",SUM(Raw_Data!BX367:CI367)),"")</f>
        <v>3</v>
      </c>
      <c r="K367" s="28" t="str">
        <f t="shared" si="35"/>
        <v/>
      </c>
      <c r="L367" s="28" t="str">
        <f t="shared" si="36"/>
        <v/>
      </c>
      <c r="M367" s="28">
        <f t="shared" si="37"/>
        <v>0.22222222222222221</v>
      </c>
      <c r="N367" s="28">
        <f t="shared" si="38"/>
        <v>0.33333333333333331</v>
      </c>
      <c r="O367" s="7" t="str">
        <f t="shared" si="39"/>
        <v>No Data</v>
      </c>
      <c r="P367" s="13" t="str">
        <f t="shared" si="40"/>
        <v>Invalid</v>
      </c>
      <c r="Q367" s="7" t="str">
        <f t="shared" si="41"/>
        <v>No Data</v>
      </c>
    </row>
    <row r="368" spans="1:17" ht="60">
      <c r="A368" s="7" t="str">
        <f>IF(Raw_Data!A368="","",TRIM(SUBSTITUTE(CLEAN(Raw_Data!A368),CHAR(160)," ")))</f>
        <v>Bwari Local Government Area</v>
      </c>
      <c r="B368" s="7" t="str">
        <f>IF(Raw_Data!B368="","",TRIM(SUBSTITUTE(CLEAN(Raw_Data!B368),CHAR(160)," ")))</f>
        <v>Usuma Ward</v>
      </c>
      <c r="C368" s="7" t="str">
        <f>IF(Raw_Data!C368="","",TRIM(SUBSTITUTE(CLEAN(Raw_Data!C368),CHAR(160)," ")))</f>
        <v>Unity Clinic &amp; Maternity</v>
      </c>
      <c r="D368" s="28">
        <f>IFERROR(IF(COUNT(Raw_Data!D368:O368)=0,"",AVERAGE(Raw_Data!D368:O368)/100),"")</f>
        <v>1</v>
      </c>
      <c r="E368" s="28" t="str">
        <f>IFERROR(IF(COUNT(Raw_Data!P368:AA368)=0,"",AVERAGE(Raw_Data!P368:AA368)/100),"")</f>
        <v/>
      </c>
      <c r="F368" s="30">
        <f>IFERROR(IF(COUNT(Raw_Data!AB368:AM368)=0,"",SUM(Raw_Data!AB368:AM368)),"")</f>
        <v>315</v>
      </c>
      <c r="G368" s="30">
        <f>IFERROR(IF(COUNT(Raw_Data!AN368:AY368)=0,"",SUM(Raw_Data!AN368:AY368)),"")</f>
        <v>321</v>
      </c>
      <c r="H368" s="30">
        <f>IFERROR(IF(COUNT(Raw_Data!AZ368:BK368)=0,"",SUM(Raw_Data!AZ368:BK368)),"")</f>
        <v>381</v>
      </c>
      <c r="I368" s="30">
        <f>IFERROR(IF(COUNT(Raw_Data!BL368:BW368)=0,"",SUM(Raw_Data!BL368:BW368)),"")</f>
        <v>399</v>
      </c>
      <c r="J368" s="30">
        <f>IFERROR(IF(COUNT(Raw_Data!BX368:CI368)=0,"",SUM(Raw_Data!BX368:CI368)),"")</f>
        <v>212</v>
      </c>
      <c r="K368" s="28">
        <f t="shared" si="35"/>
        <v>1.019047619047619</v>
      </c>
      <c r="L368" s="28">
        <f t="shared" si="36"/>
        <v>-1.9047619047619049E-2</v>
      </c>
      <c r="M368" s="28">
        <f t="shared" si="37"/>
        <v>1.0472440944881889</v>
      </c>
      <c r="N368" s="28">
        <f t="shared" si="38"/>
        <v>0.55643044619422577</v>
      </c>
      <c r="O368" s="7" t="str">
        <f t="shared" si="39"/>
        <v>Invalid</v>
      </c>
      <c r="P368" s="13" t="str">
        <f t="shared" si="40"/>
        <v>Invalid</v>
      </c>
      <c r="Q368" s="7" t="str">
        <f t="shared" si="41"/>
        <v>Invalid</v>
      </c>
    </row>
    <row r="369" spans="1:17" ht="75">
      <c r="A369" s="7" t="str">
        <f>IF(Raw_Data!A369="","",TRIM(SUBSTITUTE(CLEAN(Raw_Data!A369),CHAR(160)," ")))</f>
        <v>Gwagwalada Local Government Area</v>
      </c>
      <c r="B369" s="7" t="str">
        <f>IF(Raw_Data!B369="","",TRIM(SUBSTITUTE(CLEAN(Raw_Data!B369),CHAR(160)," ")))</f>
        <v>Quarters Ward</v>
      </c>
      <c r="C369" s="7" t="str">
        <f>IF(Raw_Data!C369="","",TRIM(SUBSTITUTE(CLEAN(Raw_Data!C369),CHAR(160)," ")))</f>
        <v>University of Abuja Teaching Hospital</v>
      </c>
      <c r="D369" s="28" t="str">
        <f>IFERROR(IF(COUNT(Raw_Data!D369:O369)=0,"",AVERAGE(Raw_Data!D369:O369)/100),"")</f>
        <v/>
      </c>
      <c r="E369" s="28" t="str">
        <f>IFERROR(IF(COUNT(Raw_Data!P369:AA369)=0,"",AVERAGE(Raw_Data!P369:AA369)/100),"")</f>
        <v/>
      </c>
      <c r="F369" s="30">
        <f>IFERROR(IF(COUNT(Raw_Data!AB369:AM369)=0,"",SUM(Raw_Data!AB369:AM369)),"")</f>
        <v>1160</v>
      </c>
      <c r="G369" s="30">
        <f>IFERROR(IF(COUNT(Raw_Data!AN369:AY369)=0,"",SUM(Raw_Data!AN369:AY369)),"")</f>
        <v>1587</v>
      </c>
      <c r="H369" s="30">
        <f>IFERROR(IF(COUNT(Raw_Data!AZ369:BK369)=0,"",SUM(Raw_Data!AZ369:BK369)),"")</f>
        <v>10287</v>
      </c>
      <c r="I369" s="30">
        <f>IFERROR(IF(COUNT(Raw_Data!BL369:BW369)=0,"",SUM(Raw_Data!BL369:BW369)),"")</f>
        <v>2773</v>
      </c>
      <c r="J369" s="30">
        <f>IFERROR(IF(COUNT(Raw_Data!BX369:CI369)=0,"",SUM(Raw_Data!BX369:CI369)),"")</f>
        <v>2152</v>
      </c>
      <c r="K369" s="28">
        <f t="shared" si="35"/>
        <v>1.3681034482758621</v>
      </c>
      <c r="L369" s="28">
        <f t="shared" si="36"/>
        <v>-0.36810344827586206</v>
      </c>
      <c r="M369" s="28">
        <f t="shared" si="37"/>
        <v>0.26956352678137457</v>
      </c>
      <c r="N369" s="28">
        <f t="shared" si="38"/>
        <v>0.20919607271313309</v>
      </c>
      <c r="O369" s="7" t="str">
        <f t="shared" si="39"/>
        <v>Invalid</v>
      </c>
      <c r="P369" s="13" t="str">
        <f t="shared" si="40"/>
        <v>Valid</v>
      </c>
      <c r="Q369" s="7" t="str">
        <f t="shared" si="41"/>
        <v>Invalid</v>
      </c>
    </row>
    <row r="370" spans="1:17" ht="75">
      <c r="A370" s="7" t="str">
        <f>IF(Raw_Data!A370="","",TRIM(SUBSTITUTE(CLEAN(Raw_Data!A370),CHAR(160)," ")))</f>
        <v>Bwari Local Government Area</v>
      </c>
      <c r="B370" s="7" t="str">
        <f>IF(Raw_Data!B370="","",TRIM(SUBSTITUTE(CLEAN(Raw_Data!B370),CHAR(160)," ")))</f>
        <v>Ushafa Ward</v>
      </c>
      <c r="C370" s="7" t="str">
        <f>IF(Raw_Data!C370="","",TRIM(SUBSTITUTE(CLEAN(Raw_Data!C370),CHAR(160)," ")))</f>
        <v>Ushafa New Layout Health Centre</v>
      </c>
      <c r="D370" s="28">
        <f>IFERROR(IF(COUNT(Raw_Data!D370:O370)=0,"",AVERAGE(Raw_Data!D370:O370)/100),"")</f>
        <v>1.0259727272727273</v>
      </c>
      <c r="E370" s="28">
        <f>IFERROR(IF(COUNT(Raw_Data!P370:AA370)=0,"",AVERAGE(Raw_Data!P370:AA370)/100),"")</f>
        <v>1.0555555555555556</v>
      </c>
      <c r="F370" s="30">
        <f>IFERROR(IF(COUNT(Raw_Data!AB370:AM370)=0,"",SUM(Raw_Data!AB370:AM370)),"")</f>
        <v>338</v>
      </c>
      <c r="G370" s="30">
        <f>IFERROR(IF(COUNT(Raw_Data!AN370:AY370)=0,"",SUM(Raw_Data!AN370:AY370)),"")</f>
        <v>534</v>
      </c>
      <c r="H370" s="30">
        <f>IFERROR(IF(COUNT(Raw_Data!AZ370:BK370)=0,"",SUM(Raw_Data!AZ370:BK370)),"")</f>
        <v>55</v>
      </c>
      <c r="I370" s="30">
        <f>IFERROR(IF(COUNT(Raw_Data!BL370:BW370)=0,"",SUM(Raw_Data!BL370:BW370)),"")</f>
        <v>28</v>
      </c>
      <c r="J370" s="30">
        <f>IFERROR(IF(COUNT(Raw_Data!BX370:CI370)=0,"",SUM(Raw_Data!BX370:CI370)),"")</f>
        <v>13</v>
      </c>
      <c r="K370" s="28">
        <f t="shared" si="35"/>
        <v>1.5798816568047338</v>
      </c>
      <c r="L370" s="28">
        <f t="shared" si="36"/>
        <v>-0.57988165680473369</v>
      </c>
      <c r="M370" s="28">
        <f t="shared" si="37"/>
        <v>0.50909090909090904</v>
      </c>
      <c r="N370" s="28">
        <f t="shared" si="38"/>
        <v>0.23636363636363636</v>
      </c>
      <c r="O370" s="7" t="str">
        <f t="shared" si="39"/>
        <v>Invalid</v>
      </c>
      <c r="P370" s="13" t="str">
        <f t="shared" si="40"/>
        <v>Valid</v>
      </c>
      <c r="Q370" s="7" t="str">
        <f t="shared" si="41"/>
        <v>Invalid</v>
      </c>
    </row>
    <row r="371" spans="1:17" ht="60">
      <c r="A371" s="7" t="str">
        <f>IF(Raw_Data!A371="","",TRIM(SUBSTITUTE(CLEAN(Raw_Data!A371),CHAR(160)," ")))</f>
        <v>Bwari Local Government Area</v>
      </c>
      <c r="B371" s="7" t="str">
        <f>IF(Raw_Data!B371="","",TRIM(SUBSTITUTE(CLEAN(Raw_Data!B371),CHAR(160)," ")))</f>
        <v>Ushafa Ward</v>
      </c>
      <c r="C371" s="7" t="str">
        <f>IF(Raw_Data!C371="","",TRIM(SUBSTITUTE(CLEAN(Raw_Data!C371),CHAR(160)," ")))</f>
        <v>Ushafa Primary Health Center</v>
      </c>
      <c r="D371" s="28">
        <f>IFERROR(IF(COUNT(Raw_Data!D371:O371)=0,"",AVERAGE(Raw_Data!D371:O371)/100),"")</f>
        <v>1</v>
      </c>
      <c r="E371" s="28">
        <f>IFERROR(IF(COUNT(Raw_Data!P371:AA371)=0,"",AVERAGE(Raw_Data!P371:AA371)/100),"")</f>
        <v>1</v>
      </c>
      <c r="F371" s="30">
        <f>IFERROR(IF(COUNT(Raw_Data!AB371:AM371)=0,"",SUM(Raw_Data!AB371:AM371)),"")</f>
        <v>486</v>
      </c>
      <c r="G371" s="30">
        <f>IFERROR(IF(COUNT(Raw_Data!AN371:AY371)=0,"",SUM(Raw_Data!AN371:AY371)),"")</f>
        <v>825</v>
      </c>
      <c r="H371" s="30">
        <f>IFERROR(IF(COUNT(Raw_Data!AZ371:BK371)=0,"",SUM(Raw_Data!AZ371:BK371)),"")</f>
        <v>328</v>
      </c>
      <c r="I371" s="30">
        <f>IFERROR(IF(COUNT(Raw_Data!BL371:BW371)=0,"",SUM(Raw_Data!BL371:BW371)),"")</f>
        <v>171</v>
      </c>
      <c r="J371" s="30">
        <f>IFERROR(IF(COUNT(Raw_Data!BX371:CI371)=0,"",SUM(Raw_Data!BX371:CI371)),"")</f>
        <v>42</v>
      </c>
      <c r="K371" s="28">
        <f t="shared" si="35"/>
        <v>1.6975308641975309</v>
      </c>
      <c r="L371" s="28">
        <f t="shared" si="36"/>
        <v>-0.69753086419753085</v>
      </c>
      <c r="M371" s="28">
        <f t="shared" si="37"/>
        <v>0.52134146341463417</v>
      </c>
      <c r="N371" s="28">
        <f t="shared" si="38"/>
        <v>0.12804878048780488</v>
      </c>
      <c r="O371" s="7" t="str">
        <f t="shared" si="39"/>
        <v>Invalid</v>
      </c>
      <c r="P371" s="13" t="str">
        <f t="shared" si="40"/>
        <v>Valid</v>
      </c>
      <c r="Q371" s="7" t="str">
        <f t="shared" si="41"/>
        <v>Invalid</v>
      </c>
    </row>
    <row r="372" spans="1:17" ht="60">
      <c r="A372" s="7" t="str">
        <f>IF(Raw_Data!A372="","",TRIM(SUBSTITUTE(CLEAN(Raw_Data!A372),CHAR(160)," ")))</f>
        <v>Abuja Municipal Area Council</v>
      </c>
      <c r="B372" s="7" t="str">
        <f>IF(Raw_Data!B372="","",TRIM(SUBSTITUTE(CLEAN(Raw_Data!B372),CHAR(160)," ")))</f>
        <v>Garki Ward</v>
      </c>
      <c r="C372" s="7" t="str">
        <f>IF(Raw_Data!C372="","",TRIM(SUBSTITUTE(CLEAN(Raw_Data!C372),CHAR(160)," ")))</f>
        <v>Vinnette Medical Center</v>
      </c>
      <c r="D372" s="28">
        <f>IFERROR(IF(COUNT(Raw_Data!D372:O372)=0,"",AVERAGE(Raw_Data!D372:O372)/100),"")</f>
        <v>1</v>
      </c>
      <c r="E372" s="28" t="str">
        <f>IFERROR(IF(COUNT(Raw_Data!P372:AA372)=0,"",AVERAGE(Raw_Data!P372:AA372)/100),"")</f>
        <v/>
      </c>
      <c r="F372" s="30">
        <f>IFERROR(IF(COUNT(Raw_Data!AB372:AM372)=0,"",SUM(Raw_Data!AB372:AM372)),"")</f>
        <v>96</v>
      </c>
      <c r="G372" s="30">
        <f>IFERROR(IF(COUNT(Raw_Data!AN372:AY372)=0,"",SUM(Raw_Data!AN372:AY372)),"")</f>
        <v>96</v>
      </c>
      <c r="H372" s="30">
        <f>IFERROR(IF(COUNT(Raw_Data!AZ372:BK372)=0,"",SUM(Raw_Data!AZ372:BK372)),"")</f>
        <v>233</v>
      </c>
      <c r="I372" s="30">
        <f>IFERROR(IF(COUNT(Raw_Data!BL372:BW372)=0,"",SUM(Raw_Data!BL372:BW372)),"")</f>
        <v>140</v>
      </c>
      <c r="J372" s="30">
        <f>IFERROR(IF(COUNT(Raw_Data!BX372:CI372)=0,"",SUM(Raw_Data!BX372:CI372)),"")</f>
        <v>53</v>
      </c>
      <c r="K372" s="28">
        <f t="shared" si="35"/>
        <v>1</v>
      </c>
      <c r="L372" s="28">
        <f t="shared" si="36"/>
        <v>0</v>
      </c>
      <c r="M372" s="28">
        <f t="shared" si="37"/>
        <v>0.60085836909871249</v>
      </c>
      <c r="N372" s="28">
        <f t="shared" si="38"/>
        <v>0.22746781115879827</v>
      </c>
      <c r="O372" s="7" t="str">
        <f t="shared" si="39"/>
        <v>Valid</v>
      </c>
      <c r="P372" s="13" t="str">
        <f t="shared" si="40"/>
        <v>Valid</v>
      </c>
      <c r="Q372" s="7" t="str">
        <f t="shared" si="41"/>
        <v>Valid</v>
      </c>
    </row>
    <row r="373" spans="1:17" ht="60">
      <c r="A373" s="7" t="str">
        <f>IF(Raw_Data!A373="","",TRIM(SUBSTITUTE(CLEAN(Raw_Data!A373),CHAR(160)," ")))</f>
        <v>Gwagwalada Local Government Area</v>
      </c>
      <c r="B373" s="7" t="str">
        <f>IF(Raw_Data!B373="","",TRIM(SUBSTITUTE(CLEAN(Raw_Data!B373),CHAR(160)," ")))</f>
        <v>Gwako Ward</v>
      </c>
      <c r="C373" s="7" t="str">
        <f>IF(Raw_Data!C373="","",TRIM(SUBSTITUTE(CLEAN(Raw_Data!C373),CHAR(160)," ")))</f>
        <v>Viprona Health Clinic</v>
      </c>
      <c r="D373" s="28">
        <f>IFERROR(IF(COUNT(Raw_Data!D373:O373)=0,"",AVERAGE(Raw_Data!D373:O373)/100),"")</f>
        <v>1</v>
      </c>
      <c r="E373" s="28" t="str">
        <f>IFERROR(IF(COUNT(Raw_Data!P373:AA373)=0,"",AVERAGE(Raw_Data!P373:AA373)/100),"")</f>
        <v/>
      </c>
      <c r="F373" s="30">
        <f>IFERROR(IF(COUNT(Raw_Data!AB373:AM373)=0,"",SUM(Raw_Data!AB373:AM373)),"")</f>
        <v>143</v>
      </c>
      <c r="G373" s="30">
        <f>IFERROR(IF(COUNT(Raw_Data!AN373:AY373)=0,"",SUM(Raw_Data!AN373:AY373)),"")</f>
        <v>124</v>
      </c>
      <c r="H373" s="30">
        <f>IFERROR(IF(COUNT(Raw_Data!AZ373:BK373)=0,"",SUM(Raw_Data!AZ373:BK373)),"")</f>
        <v>9</v>
      </c>
      <c r="I373" s="30">
        <f>IFERROR(IF(COUNT(Raw_Data!BL373:BW373)=0,"",SUM(Raw_Data!BL373:BW373)),"")</f>
        <v>14</v>
      </c>
      <c r="J373" s="30">
        <f>IFERROR(IF(COUNT(Raw_Data!BX373:CI373)=0,"",SUM(Raw_Data!BX373:CI373)),"")</f>
        <v>1</v>
      </c>
      <c r="K373" s="28">
        <f t="shared" si="35"/>
        <v>0.86713286713286708</v>
      </c>
      <c r="L373" s="28">
        <f t="shared" si="36"/>
        <v>0.13286713286713286</v>
      </c>
      <c r="M373" s="28">
        <f t="shared" si="37"/>
        <v>1.5555555555555556</v>
      </c>
      <c r="N373" s="28">
        <f t="shared" si="38"/>
        <v>0.1111111111111111</v>
      </c>
      <c r="O373" s="7" t="str">
        <f t="shared" si="39"/>
        <v>Valid</v>
      </c>
      <c r="P373" s="13" t="str">
        <f t="shared" si="40"/>
        <v>Invalid</v>
      </c>
      <c r="Q373" s="7" t="str">
        <f t="shared" si="41"/>
        <v>Invalid</v>
      </c>
    </row>
    <row r="374" spans="1:17" ht="60">
      <c r="A374" s="7" t="str">
        <f>IF(Raw_Data!A374="","",TRIM(SUBSTITUTE(CLEAN(Raw_Data!A374),CHAR(160)," ")))</f>
        <v>Kwali Local Government Area</v>
      </c>
      <c r="B374" s="7" t="str">
        <f>IF(Raw_Data!B374="","",TRIM(SUBSTITUTE(CLEAN(Raw_Data!B374),CHAR(160)," ")))</f>
        <v>Wako Ward</v>
      </c>
      <c r="C374" s="7" t="str">
        <f>IF(Raw_Data!C374="","",TRIM(SUBSTITUTE(CLEAN(Raw_Data!C374),CHAR(160)," ")))</f>
        <v>Wako Primary Health Centre</v>
      </c>
      <c r="D374" s="28">
        <f>IFERROR(IF(COUNT(Raw_Data!D374:O374)=0,"",AVERAGE(Raw_Data!D374:O374)/100),"")</f>
        <v>0.90909090909090906</v>
      </c>
      <c r="E374" s="28">
        <f>IFERROR(IF(COUNT(Raw_Data!P374:AA374)=0,"",AVERAGE(Raw_Data!P374:AA374)/100),"")</f>
        <v>0.95909090909090911</v>
      </c>
      <c r="F374" s="30">
        <f>IFERROR(IF(COUNT(Raw_Data!AB374:AM374)=0,"",SUM(Raw_Data!AB374:AM374)),"")</f>
        <v>531</v>
      </c>
      <c r="G374" s="30">
        <f>IFERROR(IF(COUNT(Raw_Data!AN374:AY374)=0,"",SUM(Raw_Data!AN374:AY374)),"")</f>
        <v>580</v>
      </c>
      <c r="H374" s="30">
        <f>IFERROR(IF(COUNT(Raw_Data!AZ374:BK374)=0,"",SUM(Raw_Data!AZ374:BK374)),"")</f>
        <v>390</v>
      </c>
      <c r="I374" s="30">
        <f>IFERROR(IF(COUNT(Raw_Data!BL374:BW374)=0,"",SUM(Raw_Data!BL374:BW374)),"")</f>
        <v>78</v>
      </c>
      <c r="J374" s="30">
        <f>IFERROR(IF(COUNT(Raw_Data!BX374:CI374)=0,"",SUM(Raw_Data!BX374:CI374)),"")</f>
        <v>1</v>
      </c>
      <c r="K374" s="28">
        <f t="shared" si="35"/>
        <v>1.0922787193973635</v>
      </c>
      <c r="L374" s="28">
        <f t="shared" si="36"/>
        <v>-9.2278719397363471E-2</v>
      </c>
      <c r="M374" s="28">
        <f t="shared" si="37"/>
        <v>0.2</v>
      </c>
      <c r="N374" s="28">
        <f t="shared" si="38"/>
        <v>2.5641025641025641E-3</v>
      </c>
      <c r="O374" s="7" t="str">
        <f t="shared" si="39"/>
        <v>Invalid</v>
      </c>
      <c r="P374" s="13" t="str">
        <f t="shared" si="40"/>
        <v>Valid</v>
      </c>
      <c r="Q374" s="7" t="str">
        <f t="shared" si="41"/>
        <v>Invalid</v>
      </c>
    </row>
    <row r="375" spans="1:17" ht="75">
      <c r="A375" s="7" t="str">
        <f>IF(Raw_Data!A375="","",TRIM(SUBSTITUTE(CLEAN(Raw_Data!A375),CHAR(160)," ")))</f>
        <v>Abuja Municipal Area Council</v>
      </c>
      <c r="B375" s="7" t="str">
        <f>IF(Raw_Data!B375="","",TRIM(SUBSTITUTE(CLEAN(Raw_Data!B375),CHAR(160)," ")))</f>
        <v>Kabusa Ward</v>
      </c>
      <c r="C375" s="7" t="str">
        <f>IF(Raw_Data!C375="","",TRIM(SUBSTITUTE(CLEAN(Raw_Data!C375),CHAR(160)," ")))</f>
        <v>Waru Primary Health Care Centre</v>
      </c>
      <c r="D375" s="28">
        <f>IFERROR(IF(COUNT(Raw_Data!D375:O375)=0,"",AVERAGE(Raw_Data!D375:O375)/100),"")</f>
        <v>0.94</v>
      </c>
      <c r="E375" s="28">
        <f>IFERROR(IF(COUNT(Raw_Data!P375:AA375)=0,"",AVERAGE(Raw_Data!P375:AA375)/100),"")</f>
        <v>1</v>
      </c>
      <c r="F375" s="30">
        <f>IFERROR(IF(COUNT(Raw_Data!AB375:AM375)=0,"",SUM(Raw_Data!AB375:AM375)),"")</f>
        <v>756</v>
      </c>
      <c r="G375" s="30">
        <f>IFERROR(IF(COUNT(Raw_Data!AN375:AY375)=0,"",SUM(Raw_Data!AN375:AY375)),"")</f>
        <v>778</v>
      </c>
      <c r="H375" s="30">
        <f>IFERROR(IF(COUNT(Raw_Data!AZ375:BK375)=0,"",SUM(Raw_Data!AZ375:BK375)),"")</f>
        <v>529</v>
      </c>
      <c r="I375" s="30">
        <f>IFERROR(IF(COUNT(Raw_Data!BL375:BW375)=0,"",SUM(Raw_Data!BL375:BW375)),"")</f>
        <v>231</v>
      </c>
      <c r="J375" s="30">
        <f>IFERROR(IF(COUNT(Raw_Data!BX375:CI375)=0,"",SUM(Raw_Data!BX375:CI375)),"")</f>
        <v>13</v>
      </c>
      <c r="K375" s="28">
        <f t="shared" si="35"/>
        <v>1.0291005291005291</v>
      </c>
      <c r="L375" s="28">
        <f t="shared" si="36"/>
        <v>-2.9100529100529099E-2</v>
      </c>
      <c r="M375" s="28">
        <f t="shared" si="37"/>
        <v>0.43667296786389415</v>
      </c>
      <c r="N375" s="28">
        <f t="shared" si="38"/>
        <v>2.4574669187145556E-2</v>
      </c>
      <c r="O375" s="7" t="str">
        <f t="shared" si="39"/>
        <v>Invalid</v>
      </c>
      <c r="P375" s="13" t="str">
        <f t="shared" si="40"/>
        <v>Valid</v>
      </c>
      <c r="Q375" s="7" t="str">
        <f t="shared" si="41"/>
        <v>Invalid</v>
      </c>
    </row>
    <row r="376" spans="1:17" ht="60">
      <c r="A376" s="7" t="str">
        <f>IF(Raw_Data!A376="","",TRIM(SUBSTITUTE(CLEAN(Raw_Data!A376),CHAR(160)," ")))</f>
        <v>Abuja Municipal Area Council</v>
      </c>
      <c r="B376" s="7" t="str">
        <f>IF(Raw_Data!B376="","",TRIM(SUBSTITUTE(CLEAN(Raw_Data!B376),CHAR(160)," ")))</f>
        <v>Kabusa Ward</v>
      </c>
      <c r="C376" s="7" t="str">
        <f>IF(Raw_Data!C376="","",TRIM(SUBSTITUTE(CLEAN(Raw_Data!C376),CHAR(160)," ")))</f>
        <v>Wassa Primary Health Clinic</v>
      </c>
      <c r="D376" s="28">
        <f>IFERROR(IF(COUNT(Raw_Data!D376:O376)=0,"",AVERAGE(Raw_Data!D376:O376)/100),"")</f>
        <v>2.4166666666666665</v>
      </c>
      <c r="E376" s="28" t="str">
        <f>IFERROR(IF(COUNT(Raw_Data!P376:AA376)=0,"",AVERAGE(Raw_Data!P376:AA376)/100),"")</f>
        <v/>
      </c>
      <c r="F376" s="30">
        <f>IFERROR(IF(COUNT(Raw_Data!AB376:AM376)=0,"",SUM(Raw_Data!AB376:AM376)),"")</f>
        <v>141</v>
      </c>
      <c r="G376" s="30">
        <f>IFERROR(IF(COUNT(Raw_Data!AN376:AY376)=0,"",SUM(Raw_Data!AN376:AY376)),"")</f>
        <v>90</v>
      </c>
      <c r="H376" s="30">
        <f>IFERROR(IF(COUNT(Raw_Data!AZ376:BK376)=0,"",SUM(Raw_Data!AZ376:BK376)),"")</f>
        <v>81</v>
      </c>
      <c r="I376" s="30">
        <f>IFERROR(IF(COUNT(Raw_Data!BL376:BW376)=0,"",SUM(Raw_Data!BL376:BW376)),"")</f>
        <v>86</v>
      </c>
      <c r="J376" s="30" t="str">
        <f>IFERROR(IF(COUNT(Raw_Data!BX376:CI376)=0,"",SUM(Raw_Data!BX376:CI376)),"")</f>
        <v/>
      </c>
      <c r="K376" s="28">
        <f t="shared" si="35"/>
        <v>0.63829787234042556</v>
      </c>
      <c r="L376" s="28">
        <f t="shared" si="36"/>
        <v>0.36170212765957449</v>
      </c>
      <c r="M376" s="28">
        <f t="shared" si="37"/>
        <v>1.0617283950617284</v>
      </c>
      <c r="N376" s="28" t="str">
        <f t="shared" si="38"/>
        <v/>
      </c>
      <c r="O376" s="7" t="str">
        <f t="shared" si="39"/>
        <v>Valid</v>
      </c>
      <c r="P376" s="13" t="str">
        <f t="shared" si="40"/>
        <v>Incomplete</v>
      </c>
      <c r="Q376" s="7" t="str">
        <f t="shared" si="41"/>
        <v>Incomplete</v>
      </c>
    </row>
    <row r="377" spans="1:17" ht="60">
      <c r="A377" s="7" t="str">
        <f>IF(Raw_Data!A377="","",TRIM(SUBSTITUTE(CLEAN(Raw_Data!A377),CHAR(160)," ")))</f>
        <v>Abuja Municipal Area Council</v>
      </c>
      <c r="B377" s="7" t="str">
        <f>IF(Raw_Data!B377="","",TRIM(SUBSTITUTE(CLEAN(Raw_Data!B377),CHAR(160)," ")))</f>
        <v>Gwarimpa Ward</v>
      </c>
      <c r="C377" s="7" t="str">
        <f>IF(Raw_Data!C377="","",TRIM(SUBSTITUTE(CLEAN(Raw_Data!C377),CHAR(160)," ")))</f>
        <v>Wellpoint Specialist Clinic</v>
      </c>
      <c r="D377" s="28">
        <f>IFERROR(IF(COUNT(Raw_Data!D377:O377)=0,"",AVERAGE(Raw_Data!D377:O377)/100),"")</f>
        <v>1</v>
      </c>
      <c r="E377" s="28" t="str">
        <f>IFERROR(IF(COUNT(Raw_Data!P377:AA377)=0,"",AVERAGE(Raw_Data!P377:AA377)/100),"")</f>
        <v/>
      </c>
      <c r="F377" s="30">
        <f>IFERROR(IF(COUNT(Raw_Data!AB377:AM377)=0,"",SUM(Raw_Data!AB377:AM377)),"")</f>
        <v>44</v>
      </c>
      <c r="G377" s="30">
        <f>IFERROR(IF(COUNT(Raw_Data!AN377:AY377)=0,"",SUM(Raw_Data!AN377:AY377)),"")</f>
        <v>49</v>
      </c>
      <c r="H377" s="30">
        <f>IFERROR(IF(COUNT(Raw_Data!AZ377:BK377)=0,"",SUM(Raw_Data!AZ377:BK377)),"")</f>
        <v>275</v>
      </c>
      <c r="I377" s="30">
        <f>IFERROR(IF(COUNT(Raw_Data!BL377:BW377)=0,"",SUM(Raw_Data!BL377:BW377)),"")</f>
        <v>129</v>
      </c>
      <c r="J377" s="30">
        <f>IFERROR(IF(COUNT(Raw_Data!BX377:CI377)=0,"",SUM(Raw_Data!BX377:CI377)),"")</f>
        <v>86</v>
      </c>
      <c r="K377" s="28">
        <f t="shared" si="35"/>
        <v>1.1136363636363635</v>
      </c>
      <c r="L377" s="28">
        <f t="shared" si="36"/>
        <v>-0.11363636363636363</v>
      </c>
      <c r="M377" s="28">
        <f t="shared" si="37"/>
        <v>0.46909090909090911</v>
      </c>
      <c r="N377" s="28">
        <f t="shared" si="38"/>
        <v>0.31272727272727274</v>
      </c>
      <c r="O377" s="7" t="str">
        <f t="shared" si="39"/>
        <v>Invalid</v>
      </c>
      <c r="P377" s="13" t="str">
        <f t="shared" si="40"/>
        <v>Valid</v>
      </c>
      <c r="Q377" s="7" t="str">
        <f t="shared" si="41"/>
        <v>Invalid</v>
      </c>
    </row>
    <row r="378" spans="1:17" ht="60">
      <c r="A378" s="7" t="str">
        <f>IF(Raw_Data!A378="","",TRIM(SUBSTITUTE(CLEAN(Raw_Data!A378),CHAR(160)," ")))</f>
        <v>Gwagwalada Local Government Area</v>
      </c>
      <c r="B378" s="7" t="str">
        <f>IF(Raw_Data!B378="","",TRIM(SUBSTITUTE(CLEAN(Raw_Data!B378),CHAR(160)," ")))</f>
        <v>Dobi Ward</v>
      </c>
      <c r="C378" s="7" t="str">
        <f>IF(Raw_Data!C378="","",TRIM(SUBSTITUTE(CLEAN(Raw_Data!C378),CHAR(160)," ")))</f>
        <v>Wumi Health Clinic</v>
      </c>
      <c r="D378" s="28">
        <f>IFERROR(IF(COUNT(Raw_Data!D378:O378)=0,"",AVERAGE(Raw_Data!D378:O378)/100),"")</f>
        <v>1</v>
      </c>
      <c r="E378" s="28">
        <f>IFERROR(IF(COUNT(Raw_Data!P378:AA378)=0,"",AVERAGE(Raw_Data!P378:AA378)/100),"")</f>
        <v>1</v>
      </c>
      <c r="F378" s="30">
        <f>IFERROR(IF(COUNT(Raw_Data!AB378:AM378)=0,"",SUM(Raw_Data!AB378:AM378)),"")</f>
        <v>310</v>
      </c>
      <c r="G378" s="30">
        <f>IFERROR(IF(COUNT(Raw_Data!AN378:AY378)=0,"",SUM(Raw_Data!AN378:AY378)),"")</f>
        <v>273</v>
      </c>
      <c r="H378" s="30">
        <f>IFERROR(IF(COUNT(Raw_Data!AZ378:BK378)=0,"",SUM(Raw_Data!AZ378:BK378)),"")</f>
        <v>144</v>
      </c>
      <c r="I378" s="30">
        <f>IFERROR(IF(COUNT(Raw_Data!BL378:BW378)=0,"",SUM(Raw_Data!BL378:BW378)),"")</f>
        <v>80</v>
      </c>
      <c r="J378" s="30" t="str">
        <f>IFERROR(IF(COUNT(Raw_Data!BX378:CI378)=0,"",SUM(Raw_Data!BX378:CI378)),"")</f>
        <v/>
      </c>
      <c r="K378" s="28">
        <f t="shared" si="35"/>
        <v>0.88064516129032255</v>
      </c>
      <c r="L378" s="28">
        <f t="shared" si="36"/>
        <v>0.11935483870967742</v>
      </c>
      <c r="M378" s="28">
        <f t="shared" si="37"/>
        <v>0.55555555555555558</v>
      </c>
      <c r="N378" s="28" t="str">
        <f t="shared" si="38"/>
        <v/>
      </c>
      <c r="O378" s="7" t="str">
        <f t="shared" si="39"/>
        <v>Valid</v>
      </c>
      <c r="P378" s="13" t="str">
        <f t="shared" si="40"/>
        <v>Incomplete</v>
      </c>
      <c r="Q378" s="7" t="str">
        <f t="shared" si="41"/>
        <v>Incomplete</v>
      </c>
    </row>
    <row r="379" spans="1:17" ht="60">
      <c r="A379" s="7" t="str">
        <f>IF(Raw_Data!A379="","",TRIM(SUBSTITUTE(CLEAN(Raw_Data!A379),CHAR(160)," ")))</f>
        <v>Gwagwalada Local Government Area</v>
      </c>
      <c r="B379" s="7" t="str">
        <f>IF(Raw_Data!B379="","",TRIM(SUBSTITUTE(CLEAN(Raw_Data!B379),CHAR(160)," ")))</f>
        <v>Ibwa Ward</v>
      </c>
      <c r="C379" s="7" t="str">
        <f>IF(Raw_Data!C379="","",TRIM(SUBSTITUTE(CLEAN(Raw_Data!C379),CHAR(160)," ")))</f>
        <v>Wuna Primary Health Clinic</v>
      </c>
      <c r="D379" s="28">
        <f>IFERROR(IF(COUNT(Raw_Data!D379:O379)=0,"",AVERAGE(Raw_Data!D379:O379)/100),"")</f>
        <v>1.0249999999999999</v>
      </c>
      <c r="E379" s="28">
        <f>IFERROR(IF(COUNT(Raw_Data!P379:AA379)=0,"",AVERAGE(Raw_Data!P379:AA379)/100),"")</f>
        <v>0.67500000000000004</v>
      </c>
      <c r="F379" s="30">
        <f>IFERROR(IF(COUNT(Raw_Data!AB379:AM379)=0,"",SUM(Raw_Data!AB379:AM379)),"")</f>
        <v>365</v>
      </c>
      <c r="G379" s="30">
        <f>IFERROR(IF(COUNT(Raw_Data!AN379:AY379)=0,"",SUM(Raw_Data!AN379:AY379)),"")</f>
        <v>758</v>
      </c>
      <c r="H379" s="30">
        <f>IFERROR(IF(COUNT(Raw_Data!AZ379:BK379)=0,"",SUM(Raw_Data!AZ379:BK379)),"")</f>
        <v>82</v>
      </c>
      <c r="I379" s="30">
        <f>IFERROR(IF(COUNT(Raw_Data!BL379:BW379)=0,"",SUM(Raw_Data!BL379:BW379)),"")</f>
        <v>14</v>
      </c>
      <c r="J379" s="30">
        <f>IFERROR(IF(COUNT(Raw_Data!BX379:CI379)=0,"",SUM(Raw_Data!BX379:CI379)),"")</f>
        <v>1</v>
      </c>
      <c r="K379" s="28">
        <f t="shared" si="35"/>
        <v>2.0767123287671234</v>
      </c>
      <c r="L379" s="28">
        <f t="shared" si="36"/>
        <v>-1.0767123287671232</v>
      </c>
      <c r="M379" s="28">
        <f t="shared" si="37"/>
        <v>0.17073170731707318</v>
      </c>
      <c r="N379" s="28">
        <f t="shared" si="38"/>
        <v>1.2195121951219513E-2</v>
      </c>
      <c r="O379" s="7" t="str">
        <f t="shared" si="39"/>
        <v>Invalid</v>
      </c>
      <c r="P379" s="13" t="str">
        <f t="shared" si="40"/>
        <v>Valid</v>
      </c>
      <c r="Q379" s="7" t="str">
        <f t="shared" si="41"/>
        <v>Invalid</v>
      </c>
    </row>
    <row r="380" spans="1:17" ht="60">
      <c r="A380" s="7" t="str">
        <f>IF(Raw_Data!A380="","",TRIM(SUBSTITUTE(CLEAN(Raw_Data!A380),CHAR(160)," ")))</f>
        <v>Abuja Municipal Area Council</v>
      </c>
      <c r="B380" s="7" t="str">
        <f>IF(Raw_Data!B380="","",TRIM(SUBSTITUTE(CLEAN(Raw_Data!B380),CHAR(160)," ")))</f>
        <v>Wuse Ward</v>
      </c>
      <c r="C380" s="7" t="str">
        <f>IF(Raw_Data!C380="","",TRIM(SUBSTITUTE(CLEAN(Raw_Data!C380),CHAR(160)," ")))</f>
        <v>Wuse General Hospital</v>
      </c>
      <c r="D380" s="28" t="str">
        <f>IFERROR(IF(COUNT(Raw_Data!D380:O380)=0,"",AVERAGE(Raw_Data!D380:O380)/100),"")</f>
        <v/>
      </c>
      <c r="E380" s="28" t="str">
        <f>IFERROR(IF(COUNT(Raw_Data!P380:AA380)=0,"",AVERAGE(Raw_Data!P380:AA380)/100),"")</f>
        <v/>
      </c>
      <c r="F380" s="30">
        <f>IFERROR(IF(COUNT(Raw_Data!AB380:AM380)=0,"",SUM(Raw_Data!AB380:AM380)),"")</f>
        <v>745</v>
      </c>
      <c r="G380" s="30">
        <f>IFERROR(IF(COUNT(Raw_Data!AN380:AY380)=0,"",SUM(Raw_Data!AN380:AY380)),"")</f>
        <v>762</v>
      </c>
      <c r="H380" s="30">
        <f>IFERROR(IF(COUNT(Raw_Data!AZ380:BK380)=0,"",SUM(Raw_Data!AZ380:BK380)),"")</f>
        <v>1637</v>
      </c>
      <c r="I380" s="30">
        <f>IFERROR(IF(COUNT(Raw_Data!BL380:BW380)=0,"",SUM(Raw_Data!BL380:BW380)),"")</f>
        <v>687</v>
      </c>
      <c r="J380" s="30">
        <f>IFERROR(IF(COUNT(Raw_Data!BX380:CI380)=0,"",SUM(Raw_Data!BX380:CI380)),"")</f>
        <v>432</v>
      </c>
      <c r="K380" s="28">
        <f t="shared" si="35"/>
        <v>1.0228187919463088</v>
      </c>
      <c r="L380" s="28">
        <f t="shared" si="36"/>
        <v>-2.2818791946308724E-2</v>
      </c>
      <c r="M380" s="28">
        <f t="shared" si="37"/>
        <v>0.41967012828344535</v>
      </c>
      <c r="N380" s="28">
        <f t="shared" si="38"/>
        <v>0.26389737324373852</v>
      </c>
      <c r="O380" s="7" t="str">
        <f t="shared" si="39"/>
        <v>Invalid</v>
      </c>
      <c r="P380" s="13" t="str">
        <f t="shared" si="40"/>
        <v>Valid</v>
      </c>
      <c r="Q380" s="7" t="str">
        <f t="shared" si="41"/>
        <v>Invalid</v>
      </c>
    </row>
    <row r="381" spans="1:17" ht="60">
      <c r="A381" s="7" t="str">
        <f>IF(Raw_Data!A381="","",TRIM(SUBSTITUTE(CLEAN(Raw_Data!A381),CHAR(160)," ")))</f>
        <v>Abaji Local Government Area</v>
      </c>
      <c r="B381" s="7" t="str">
        <f>IF(Raw_Data!B381="","",TRIM(SUBSTITUTE(CLEAN(Raw_Data!B381),CHAR(160)," ")))</f>
        <v>Yaba Ward</v>
      </c>
      <c r="C381" s="7" t="str">
        <f>IF(Raw_Data!C381="","",TRIM(SUBSTITUTE(CLEAN(Raw_Data!C381),CHAR(160)," ")))</f>
        <v>Yaba Primary Health Clinic</v>
      </c>
      <c r="D381" s="28">
        <f>IFERROR(IF(COUNT(Raw_Data!D381:O381)=0,"",AVERAGE(Raw_Data!D381:O381)/100),"")</f>
        <v>1</v>
      </c>
      <c r="E381" s="28">
        <f>IFERROR(IF(COUNT(Raw_Data!P381:AA381)=0,"",AVERAGE(Raw_Data!P381:AA381)/100),"")</f>
        <v>1</v>
      </c>
      <c r="F381" s="30">
        <f>IFERROR(IF(COUNT(Raw_Data!AB381:AM381)=0,"",SUM(Raw_Data!AB381:AM381)),"")</f>
        <v>615</v>
      </c>
      <c r="G381" s="30">
        <f>IFERROR(IF(COUNT(Raw_Data!AN381:AY381)=0,"",SUM(Raw_Data!AN381:AY381)),"")</f>
        <v>598</v>
      </c>
      <c r="H381" s="30">
        <f>IFERROR(IF(COUNT(Raw_Data!AZ381:BK381)=0,"",SUM(Raw_Data!AZ381:BK381)),"")</f>
        <v>241</v>
      </c>
      <c r="I381" s="30">
        <f>IFERROR(IF(COUNT(Raw_Data!BL381:BW381)=0,"",SUM(Raw_Data!BL381:BW381)),"")</f>
        <v>53</v>
      </c>
      <c r="J381" s="30">
        <f>IFERROR(IF(COUNT(Raw_Data!BX381:CI381)=0,"",SUM(Raw_Data!BX381:CI381)),"")</f>
        <v>6</v>
      </c>
      <c r="K381" s="28">
        <f t="shared" si="35"/>
        <v>0.97235772357723582</v>
      </c>
      <c r="L381" s="28">
        <f t="shared" si="36"/>
        <v>2.7642276422764227E-2</v>
      </c>
      <c r="M381" s="28">
        <f t="shared" si="37"/>
        <v>0.21991701244813278</v>
      </c>
      <c r="N381" s="28">
        <f t="shared" si="38"/>
        <v>2.4896265560165973E-2</v>
      </c>
      <c r="O381" s="7" t="str">
        <f t="shared" si="39"/>
        <v>Valid</v>
      </c>
      <c r="P381" s="13" t="str">
        <f t="shared" si="40"/>
        <v>Valid</v>
      </c>
      <c r="Q381" s="7" t="str">
        <f t="shared" si="41"/>
        <v>Valid</v>
      </c>
    </row>
    <row r="382" spans="1:17" ht="60">
      <c r="A382" s="7" t="str">
        <f>IF(Raw_Data!A382="","",TRIM(SUBSTITUTE(CLEAN(Raw_Data!A382),CHAR(160)," ")))</f>
        <v>Abuja Municipal Area Council</v>
      </c>
      <c r="B382" s="7" t="str">
        <f>IF(Raw_Data!B382="","",TRIM(SUBSTITUTE(CLEAN(Raw_Data!B382),CHAR(160)," ")))</f>
        <v>Kabusa Ward</v>
      </c>
      <c r="C382" s="7" t="str">
        <f>IF(Raw_Data!C382="","",TRIM(SUBSTITUTE(CLEAN(Raw_Data!C382),CHAR(160)," ")))</f>
        <v>Yabisam Hospital</v>
      </c>
      <c r="D382" s="28">
        <f>IFERROR(IF(COUNT(Raw_Data!D382:O382)=0,"",AVERAGE(Raw_Data!D382:O382)/100),"")</f>
        <v>1</v>
      </c>
      <c r="E382" s="28" t="str">
        <f>IFERROR(IF(COUNT(Raw_Data!P382:AA382)=0,"",AVERAGE(Raw_Data!P382:AA382)/100),"")</f>
        <v/>
      </c>
      <c r="F382" s="30">
        <f>IFERROR(IF(COUNT(Raw_Data!AB382:AM382)=0,"",SUM(Raw_Data!AB382:AM382)),"")</f>
        <v>251</v>
      </c>
      <c r="G382" s="30">
        <f>IFERROR(IF(COUNT(Raw_Data!AN382:AY382)=0,"",SUM(Raw_Data!AN382:AY382)),"")</f>
        <v>186</v>
      </c>
      <c r="H382" s="30">
        <f>IFERROR(IF(COUNT(Raw_Data!AZ382:BK382)=0,"",SUM(Raw_Data!AZ382:BK382)),"")</f>
        <v>87</v>
      </c>
      <c r="I382" s="30">
        <f>IFERROR(IF(COUNT(Raw_Data!BL382:BW382)=0,"",SUM(Raw_Data!BL382:BW382)),"")</f>
        <v>25</v>
      </c>
      <c r="J382" s="30">
        <f>IFERROR(IF(COUNT(Raw_Data!BX382:CI382)=0,"",SUM(Raw_Data!BX382:CI382)),"")</f>
        <v>25</v>
      </c>
      <c r="K382" s="28">
        <f t="shared" si="35"/>
        <v>0.74103585657370519</v>
      </c>
      <c r="L382" s="28">
        <f t="shared" si="36"/>
        <v>0.25896414342629481</v>
      </c>
      <c r="M382" s="28">
        <f t="shared" si="37"/>
        <v>0.28735632183908044</v>
      </c>
      <c r="N382" s="28">
        <f t="shared" si="38"/>
        <v>0.28735632183908044</v>
      </c>
      <c r="O382" s="7" t="str">
        <f t="shared" si="39"/>
        <v>Valid</v>
      </c>
      <c r="P382" s="13" t="str">
        <f t="shared" si="40"/>
        <v>Valid</v>
      </c>
      <c r="Q382" s="7" t="str">
        <f t="shared" si="41"/>
        <v>Valid</v>
      </c>
    </row>
    <row r="383" spans="1:17" ht="60">
      <c r="A383" s="7" t="str">
        <f>IF(Raw_Data!A383="","",TRIM(SUBSTITUTE(CLEAN(Raw_Data!A383),CHAR(160)," ")))</f>
        <v>Kwali Local Government Area</v>
      </c>
      <c r="B383" s="7" t="str">
        <f>IF(Raw_Data!B383="","",TRIM(SUBSTITUTE(CLEAN(Raw_Data!B383),CHAR(160)," ")))</f>
        <v>Yebu Ward</v>
      </c>
      <c r="C383" s="7" t="str">
        <f>IF(Raw_Data!C383="","",TRIM(SUBSTITUTE(CLEAN(Raw_Data!C383),CHAR(160)," ")))</f>
        <v>Yambabu Primary Health Centre</v>
      </c>
      <c r="D383" s="28">
        <f>IFERROR(IF(COUNT(Raw_Data!D383:O383)=0,"",AVERAGE(Raw_Data!D383:O383)/100),"")</f>
        <v>1</v>
      </c>
      <c r="E383" s="28">
        <f>IFERROR(IF(COUNT(Raw_Data!P383:AA383)=0,"",AVERAGE(Raw_Data!P383:AA383)/100),"")</f>
        <v>1</v>
      </c>
      <c r="F383" s="30">
        <f>IFERROR(IF(COUNT(Raw_Data!AB383:AM383)=0,"",SUM(Raw_Data!AB383:AM383)),"")</f>
        <v>147</v>
      </c>
      <c r="G383" s="30">
        <f>IFERROR(IF(COUNT(Raw_Data!AN383:AY383)=0,"",SUM(Raw_Data!AN383:AY383)),"")</f>
        <v>178</v>
      </c>
      <c r="H383" s="30">
        <f>IFERROR(IF(COUNT(Raw_Data!AZ383:BK383)=0,"",SUM(Raw_Data!AZ383:BK383)),"")</f>
        <v>56</v>
      </c>
      <c r="I383" s="30">
        <f>IFERROR(IF(COUNT(Raw_Data!BL383:BW383)=0,"",SUM(Raw_Data!BL383:BW383)),"")</f>
        <v>4</v>
      </c>
      <c r="J383" s="30" t="str">
        <f>IFERROR(IF(COUNT(Raw_Data!BX383:CI383)=0,"",SUM(Raw_Data!BX383:CI383)),"")</f>
        <v/>
      </c>
      <c r="K383" s="28">
        <f t="shared" si="35"/>
        <v>1.2108843537414966</v>
      </c>
      <c r="L383" s="28">
        <f t="shared" si="36"/>
        <v>-0.21088435374149661</v>
      </c>
      <c r="M383" s="28">
        <f t="shared" si="37"/>
        <v>7.1428571428571425E-2</v>
      </c>
      <c r="N383" s="28" t="str">
        <f t="shared" si="38"/>
        <v/>
      </c>
      <c r="O383" s="7" t="str">
        <f t="shared" si="39"/>
        <v>Invalid</v>
      </c>
      <c r="P383" s="13" t="str">
        <f t="shared" si="40"/>
        <v>Incomplete</v>
      </c>
      <c r="Q383" s="7" t="str">
        <f t="shared" si="41"/>
        <v>Incomplete</v>
      </c>
    </row>
    <row r="384" spans="1:17" ht="60">
      <c r="A384" s="7" t="str">
        <f>IF(Raw_Data!A384="","",TRIM(SUBSTITUTE(CLEAN(Raw_Data!A384),CHAR(160)," ")))</f>
        <v>Kuje Local Government Area</v>
      </c>
      <c r="B384" s="7" t="str">
        <f>IF(Raw_Data!B384="","",TRIM(SUBSTITUTE(CLEAN(Raw_Data!B384),CHAR(160)," ")))</f>
        <v>Yanche Ward</v>
      </c>
      <c r="C384" s="7" t="str">
        <f>IF(Raw_Data!C384="","",TRIM(SUBSTITUTE(CLEAN(Raw_Data!C384),CHAR(160)," ")))</f>
        <v>Yanche Primary Health Centre</v>
      </c>
      <c r="D384" s="28">
        <f>IFERROR(IF(COUNT(Raw_Data!D384:O384)=0,"",AVERAGE(Raw_Data!D384:O384)/100),"")</f>
        <v>0.95454545454545459</v>
      </c>
      <c r="E384" s="28">
        <f>IFERROR(IF(COUNT(Raw_Data!P384:AA384)=0,"",AVERAGE(Raw_Data!P384:AA384)/100),"")</f>
        <v>0.95454545454545459</v>
      </c>
      <c r="F384" s="30">
        <f>IFERROR(IF(COUNT(Raw_Data!AB384:AM384)=0,"",SUM(Raw_Data!AB384:AM384)),"")</f>
        <v>297</v>
      </c>
      <c r="G384" s="30">
        <f>IFERROR(IF(COUNT(Raw_Data!AN384:AY384)=0,"",SUM(Raw_Data!AN384:AY384)),"")</f>
        <v>306</v>
      </c>
      <c r="H384" s="30">
        <f>IFERROR(IF(COUNT(Raw_Data!AZ384:BK384)=0,"",SUM(Raw_Data!AZ384:BK384)),"")</f>
        <v>40</v>
      </c>
      <c r="I384" s="30">
        <f>IFERROR(IF(COUNT(Raw_Data!BL384:BW384)=0,"",SUM(Raw_Data!BL384:BW384)),"")</f>
        <v>25</v>
      </c>
      <c r="J384" s="30">
        <f>IFERROR(IF(COUNT(Raw_Data!BX384:CI384)=0,"",SUM(Raw_Data!BX384:CI384)),"")</f>
        <v>20</v>
      </c>
      <c r="K384" s="28">
        <f t="shared" si="35"/>
        <v>1.0303030303030303</v>
      </c>
      <c r="L384" s="28">
        <f t="shared" si="36"/>
        <v>-3.0303030303030304E-2</v>
      </c>
      <c r="M384" s="28">
        <f t="shared" si="37"/>
        <v>0.625</v>
      </c>
      <c r="N384" s="28">
        <f t="shared" si="38"/>
        <v>0.5</v>
      </c>
      <c r="O384" s="7" t="str">
        <f t="shared" si="39"/>
        <v>Invalid</v>
      </c>
      <c r="P384" s="13" t="str">
        <f t="shared" si="40"/>
        <v>Valid</v>
      </c>
      <c r="Q384" s="7" t="str">
        <f t="shared" si="41"/>
        <v>Invalid</v>
      </c>
    </row>
    <row r="385" spans="1:17" ht="60">
      <c r="A385" s="7" t="str">
        <f>IF(Raw_Data!A385="","",TRIM(SUBSTITUTE(CLEAN(Raw_Data!A385),CHAR(160)," ")))</f>
        <v>Kuje Local Government Area</v>
      </c>
      <c r="B385" s="7" t="str">
        <f>IF(Raw_Data!B385="","",TRIM(SUBSTITUTE(CLEAN(Raw_Data!B385),CHAR(160)," ")))</f>
        <v>Gaube Ward</v>
      </c>
      <c r="C385" s="7" t="str">
        <f>IF(Raw_Data!C385="","",TRIM(SUBSTITUTE(CLEAN(Raw_Data!C385),CHAR(160)," ")))</f>
        <v>Yanga Primary Health Centre</v>
      </c>
      <c r="D385" s="28">
        <f>IFERROR(IF(COUNT(Raw_Data!D385:O385)=0,"",AVERAGE(Raw_Data!D385:O385)/100),"")</f>
        <v>0.75</v>
      </c>
      <c r="E385" s="28">
        <f>IFERROR(IF(COUNT(Raw_Data!P385:AA385)=0,"",AVERAGE(Raw_Data!P385:AA385)/100),"")</f>
        <v>0.80555555555555558</v>
      </c>
      <c r="F385" s="30">
        <f>IFERROR(IF(COUNT(Raw_Data!AB385:AM385)=0,"",SUM(Raw_Data!AB385:AM385)),"")</f>
        <v>248</v>
      </c>
      <c r="G385" s="30">
        <f>IFERROR(IF(COUNT(Raw_Data!AN385:AY385)=0,"",SUM(Raw_Data!AN385:AY385)),"")</f>
        <v>258</v>
      </c>
      <c r="H385" s="30">
        <f>IFERROR(IF(COUNT(Raw_Data!AZ385:BK385)=0,"",SUM(Raw_Data!AZ385:BK385)),"")</f>
        <v>17</v>
      </c>
      <c r="I385" s="30">
        <f>IFERROR(IF(COUNT(Raw_Data!BL385:BW385)=0,"",SUM(Raw_Data!BL385:BW385)),"")</f>
        <v>4</v>
      </c>
      <c r="J385" s="30">
        <f>IFERROR(IF(COUNT(Raw_Data!BX385:CI385)=0,"",SUM(Raw_Data!BX385:CI385)),"")</f>
        <v>1</v>
      </c>
      <c r="K385" s="28">
        <f t="shared" si="35"/>
        <v>1.0403225806451613</v>
      </c>
      <c r="L385" s="28">
        <f t="shared" si="36"/>
        <v>-4.0322580645161289E-2</v>
      </c>
      <c r="M385" s="28">
        <f t="shared" si="37"/>
        <v>0.23529411764705882</v>
      </c>
      <c r="N385" s="28">
        <f t="shared" si="38"/>
        <v>5.8823529411764705E-2</v>
      </c>
      <c r="O385" s="7" t="str">
        <f t="shared" si="39"/>
        <v>Invalid</v>
      </c>
      <c r="P385" s="13" t="str">
        <f t="shared" si="40"/>
        <v>Valid</v>
      </c>
      <c r="Q385" s="7" t="str">
        <f t="shared" si="41"/>
        <v>Invalid</v>
      </c>
    </row>
    <row r="386" spans="1:17" ht="60">
      <c r="A386" s="7" t="str">
        <f>IF(Raw_Data!A386="","",TRIM(SUBSTITUTE(CLEAN(Raw_Data!A386),CHAR(160)," ")))</f>
        <v>Kwali Local Government Area</v>
      </c>
      <c r="B386" s="7" t="str">
        <f>IF(Raw_Data!B386="","",TRIM(SUBSTITUTE(CLEAN(Raw_Data!B386),CHAR(160)," ")))</f>
        <v>Yangoji Ward</v>
      </c>
      <c r="C386" s="7" t="str">
        <f>IF(Raw_Data!C386="","",TRIM(SUBSTITUTE(CLEAN(Raw_Data!C386),CHAR(160)," ")))</f>
        <v>Yangoji FSP Clinic</v>
      </c>
      <c r="D386" s="28">
        <f>IFERROR(IF(COUNT(Raw_Data!D386:O386)=0,"",AVERAGE(Raw_Data!D386:O386)/100),"")</f>
        <v>0.97499999999999998</v>
      </c>
      <c r="E386" s="28">
        <f>IFERROR(IF(COUNT(Raw_Data!P386:AA386)=0,"",AVERAGE(Raw_Data!P386:AA386)/100),"")</f>
        <v>0.875</v>
      </c>
      <c r="F386" s="30">
        <f>IFERROR(IF(COUNT(Raw_Data!AB386:AM386)=0,"",SUM(Raw_Data!AB386:AM386)),"")</f>
        <v>693</v>
      </c>
      <c r="G386" s="30">
        <f>IFERROR(IF(COUNT(Raw_Data!AN386:AY386)=0,"",SUM(Raw_Data!AN386:AY386)),"")</f>
        <v>1179</v>
      </c>
      <c r="H386" s="30">
        <f>IFERROR(IF(COUNT(Raw_Data!AZ386:BK386)=0,"",SUM(Raw_Data!AZ386:BK386)),"")</f>
        <v>148</v>
      </c>
      <c r="I386" s="30">
        <f>IFERROR(IF(COUNT(Raw_Data!BL386:BW386)=0,"",SUM(Raw_Data!BL386:BW386)),"")</f>
        <v>38</v>
      </c>
      <c r="J386" s="30">
        <f>IFERROR(IF(COUNT(Raw_Data!BX386:CI386)=0,"",SUM(Raw_Data!BX386:CI386)),"")</f>
        <v>18</v>
      </c>
      <c r="K386" s="28">
        <f t="shared" si="35"/>
        <v>1.7012987012987013</v>
      </c>
      <c r="L386" s="28">
        <f t="shared" si="36"/>
        <v>-0.70129870129870131</v>
      </c>
      <c r="M386" s="28">
        <f t="shared" si="37"/>
        <v>0.25675675675675674</v>
      </c>
      <c r="N386" s="28">
        <f t="shared" si="38"/>
        <v>0.12162162162162163</v>
      </c>
      <c r="O386" s="7" t="str">
        <f t="shared" si="39"/>
        <v>Invalid</v>
      </c>
      <c r="P386" s="13" t="str">
        <f t="shared" si="40"/>
        <v>Valid</v>
      </c>
      <c r="Q386" s="7" t="str">
        <f t="shared" si="41"/>
        <v>Invalid</v>
      </c>
    </row>
    <row r="387" spans="1:17" ht="60">
      <c r="A387" s="7" t="str">
        <f>IF(Raw_Data!A387="","",TRIM(SUBSTITUTE(CLEAN(Raw_Data!A387),CHAR(160)," ")))</f>
        <v>Bwari Local Government Area</v>
      </c>
      <c r="B387" s="7" t="str">
        <f>IF(Raw_Data!B387="","",TRIM(SUBSTITUTE(CLEAN(Raw_Data!B387),CHAR(160)," ")))</f>
        <v>Bwari Central Ward</v>
      </c>
      <c r="C387" s="7" t="str">
        <f>IF(Raw_Data!C387="","",TRIM(SUBSTITUTE(CLEAN(Raw_Data!C387),CHAR(160)," ")))</f>
        <v>Yaupe Primary Health Clinic</v>
      </c>
      <c r="D387" s="28">
        <f>IFERROR(IF(COUNT(Raw_Data!D387:O387)=0,"",AVERAGE(Raw_Data!D387:O387)/100),"")</f>
        <v>0.95454545454545459</v>
      </c>
      <c r="E387" s="28" t="str">
        <f>IFERROR(IF(COUNT(Raw_Data!P387:AA387)=0,"",AVERAGE(Raw_Data!P387:AA387)/100),"")</f>
        <v/>
      </c>
      <c r="F387" s="30">
        <f>IFERROR(IF(COUNT(Raw_Data!AB387:AM387)=0,"",SUM(Raw_Data!AB387:AM387)),"")</f>
        <v>51</v>
      </c>
      <c r="G387" s="30">
        <f>IFERROR(IF(COUNT(Raw_Data!AN387:AY387)=0,"",SUM(Raw_Data!AN387:AY387)),"")</f>
        <v>97</v>
      </c>
      <c r="H387" s="30">
        <f>IFERROR(IF(COUNT(Raw_Data!AZ387:BK387)=0,"",SUM(Raw_Data!AZ387:BK387)),"")</f>
        <v>31</v>
      </c>
      <c r="I387" s="30">
        <f>IFERROR(IF(COUNT(Raw_Data!BL387:BW387)=0,"",SUM(Raw_Data!BL387:BW387)),"")</f>
        <v>13</v>
      </c>
      <c r="J387" s="30" t="str">
        <f>IFERROR(IF(COUNT(Raw_Data!BX387:CI387)=0,"",SUM(Raw_Data!BX387:CI387)),"")</f>
        <v/>
      </c>
      <c r="K387" s="28">
        <f t="shared" ref="K387:K398" si="42">IFERROR(IF(OR(F387="",G387="",F387&lt;=0),"",G387/F387),"")</f>
        <v>1.9019607843137254</v>
      </c>
      <c r="L387" s="28">
        <f t="shared" ref="L387:L398" si="43">IFERROR(IF(OR(F387="",G387="",F387&lt;=0),"",(F387-G387)/F387),"")</f>
        <v>-0.90196078431372551</v>
      </c>
      <c r="M387" s="28">
        <f t="shared" ref="M387:M398" si="44">IFERROR(IF(OR(H387="",I387="",H387&lt;=0),"",I387/H387),"")</f>
        <v>0.41935483870967744</v>
      </c>
      <c r="N387" s="28" t="str">
        <f t="shared" ref="N387:N398" si="45">IFERROR(IF(OR(H387="",J387="",H387&lt;=0),"",J387/H387),"")</f>
        <v/>
      </c>
      <c r="O387" s="7" t="str">
        <f t="shared" ref="O387:O398" si="46">IFERROR(IF(AND(F387="",G387=""),"No Data",IF(OR(F387="",G387="",F387&lt;=0),"Incomplete",IF(OR(G387&gt;F387,K387&lt;0,K387&gt;1,L387&lt;0,L387&gt;1),"Invalid","Valid"))),"Invalid")</f>
        <v>Invalid</v>
      </c>
      <c r="P387" s="13" t="str">
        <f t="shared" ref="P387:P398" si="47">IFERROR(IF(AND(H387="",I387="",J387=""),"No Data",IF(OR(H387="",I387="",J387="",H387&lt;=0),"Incomplete",IF(OR(I387&gt;H387,J387&gt;H387,J387&gt;I387,M387&lt;0,M387&gt;1,N387&lt;0,N387&gt;1),"Invalid","Valid"))),"Invalid")</f>
        <v>Incomplete</v>
      </c>
      <c r="Q387" s="7" t="str">
        <f t="shared" ref="Q387:Q398" si="48">IF(OR(O387="No Data",P387="No Data"),"No Data",IF(OR(O387="Incomplete",P387="Incomplete"),"Incomplete",IF(OR(O387="Invalid",P387="Invalid"),"Invalid","Valid")))</f>
        <v>Incomplete</v>
      </c>
    </row>
    <row r="388" spans="1:17" ht="60">
      <c r="A388" s="7" t="str">
        <f>IF(Raw_Data!A388="","",TRIM(SUBSTITUTE(CLEAN(Raw_Data!A388),CHAR(160)," ")))</f>
        <v>Kwali Local Government Area</v>
      </c>
      <c r="B388" s="7" t="str">
        <f>IF(Raw_Data!B388="","",TRIM(SUBSTITUTE(CLEAN(Raw_Data!B388),CHAR(160)," ")))</f>
        <v>Yebu Ward</v>
      </c>
      <c r="C388" s="7" t="str">
        <f>IF(Raw_Data!C388="","",TRIM(SUBSTITUTE(CLEAN(Raw_Data!C388),CHAR(160)," ")))</f>
        <v>Yebu Primary Health Centre</v>
      </c>
      <c r="D388" s="28">
        <f>IFERROR(IF(COUNT(Raw_Data!D388:O388)=0,"",AVERAGE(Raw_Data!D388:O388)/100),"")</f>
        <v>1.1818181818181819</v>
      </c>
      <c r="E388" s="28">
        <f>IFERROR(IF(COUNT(Raw_Data!P388:AA388)=0,"",AVERAGE(Raw_Data!P388:AA388)/100),"")</f>
        <v>1.26667</v>
      </c>
      <c r="F388" s="30">
        <f>IFERROR(IF(COUNT(Raw_Data!AB388:AM388)=0,"",SUM(Raw_Data!AB388:AM388)),"")</f>
        <v>198</v>
      </c>
      <c r="G388" s="30">
        <f>IFERROR(IF(COUNT(Raw_Data!AN388:AY388)=0,"",SUM(Raw_Data!AN388:AY388)),"")</f>
        <v>195</v>
      </c>
      <c r="H388" s="30">
        <f>IFERROR(IF(COUNT(Raw_Data!AZ388:BK388)=0,"",SUM(Raw_Data!AZ388:BK388)),"")</f>
        <v>254</v>
      </c>
      <c r="I388" s="30">
        <f>IFERROR(IF(COUNT(Raw_Data!BL388:BW388)=0,"",SUM(Raw_Data!BL388:BW388)),"")</f>
        <v>72</v>
      </c>
      <c r="J388" s="30">
        <f>IFERROR(IF(COUNT(Raw_Data!BX388:CI388)=0,"",SUM(Raw_Data!BX388:CI388)),"")</f>
        <v>6</v>
      </c>
      <c r="K388" s="28">
        <f t="shared" si="42"/>
        <v>0.98484848484848486</v>
      </c>
      <c r="L388" s="28">
        <f t="shared" si="43"/>
        <v>1.5151515151515152E-2</v>
      </c>
      <c r="M388" s="28">
        <f t="shared" si="44"/>
        <v>0.28346456692913385</v>
      </c>
      <c r="N388" s="28">
        <f t="shared" si="45"/>
        <v>2.3622047244094488E-2</v>
      </c>
      <c r="O388" s="7" t="str">
        <f t="shared" si="46"/>
        <v>Valid</v>
      </c>
      <c r="P388" s="13" t="str">
        <f t="shared" si="47"/>
        <v>Valid</v>
      </c>
      <c r="Q388" s="7" t="str">
        <f t="shared" si="48"/>
        <v>Valid</v>
      </c>
    </row>
    <row r="389" spans="1:17" ht="60">
      <c r="A389" s="7" t="str">
        <f>IF(Raw_Data!A389="","",TRIM(SUBSTITUTE(CLEAN(Raw_Data!A389),CHAR(160)," ")))</f>
        <v>Kwali Local Government Area</v>
      </c>
      <c r="B389" s="7" t="str">
        <f>IF(Raw_Data!B389="","",TRIM(SUBSTITUTE(CLEAN(Raw_Data!B389),CHAR(160)," ")))</f>
        <v>Wako Ward</v>
      </c>
      <c r="C389" s="7" t="str">
        <f>IF(Raw_Data!C389="","",TRIM(SUBSTITUTE(CLEAN(Raw_Data!C389),CHAR(160)," ")))</f>
        <v>Yewuti Primary Health Clinic</v>
      </c>
      <c r="D389" s="28">
        <f>IFERROR(IF(COUNT(Raw_Data!D389:O389)=0,"",AVERAGE(Raw_Data!D389:O389)/100),"")</f>
        <v>1</v>
      </c>
      <c r="E389" s="28">
        <f>IFERROR(IF(COUNT(Raw_Data!P389:AA389)=0,"",AVERAGE(Raw_Data!P389:AA389)/100),"")</f>
        <v>0.93332999999999999</v>
      </c>
      <c r="F389" s="30">
        <f>IFERROR(IF(COUNT(Raw_Data!AB389:AM389)=0,"",SUM(Raw_Data!AB389:AM389)),"")</f>
        <v>311</v>
      </c>
      <c r="G389" s="30">
        <f>IFERROR(IF(COUNT(Raw_Data!AN389:AY389)=0,"",SUM(Raw_Data!AN389:AY389)),"")</f>
        <v>319</v>
      </c>
      <c r="H389" s="30">
        <f>IFERROR(IF(COUNT(Raw_Data!AZ389:BK389)=0,"",SUM(Raw_Data!AZ389:BK389)),"")</f>
        <v>87</v>
      </c>
      <c r="I389" s="30" t="str">
        <f>IFERROR(IF(COUNT(Raw_Data!BL389:BW389)=0,"",SUM(Raw_Data!BL389:BW389)),"")</f>
        <v/>
      </c>
      <c r="J389" s="30" t="str">
        <f>IFERROR(IF(COUNT(Raw_Data!BX389:CI389)=0,"",SUM(Raw_Data!BX389:CI389)),"")</f>
        <v/>
      </c>
      <c r="K389" s="28">
        <f t="shared" si="42"/>
        <v>1.0257234726688103</v>
      </c>
      <c r="L389" s="28">
        <f t="shared" si="43"/>
        <v>-2.5723472668810289E-2</v>
      </c>
      <c r="M389" s="28" t="str">
        <f t="shared" si="44"/>
        <v/>
      </c>
      <c r="N389" s="28" t="str">
        <f t="shared" si="45"/>
        <v/>
      </c>
      <c r="O389" s="7" t="str">
        <f t="shared" si="46"/>
        <v>Invalid</v>
      </c>
      <c r="P389" s="13" t="str">
        <f t="shared" si="47"/>
        <v>Incomplete</v>
      </c>
      <c r="Q389" s="7" t="str">
        <f t="shared" si="48"/>
        <v>Incomplete</v>
      </c>
    </row>
    <row r="390" spans="1:17" ht="60">
      <c r="A390" s="7" t="str">
        <f>IF(Raw_Data!A390="","",TRIM(SUBSTITUTE(CLEAN(Raw_Data!A390),CHAR(160)," ")))</f>
        <v>Gwagwalada Local Government Area</v>
      </c>
      <c r="B390" s="7" t="str">
        <f>IF(Raw_Data!B390="","",TRIM(SUBSTITUTE(CLEAN(Raw_Data!B390),CHAR(160)," ")))</f>
        <v>Ikwa Ward</v>
      </c>
      <c r="C390" s="7" t="str">
        <f>IF(Raw_Data!C390="","",TRIM(SUBSTITUTE(CLEAN(Raw_Data!C390),CHAR(160)," ")))</f>
        <v>Yimi Primary Health Clinic</v>
      </c>
      <c r="D390" s="28">
        <f>IFERROR(IF(COUNT(Raw_Data!D390:O390)=0,"",AVERAGE(Raw_Data!D390:O390)/100),"")</f>
        <v>0.91666666666666674</v>
      </c>
      <c r="E390" s="28">
        <f>IFERROR(IF(COUNT(Raw_Data!P390:AA390)=0,"",AVERAGE(Raw_Data!P390:AA390)/100),"")</f>
        <v>0.90625</v>
      </c>
      <c r="F390" s="30">
        <f>IFERROR(IF(COUNT(Raw_Data!AB390:AM390)=0,"",SUM(Raw_Data!AB390:AM390)),"")</f>
        <v>508</v>
      </c>
      <c r="G390" s="30">
        <f>IFERROR(IF(COUNT(Raw_Data!AN390:AY390)=0,"",SUM(Raw_Data!AN390:AY390)),"")</f>
        <v>495</v>
      </c>
      <c r="H390" s="30">
        <f>IFERROR(IF(COUNT(Raw_Data!AZ390:BK390)=0,"",SUM(Raw_Data!AZ390:BK390)),"")</f>
        <v>220</v>
      </c>
      <c r="I390" s="30">
        <f>IFERROR(IF(COUNT(Raw_Data!BL390:BW390)=0,"",SUM(Raw_Data!BL390:BW390)),"")</f>
        <v>51</v>
      </c>
      <c r="J390" s="30" t="str">
        <f>IFERROR(IF(COUNT(Raw_Data!BX390:CI390)=0,"",SUM(Raw_Data!BX390:CI390)),"")</f>
        <v/>
      </c>
      <c r="K390" s="28">
        <f t="shared" si="42"/>
        <v>0.97440944881889768</v>
      </c>
      <c r="L390" s="28">
        <f t="shared" si="43"/>
        <v>2.5590551181102362E-2</v>
      </c>
      <c r="M390" s="28">
        <f t="shared" si="44"/>
        <v>0.23181818181818181</v>
      </c>
      <c r="N390" s="28" t="str">
        <f t="shared" si="45"/>
        <v/>
      </c>
      <c r="O390" s="7" t="str">
        <f t="shared" si="46"/>
        <v>Valid</v>
      </c>
      <c r="P390" s="13" t="str">
        <f t="shared" si="47"/>
        <v>Incomplete</v>
      </c>
      <c r="Q390" s="7" t="str">
        <f t="shared" si="48"/>
        <v>Incomplete</v>
      </c>
    </row>
    <row r="391" spans="1:17" ht="60">
      <c r="A391" s="7" t="str">
        <f>IF(Raw_Data!A391="","",TRIM(SUBSTITUTE(CLEAN(Raw_Data!A391),CHAR(160)," ")))</f>
        <v>Kuje Local Government Area</v>
      </c>
      <c r="B391" s="7" t="str">
        <f>IF(Raw_Data!B391="","",TRIM(SUBSTITUTE(CLEAN(Raw_Data!B391),CHAR(160)," ")))</f>
        <v>Gudunkarya Ward</v>
      </c>
      <c r="C391" s="7" t="str">
        <f>IF(Raw_Data!C391="","",TRIM(SUBSTITUTE(CLEAN(Raw_Data!C391),CHAR(160)," ")))</f>
        <v>Zagabutu Primary Health Centre</v>
      </c>
      <c r="D391" s="28">
        <f>IFERROR(IF(COUNT(Raw_Data!D391:O391)=0,"",AVERAGE(Raw_Data!D391:O391)/100),"")</f>
        <v>1</v>
      </c>
      <c r="E391" s="28">
        <f>IFERROR(IF(COUNT(Raw_Data!P391:AA391)=0,"",AVERAGE(Raw_Data!P391:AA391)/100),"")</f>
        <v>1</v>
      </c>
      <c r="F391" s="30">
        <f>IFERROR(IF(COUNT(Raw_Data!AB391:AM391)=0,"",SUM(Raw_Data!AB391:AM391)),"")</f>
        <v>249</v>
      </c>
      <c r="G391" s="30">
        <f>IFERROR(IF(COUNT(Raw_Data!AN391:AY391)=0,"",SUM(Raw_Data!AN391:AY391)),"")</f>
        <v>277</v>
      </c>
      <c r="H391" s="30">
        <f>IFERROR(IF(COUNT(Raw_Data!AZ391:BK391)=0,"",SUM(Raw_Data!AZ391:BK391)),"")</f>
        <v>48</v>
      </c>
      <c r="I391" s="30">
        <f>IFERROR(IF(COUNT(Raw_Data!BL391:BW391)=0,"",SUM(Raw_Data!BL391:BW391)),"")</f>
        <v>37</v>
      </c>
      <c r="J391" s="30">
        <f>IFERROR(IF(COUNT(Raw_Data!BX391:CI391)=0,"",SUM(Raw_Data!BX391:CI391)),"")</f>
        <v>7</v>
      </c>
      <c r="K391" s="28">
        <f t="shared" si="42"/>
        <v>1.1124497991967872</v>
      </c>
      <c r="L391" s="28">
        <f t="shared" si="43"/>
        <v>-0.11244979919678715</v>
      </c>
      <c r="M391" s="28">
        <f t="shared" si="44"/>
        <v>0.77083333333333337</v>
      </c>
      <c r="N391" s="28">
        <f t="shared" si="45"/>
        <v>0.14583333333333334</v>
      </c>
      <c r="O391" s="7" t="str">
        <f t="shared" si="46"/>
        <v>Invalid</v>
      </c>
      <c r="P391" s="13" t="str">
        <f t="shared" si="47"/>
        <v>Valid</v>
      </c>
      <c r="Q391" s="7" t="str">
        <f t="shared" si="48"/>
        <v>Invalid</v>
      </c>
    </row>
    <row r="392" spans="1:17" ht="75">
      <c r="A392" s="7" t="str">
        <f>IF(Raw_Data!A392="","",TRIM(SUBSTITUTE(CLEAN(Raw_Data!A392),CHAR(160)," ")))</f>
        <v>Abuja Municipal Area Council</v>
      </c>
      <c r="B392" s="7" t="str">
        <f>IF(Raw_Data!B392="","",TRIM(SUBSTITUTE(CLEAN(Raw_Data!B392),CHAR(160)," ")))</f>
        <v>Gwarimpa Ward</v>
      </c>
      <c r="C392" s="7" t="str">
        <f>IF(Raw_Data!C392="","",TRIM(SUBSTITUTE(CLEAN(Raw_Data!C392),CHAR(160)," ")))</f>
        <v>Zankli Medical Centre (Mabushi)</v>
      </c>
      <c r="D392" s="28" t="str">
        <f>IFERROR(IF(COUNT(Raw_Data!D392:O392)=0,"",AVERAGE(Raw_Data!D392:O392)/100),"")</f>
        <v/>
      </c>
      <c r="E392" s="28" t="str">
        <f>IFERROR(IF(COUNT(Raw_Data!P392:AA392)=0,"",AVERAGE(Raw_Data!P392:AA392)/100),"")</f>
        <v/>
      </c>
      <c r="F392" s="30">
        <f>IFERROR(IF(COUNT(Raw_Data!AB392:AM392)=0,"",SUM(Raw_Data!AB392:AM392)),"")</f>
        <v>266</v>
      </c>
      <c r="G392" s="30">
        <f>IFERROR(IF(COUNT(Raw_Data!AN392:AY392)=0,"",SUM(Raw_Data!AN392:AY392)),"")</f>
        <v>269</v>
      </c>
      <c r="H392" s="30">
        <f>IFERROR(IF(COUNT(Raw_Data!AZ392:BK392)=0,"",SUM(Raw_Data!AZ392:BK392)),"")</f>
        <v>59</v>
      </c>
      <c r="I392" s="30">
        <f>IFERROR(IF(COUNT(Raw_Data!BL392:BW392)=0,"",SUM(Raw_Data!BL392:BW392)),"")</f>
        <v>39</v>
      </c>
      <c r="J392" s="30">
        <f>IFERROR(IF(COUNT(Raw_Data!BX392:CI392)=0,"",SUM(Raw_Data!BX392:CI392)),"")</f>
        <v>34</v>
      </c>
      <c r="K392" s="28">
        <f t="shared" si="42"/>
        <v>1.0112781954887218</v>
      </c>
      <c r="L392" s="28">
        <f t="shared" si="43"/>
        <v>-1.1278195488721804E-2</v>
      </c>
      <c r="M392" s="28">
        <f t="shared" si="44"/>
        <v>0.66101694915254239</v>
      </c>
      <c r="N392" s="28">
        <f t="shared" si="45"/>
        <v>0.57627118644067798</v>
      </c>
      <c r="O392" s="7" t="str">
        <f t="shared" si="46"/>
        <v>Invalid</v>
      </c>
      <c r="P392" s="13" t="str">
        <f t="shared" si="47"/>
        <v>Valid</v>
      </c>
      <c r="Q392" s="7" t="str">
        <f t="shared" si="48"/>
        <v>Invalid</v>
      </c>
    </row>
    <row r="393" spans="1:17" ht="60">
      <c r="A393" s="7" t="str">
        <f>IF(Raw_Data!A393="","",TRIM(SUBSTITUTE(CLEAN(Raw_Data!A393),CHAR(160)," ")))</f>
        <v>Abuja Municipal Area Council</v>
      </c>
      <c r="B393" s="7" t="str">
        <f>IF(Raw_Data!B393="","",TRIM(SUBSTITUTE(CLEAN(Raw_Data!B393),CHAR(160)," ")))</f>
        <v>Kabusa Ward</v>
      </c>
      <c r="C393" s="7" t="str">
        <f>IF(Raw_Data!C393="","",TRIM(SUBSTITUTE(CLEAN(Raw_Data!C393),CHAR(160)," ")))</f>
        <v>Zhidu Primary Health Clinic</v>
      </c>
      <c r="D393" s="28">
        <f>IFERROR(IF(COUNT(Raw_Data!D393:O393)=0,"",AVERAGE(Raw_Data!D393:O393)/100),"")</f>
        <v>0.94444545454545448</v>
      </c>
      <c r="E393" s="28" t="str">
        <f>IFERROR(IF(COUNT(Raw_Data!P393:AA393)=0,"",AVERAGE(Raw_Data!P393:AA393)/100),"")</f>
        <v/>
      </c>
      <c r="F393" s="30">
        <f>IFERROR(IF(COUNT(Raw_Data!AB393:AM393)=0,"",SUM(Raw_Data!AB393:AM393)),"")</f>
        <v>436</v>
      </c>
      <c r="G393" s="30">
        <f>IFERROR(IF(COUNT(Raw_Data!AN393:AY393)=0,"",SUM(Raw_Data!AN393:AY393)),"")</f>
        <v>446</v>
      </c>
      <c r="H393" s="30">
        <f>IFERROR(IF(COUNT(Raw_Data!AZ393:BK393)=0,"",SUM(Raw_Data!AZ393:BK393)),"")</f>
        <v>113</v>
      </c>
      <c r="I393" s="30">
        <f>IFERROR(IF(COUNT(Raw_Data!BL393:BW393)=0,"",SUM(Raw_Data!BL393:BW393)),"")</f>
        <v>78</v>
      </c>
      <c r="J393" s="30">
        <f>IFERROR(IF(COUNT(Raw_Data!BX393:CI393)=0,"",SUM(Raw_Data!BX393:CI393)),"")</f>
        <v>16</v>
      </c>
      <c r="K393" s="28">
        <f t="shared" si="42"/>
        <v>1.0229357798165137</v>
      </c>
      <c r="L393" s="28">
        <f t="shared" si="43"/>
        <v>-2.2935779816513763E-2</v>
      </c>
      <c r="M393" s="28">
        <f t="shared" si="44"/>
        <v>0.69026548672566368</v>
      </c>
      <c r="N393" s="28">
        <f t="shared" si="45"/>
        <v>0.1415929203539823</v>
      </c>
      <c r="O393" s="7" t="str">
        <f t="shared" si="46"/>
        <v>Invalid</v>
      </c>
      <c r="P393" s="13" t="str">
        <f t="shared" si="47"/>
        <v>Valid</v>
      </c>
      <c r="Q393" s="7" t="str">
        <f t="shared" si="48"/>
        <v>Invalid</v>
      </c>
    </row>
    <row r="394" spans="1:17" ht="75">
      <c r="A394" s="7" t="str">
        <f>IF(Raw_Data!A394="","",TRIM(SUBSTITUTE(CLEAN(Raw_Data!A394),CHAR(160)," ")))</f>
        <v>Bwari Local Government Area</v>
      </c>
      <c r="B394" s="7" t="str">
        <f>IF(Raw_Data!B394="","",TRIM(SUBSTITUTE(CLEAN(Raw_Data!B394),CHAR(160)," ")))</f>
        <v>Dutse Ward</v>
      </c>
      <c r="C394" s="7" t="str">
        <f>IF(Raw_Data!C394="","",TRIM(SUBSTITUTE(CLEAN(Raw_Data!C394),CHAR(160)," ")))</f>
        <v>Zhigakuchi Primary Health Clinic</v>
      </c>
      <c r="D394" s="28">
        <f>IFERROR(IF(COUNT(Raw_Data!D394:O394)=0,"",AVERAGE(Raw_Data!D394:O394)/100),"")</f>
        <v>0.90909090909090906</v>
      </c>
      <c r="E394" s="28">
        <f>IFERROR(IF(COUNT(Raw_Data!P394:AA394)=0,"",AVERAGE(Raw_Data!P394:AA394)/100),"")</f>
        <v>0.6</v>
      </c>
      <c r="F394" s="30">
        <f>IFERROR(IF(COUNT(Raw_Data!AB394:AM394)=0,"",SUM(Raw_Data!AB394:AM394)),"")</f>
        <v>86</v>
      </c>
      <c r="G394" s="30">
        <f>IFERROR(IF(COUNT(Raw_Data!AN394:AY394)=0,"",SUM(Raw_Data!AN394:AY394)),"")</f>
        <v>116</v>
      </c>
      <c r="H394" s="30">
        <f>IFERROR(IF(COUNT(Raw_Data!AZ394:BK394)=0,"",SUM(Raw_Data!AZ394:BK394)),"")</f>
        <v>99</v>
      </c>
      <c r="I394" s="30">
        <f>IFERROR(IF(COUNT(Raw_Data!BL394:BW394)=0,"",SUM(Raw_Data!BL394:BW394)),"")</f>
        <v>35</v>
      </c>
      <c r="J394" s="30">
        <f>IFERROR(IF(COUNT(Raw_Data!BX394:CI394)=0,"",SUM(Raw_Data!BX394:CI394)),"")</f>
        <v>7</v>
      </c>
      <c r="K394" s="28">
        <f t="shared" si="42"/>
        <v>1.3488372093023255</v>
      </c>
      <c r="L394" s="28">
        <f t="shared" si="43"/>
        <v>-0.34883720930232559</v>
      </c>
      <c r="M394" s="28">
        <f t="shared" si="44"/>
        <v>0.35353535353535354</v>
      </c>
      <c r="N394" s="28">
        <f t="shared" si="45"/>
        <v>7.0707070707070704E-2</v>
      </c>
      <c r="O394" s="7" t="str">
        <f t="shared" si="46"/>
        <v>Invalid</v>
      </c>
      <c r="P394" s="13" t="str">
        <f t="shared" si="47"/>
        <v>Valid</v>
      </c>
      <c r="Q394" s="7" t="str">
        <f t="shared" si="48"/>
        <v>Invalid</v>
      </c>
    </row>
    <row r="395" spans="1:17" ht="60">
      <c r="A395" s="7" t="str">
        <f>IF(Raw_Data!A395="","",TRIM(SUBSTITUTE(CLEAN(Raw_Data!A395),CHAR(160)," ")))</f>
        <v>Bwari Local Government Area</v>
      </c>
      <c r="B395" s="7" t="str">
        <f>IF(Raw_Data!B395="","",TRIM(SUBSTITUTE(CLEAN(Raw_Data!B395),CHAR(160)," ")))</f>
        <v>Byazhin Ward</v>
      </c>
      <c r="C395" s="7" t="str">
        <f>IF(Raw_Data!C395="","",TRIM(SUBSTITUTE(CLEAN(Raw_Data!C395),CHAR(160)," ")))</f>
        <v>Zhiko Primary Health Clinic</v>
      </c>
      <c r="D395" s="28">
        <f>IFERROR(IF(COUNT(Raw_Data!D395:O395)=0,"",AVERAGE(Raw_Data!D395:O395)/100),"")</f>
        <v>1</v>
      </c>
      <c r="E395" s="28">
        <f>IFERROR(IF(COUNT(Raw_Data!P395:AA395)=0,"",AVERAGE(Raw_Data!P395:AA395)/100),"")</f>
        <v>1</v>
      </c>
      <c r="F395" s="30">
        <f>IFERROR(IF(COUNT(Raw_Data!AB395:AM395)=0,"",SUM(Raw_Data!AB395:AM395)),"")</f>
        <v>95</v>
      </c>
      <c r="G395" s="30">
        <f>IFERROR(IF(COUNT(Raw_Data!AN395:AY395)=0,"",SUM(Raw_Data!AN395:AY395)),"")</f>
        <v>89</v>
      </c>
      <c r="H395" s="30">
        <f>IFERROR(IF(COUNT(Raw_Data!AZ395:BK395)=0,"",SUM(Raw_Data!AZ395:BK395)),"")</f>
        <v>17</v>
      </c>
      <c r="I395" s="30">
        <f>IFERROR(IF(COUNT(Raw_Data!BL395:BW395)=0,"",SUM(Raw_Data!BL395:BW395)),"")</f>
        <v>21</v>
      </c>
      <c r="J395" s="30">
        <f>IFERROR(IF(COUNT(Raw_Data!BX395:CI395)=0,"",SUM(Raw_Data!BX395:CI395)),"")</f>
        <v>6</v>
      </c>
      <c r="K395" s="28">
        <f t="shared" si="42"/>
        <v>0.93684210526315792</v>
      </c>
      <c r="L395" s="28">
        <f t="shared" si="43"/>
        <v>6.3157894736842107E-2</v>
      </c>
      <c r="M395" s="28">
        <f t="shared" si="44"/>
        <v>1.2352941176470589</v>
      </c>
      <c r="N395" s="28">
        <f t="shared" si="45"/>
        <v>0.35294117647058826</v>
      </c>
      <c r="O395" s="7" t="str">
        <f t="shared" si="46"/>
        <v>Valid</v>
      </c>
      <c r="P395" s="13" t="str">
        <f t="shared" si="47"/>
        <v>Invalid</v>
      </c>
      <c r="Q395" s="7" t="str">
        <f t="shared" si="48"/>
        <v>Invalid</v>
      </c>
    </row>
    <row r="396" spans="1:17" ht="60">
      <c r="A396" s="7" t="str">
        <f>IF(Raw_Data!A396="","",TRIM(SUBSTITUTE(CLEAN(Raw_Data!A396),CHAR(160)," ")))</f>
        <v>Kuje Local Government Area</v>
      </c>
      <c r="B396" s="7" t="str">
        <f>IF(Raw_Data!B396="","",TRIM(SUBSTITUTE(CLEAN(Raw_Data!B396),CHAR(160)," ")))</f>
        <v>Rubochi Ward</v>
      </c>
      <c r="C396" s="7" t="str">
        <f>IF(Raw_Data!C396="","",TRIM(SUBSTITUTE(CLEAN(Raw_Data!C396),CHAR(160)," ")))</f>
        <v>Zokotu Primary Health Centre</v>
      </c>
      <c r="D396" s="28">
        <f>IFERROR(IF(COUNT(Raw_Data!D396:O396)=0,"",AVERAGE(Raw_Data!D396:O396)/100),"")</f>
        <v>1</v>
      </c>
      <c r="E396" s="28">
        <f>IFERROR(IF(COUNT(Raw_Data!P396:AA396)=0,"",AVERAGE(Raw_Data!P396:AA396)/100),"")</f>
        <v>1</v>
      </c>
      <c r="F396" s="30">
        <f>IFERROR(IF(COUNT(Raw_Data!AB396:AM396)=0,"",SUM(Raw_Data!AB396:AM396)),"")</f>
        <v>322</v>
      </c>
      <c r="G396" s="30">
        <f>IFERROR(IF(COUNT(Raw_Data!AN396:AY396)=0,"",SUM(Raw_Data!AN396:AY396)),"")</f>
        <v>380</v>
      </c>
      <c r="H396" s="30">
        <f>IFERROR(IF(COUNT(Raw_Data!AZ396:BK396)=0,"",SUM(Raw_Data!AZ396:BK396)),"")</f>
        <v>74</v>
      </c>
      <c r="I396" s="30">
        <f>IFERROR(IF(COUNT(Raw_Data!BL396:BW396)=0,"",SUM(Raw_Data!BL396:BW396)),"")</f>
        <v>8</v>
      </c>
      <c r="J396" s="30">
        <f>IFERROR(IF(COUNT(Raw_Data!BX396:CI396)=0,"",SUM(Raw_Data!BX396:CI396)),"")</f>
        <v>3</v>
      </c>
      <c r="K396" s="28">
        <f t="shared" si="42"/>
        <v>1.1801242236024845</v>
      </c>
      <c r="L396" s="28">
        <f t="shared" si="43"/>
        <v>-0.18012422360248448</v>
      </c>
      <c r="M396" s="28">
        <f t="shared" si="44"/>
        <v>0.10810810810810811</v>
      </c>
      <c r="N396" s="28">
        <f t="shared" si="45"/>
        <v>4.0540540540540543E-2</v>
      </c>
      <c r="O396" s="7" t="str">
        <f t="shared" si="46"/>
        <v>Invalid</v>
      </c>
      <c r="P396" s="13" t="str">
        <f t="shared" si="47"/>
        <v>Valid</v>
      </c>
      <c r="Q396" s="7" t="str">
        <f t="shared" si="48"/>
        <v>Invalid</v>
      </c>
    </row>
    <row r="397" spans="1:17" ht="60">
      <c r="A397" s="7" t="str">
        <f>IF(Raw_Data!A397="","",TRIM(SUBSTITUTE(CLEAN(Raw_Data!A397),CHAR(160)," ")))</f>
        <v>Gwagwalada Local Government Area</v>
      </c>
      <c r="B397" s="7" t="str">
        <f>IF(Raw_Data!B397="","",TRIM(SUBSTITUTE(CLEAN(Raw_Data!B397),CHAR(160)," ")))</f>
        <v>Zuba Ward</v>
      </c>
      <c r="C397" s="7" t="str">
        <f>IF(Raw_Data!C397="","",TRIM(SUBSTITUTE(CLEAN(Raw_Data!C397),CHAR(160)," ")))</f>
        <v>Zuba General Hospital</v>
      </c>
      <c r="D397" s="28">
        <f>IFERROR(IF(COUNT(Raw_Data!D397:O397)=0,"",AVERAGE(Raw_Data!D397:O397)/100),"")</f>
        <v>0.79166666666666674</v>
      </c>
      <c r="E397" s="28" t="str">
        <f>IFERROR(IF(COUNT(Raw_Data!P397:AA397)=0,"",AVERAGE(Raw_Data!P397:AA397)/100),"")</f>
        <v/>
      </c>
      <c r="F397" s="30">
        <f>IFERROR(IF(COUNT(Raw_Data!AB397:AM397)=0,"",SUM(Raw_Data!AB397:AM397)),"")</f>
        <v>75</v>
      </c>
      <c r="G397" s="30">
        <f>IFERROR(IF(COUNT(Raw_Data!AN397:AY397)=0,"",SUM(Raw_Data!AN397:AY397)),"")</f>
        <v>97</v>
      </c>
      <c r="H397" s="30">
        <f>IFERROR(IF(COUNT(Raw_Data!AZ397:BK397)=0,"",SUM(Raw_Data!AZ397:BK397)),"")</f>
        <v>204</v>
      </c>
      <c r="I397" s="30">
        <f>IFERROR(IF(COUNT(Raw_Data!BL397:BW397)=0,"",SUM(Raw_Data!BL397:BW397)),"")</f>
        <v>183</v>
      </c>
      <c r="J397" s="30">
        <f>IFERROR(IF(COUNT(Raw_Data!BX397:CI397)=0,"",SUM(Raw_Data!BX397:CI397)),"")</f>
        <v>72</v>
      </c>
      <c r="K397" s="28">
        <f t="shared" si="42"/>
        <v>1.2933333333333332</v>
      </c>
      <c r="L397" s="28">
        <f t="shared" si="43"/>
        <v>-0.29333333333333333</v>
      </c>
      <c r="M397" s="28">
        <f t="shared" si="44"/>
        <v>0.8970588235294118</v>
      </c>
      <c r="N397" s="28">
        <f t="shared" si="45"/>
        <v>0.35294117647058826</v>
      </c>
      <c r="O397" s="7" t="str">
        <f t="shared" si="46"/>
        <v>Invalid</v>
      </c>
      <c r="P397" s="13" t="str">
        <f t="shared" si="47"/>
        <v>Valid</v>
      </c>
      <c r="Q397" s="7" t="str">
        <f t="shared" si="48"/>
        <v>Invalid</v>
      </c>
    </row>
    <row r="398" spans="1:17" ht="60">
      <c r="A398" s="7" t="str">
        <f>IF(Raw_Data!A398="","",TRIM(SUBSTITUTE(CLEAN(Raw_Data!A398),CHAR(160)," ")))</f>
        <v>Gwagwalada Local Government Area</v>
      </c>
      <c r="B398" s="7" t="str">
        <f>IF(Raw_Data!B398="","",TRIM(SUBSTITUTE(CLEAN(Raw_Data!B398),CHAR(160)," ")))</f>
        <v>Zuba Ward</v>
      </c>
      <c r="C398" s="7" t="str">
        <f>IF(Raw_Data!C398="","",TRIM(SUBSTITUTE(CLEAN(Raw_Data!C398),CHAR(160)," ")))</f>
        <v>Zuba Primary Health Center</v>
      </c>
      <c r="D398" s="28">
        <f>IFERROR(IF(COUNT(Raw_Data!D398:O398)=0,"",AVERAGE(Raw_Data!D398:O398)/100),"")</f>
        <v>0.84861249999999999</v>
      </c>
      <c r="E398" s="28">
        <f>IFERROR(IF(COUNT(Raw_Data!P398:AA398)=0,"",AVERAGE(Raw_Data!P398:AA398)/100),"")</f>
        <v>1.0041624999999998</v>
      </c>
      <c r="F398" s="30">
        <f>IFERROR(IF(COUNT(Raw_Data!AB398:AM398)=0,"",SUM(Raw_Data!AB398:AM398)),"")</f>
        <v>1672</v>
      </c>
      <c r="G398" s="30">
        <f>IFERROR(IF(COUNT(Raw_Data!AN398:AY398)=0,"",SUM(Raw_Data!AN398:AY398)),"")</f>
        <v>2379</v>
      </c>
      <c r="H398" s="30">
        <f>IFERROR(IF(COUNT(Raw_Data!AZ398:BK398)=0,"",SUM(Raw_Data!AZ398:BK398)),"")</f>
        <v>523</v>
      </c>
      <c r="I398" s="30">
        <f>IFERROR(IF(COUNT(Raw_Data!BL398:BW398)=0,"",SUM(Raw_Data!BL398:BW398)),"")</f>
        <v>174</v>
      </c>
      <c r="J398" s="30">
        <f>IFERROR(IF(COUNT(Raw_Data!BX398:CI398)=0,"",SUM(Raw_Data!BX398:CI398)),"")</f>
        <v>21</v>
      </c>
      <c r="K398" s="28">
        <f t="shared" si="42"/>
        <v>1.4228468899521531</v>
      </c>
      <c r="L398" s="28">
        <f t="shared" si="43"/>
        <v>-0.42284688995215314</v>
      </c>
      <c r="M398" s="28">
        <f t="shared" si="44"/>
        <v>0.33269598470363287</v>
      </c>
      <c r="N398" s="28">
        <f t="shared" si="45"/>
        <v>4.0152963671128104E-2</v>
      </c>
      <c r="O398" s="7" t="str">
        <f t="shared" si="46"/>
        <v>Invalid</v>
      </c>
      <c r="P398" s="13" t="str">
        <f t="shared" si="47"/>
        <v>Valid</v>
      </c>
      <c r="Q398" s="7" t="str">
        <f t="shared" si="48"/>
        <v>Invalid</v>
      </c>
    </row>
    <row r="399" spans="1:17">
      <c r="O399" s="7"/>
    </row>
    <row r="400" spans="1:17">
      <c r="O400" s="7"/>
    </row>
    <row r="401" spans="15:15">
      <c r="O401" s="7"/>
    </row>
    <row r="402" spans="15:15">
      <c r="O402" s="7"/>
    </row>
    <row r="403" spans="15:15">
      <c r="O403" s="7"/>
    </row>
    <row r="404" spans="15:15">
      <c r="O404" s="7"/>
    </row>
    <row r="405" spans="15:15">
      <c r="O405" s="7"/>
    </row>
    <row r="406" spans="15:15">
      <c r="O406" s="7"/>
    </row>
    <row r="407" spans="15:15">
      <c r="O407" s="7"/>
    </row>
    <row r="408" spans="15:15">
      <c r="O408" s="7"/>
    </row>
    <row r="409" spans="15:15">
      <c r="O409" s="7"/>
    </row>
    <row r="410" spans="15:15">
      <c r="O410" s="7"/>
    </row>
    <row r="411" spans="15:15">
      <c r="O411" s="7"/>
    </row>
    <row r="412" spans="15:15">
      <c r="O412" s="7"/>
    </row>
    <row r="413" spans="15:15">
      <c r="O413" s="7"/>
    </row>
    <row r="414" spans="15:15">
      <c r="O414" s="7"/>
    </row>
    <row r="415" spans="15:15">
      <c r="O415" s="7"/>
    </row>
    <row r="416" spans="15:15">
      <c r="O416" s="7"/>
    </row>
    <row r="417" spans="15:15">
      <c r="O417" s="7"/>
    </row>
    <row r="418" spans="15:15">
      <c r="O418" s="7"/>
    </row>
    <row r="419" spans="15:15">
      <c r="O419" s="7"/>
    </row>
    <row r="420" spans="15:15">
      <c r="O420" s="7"/>
    </row>
    <row r="421" spans="15:15">
      <c r="O421" s="7"/>
    </row>
    <row r="422" spans="15:15">
      <c r="O422" s="7"/>
    </row>
    <row r="423" spans="15:15">
      <c r="O423" s="7"/>
    </row>
    <row r="424" spans="15:15">
      <c r="O424" s="7"/>
    </row>
    <row r="425" spans="15:15">
      <c r="O425" s="7"/>
    </row>
    <row r="426" spans="15:15">
      <c r="O426" s="7"/>
    </row>
    <row r="427" spans="15:15">
      <c r="O427" s="7"/>
    </row>
    <row r="428" spans="15:15">
      <c r="O428" s="7"/>
    </row>
    <row r="429" spans="15:15">
      <c r="O429" s="7"/>
    </row>
    <row r="430" spans="15:15">
      <c r="O430" s="7"/>
    </row>
    <row r="431" spans="15:15">
      <c r="O431" s="7"/>
    </row>
    <row r="432" spans="15:15">
      <c r="O432" s="7"/>
    </row>
    <row r="433" spans="15:15">
      <c r="O433" s="7"/>
    </row>
    <row r="434" spans="15:15">
      <c r="O434" s="7"/>
    </row>
    <row r="435" spans="15:15">
      <c r="O435" s="7"/>
    </row>
    <row r="436" spans="15:15">
      <c r="O436" s="7"/>
    </row>
    <row r="437" spans="15:15">
      <c r="O437" s="7"/>
    </row>
    <row r="438" spans="15:15">
      <c r="O438" s="7"/>
    </row>
    <row r="439" spans="15:15">
      <c r="O439" s="7"/>
    </row>
    <row r="440" spans="15:15">
      <c r="O440" s="7"/>
    </row>
    <row r="441" spans="15:15">
      <c r="O441" s="7"/>
    </row>
    <row r="442" spans="15:15">
      <c r="O442" s="7"/>
    </row>
    <row r="443" spans="15:15">
      <c r="O443" s="7"/>
    </row>
    <row r="444" spans="15:15">
      <c r="O444" s="7"/>
    </row>
    <row r="445" spans="15:15">
      <c r="O445" s="7"/>
    </row>
    <row r="446" spans="15:15">
      <c r="O446" s="7"/>
    </row>
    <row r="447" spans="15:15">
      <c r="O447" s="7"/>
    </row>
    <row r="448" spans="15:15">
      <c r="O448" s="7"/>
    </row>
    <row r="449" spans="15:15">
      <c r="O449" s="7"/>
    </row>
    <row r="450" spans="15:15">
      <c r="O450" s="7"/>
    </row>
    <row r="451" spans="15:15">
      <c r="O451" s="7"/>
    </row>
    <row r="452" spans="15:15">
      <c r="O452" s="7"/>
    </row>
    <row r="453" spans="15:15">
      <c r="O453" s="7"/>
    </row>
    <row r="454" spans="15:15">
      <c r="O454" s="7"/>
    </row>
    <row r="455" spans="15:15">
      <c r="O455" s="7"/>
    </row>
    <row r="456" spans="15:15">
      <c r="O456" s="7"/>
    </row>
    <row r="457" spans="15:15">
      <c r="O457" s="7"/>
    </row>
    <row r="458" spans="15:15">
      <c r="O458" s="7"/>
    </row>
    <row r="459" spans="15:15">
      <c r="O459" s="7"/>
    </row>
    <row r="460" spans="15:15">
      <c r="O460" s="7"/>
    </row>
    <row r="461" spans="15:15">
      <c r="O461" s="7"/>
    </row>
    <row r="462" spans="15:15">
      <c r="O462" s="7"/>
    </row>
    <row r="463" spans="15:15">
      <c r="O463" s="7"/>
    </row>
    <row r="464" spans="15:15">
      <c r="O464" s="7"/>
    </row>
    <row r="465" spans="15:15">
      <c r="O465" s="7"/>
    </row>
    <row r="466" spans="15:15">
      <c r="O466" s="7"/>
    </row>
    <row r="467" spans="15:15">
      <c r="O467" s="7"/>
    </row>
    <row r="468" spans="15:15">
      <c r="O468" s="7"/>
    </row>
    <row r="469" spans="15:15">
      <c r="O469" s="7"/>
    </row>
    <row r="470" spans="15:15">
      <c r="O470" s="7"/>
    </row>
    <row r="471" spans="15:15">
      <c r="O471" s="7"/>
    </row>
    <row r="472" spans="15:15">
      <c r="O472" s="7"/>
    </row>
    <row r="473" spans="15:15">
      <c r="O473" s="7"/>
    </row>
    <row r="474" spans="15:15">
      <c r="O474" s="7"/>
    </row>
    <row r="475" spans="15:15">
      <c r="O475" s="7"/>
    </row>
    <row r="476" spans="15:15">
      <c r="O476" s="7"/>
    </row>
    <row r="477" spans="15:15">
      <c r="O477" s="7"/>
    </row>
    <row r="478" spans="15:15">
      <c r="O478" s="7"/>
    </row>
    <row r="479" spans="15:15">
      <c r="O479" s="7"/>
    </row>
    <row r="480" spans="15:15">
      <c r="O480" s="7"/>
    </row>
    <row r="481" spans="15:15">
      <c r="O481" s="7"/>
    </row>
    <row r="482" spans="15:15">
      <c r="O482" s="7"/>
    </row>
    <row r="483" spans="15:15">
      <c r="O483" s="7"/>
    </row>
    <row r="484" spans="15:15">
      <c r="O484" s="7"/>
    </row>
    <row r="485" spans="15:15">
      <c r="O485" s="7"/>
    </row>
    <row r="486" spans="15:15">
      <c r="O486" s="7"/>
    </row>
    <row r="487" spans="15:15">
      <c r="O487" s="7"/>
    </row>
    <row r="488" spans="15:15">
      <c r="O488" s="7"/>
    </row>
    <row r="489" spans="15:15">
      <c r="O489" s="7"/>
    </row>
    <row r="490" spans="15:15">
      <c r="O490" s="7"/>
    </row>
    <row r="491" spans="15:15">
      <c r="O491" s="7"/>
    </row>
    <row r="492" spans="15:15">
      <c r="O492" s="7"/>
    </row>
    <row r="493" spans="15:15">
      <c r="O493" s="7"/>
    </row>
    <row r="494" spans="15:15">
      <c r="O494" s="7"/>
    </row>
    <row r="495" spans="15:15">
      <c r="O495" s="7"/>
    </row>
    <row r="496" spans="15:15">
      <c r="O496" s="7"/>
    </row>
    <row r="497" spans="15:15">
      <c r="O497" s="7"/>
    </row>
    <row r="498" spans="15:15">
      <c r="O498" s="7"/>
    </row>
    <row r="499" spans="15:15">
      <c r="O499" s="7"/>
    </row>
    <row r="500" spans="15:15">
      <c r="O500" s="7"/>
    </row>
    <row r="501" spans="15:15">
      <c r="O501" s="7"/>
    </row>
    <row r="502" spans="15:15">
      <c r="O502" s="7"/>
    </row>
    <row r="503" spans="15:15">
      <c r="O503" s="7"/>
    </row>
    <row r="504" spans="15:15">
      <c r="O504" s="7"/>
    </row>
    <row r="505" spans="15:15">
      <c r="O505" s="7"/>
    </row>
    <row r="506" spans="15:15">
      <c r="O506" s="7"/>
    </row>
    <row r="507" spans="15:15">
      <c r="O507" s="7"/>
    </row>
    <row r="508" spans="15:15">
      <c r="O508" s="7"/>
    </row>
    <row r="509" spans="15:15">
      <c r="O509" s="7"/>
    </row>
    <row r="510" spans="15:15">
      <c r="O510" s="7"/>
    </row>
    <row r="511" spans="15:15">
      <c r="O511" s="7"/>
    </row>
    <row r="512" spans="15:15">
      <c r="O512" s="7"/>
    </row>
    <row r="513" spans="15:15">
      <c r="O513" s="7"/>
    </row>
    <row r="514" spans="15:15">
      <c r="O514" s="7"/>
    </row>
    <row r="515" spans="15:15">
      <c r="O515" s="7"/>
    </row>
    <row r="516" spans="15:15">
      <c r="O516" s="7"/>
    </row>
    <row r="517" spans="15:15">
      <c r="O517" s="7"/>
    </row>
    <row r="518" spans="15:15">
      <c r="O518" s="7"/>
    </row>
    <row r="519" spans="15:15">
      <c r="O519" s="7"/>
    </row>
    <row r="520" spans="15:15">
      <c r="O520" s="7"/>
    </row>
    <row r="521" spans="15:15">
      <c r="O521" s="7"/>
    </row>
    <row r="522" spans="15:15">
      <c r="O522" s="7"/>
    </row>
    <row r="523" spans="15:15">
      <c r="O523" s="7"/>
    </row>
    <row r="524" spans="15:15">
      <c r="O524" s="7"/>
    </row>
    <row r="525" spans="15:15">
      <c r="O525" s="7"/>
    </row>
    <row r="526" spans="15:15">
      <c r="O526" s="7"/>
    </row>
    <row r="527" spans="15:15">
      <c r="O527" s="7"/>
    </row>
    <row r="528" spans="15:15">
      <c r="O528" s="7"/>
    </row>
    <row r="529" spans="15:15">
      <c r="O529" s="7"/>
    </row>
    <row r="530" spans="15:15">
      <c r="O530" s="7"/>
    </row>
    <row r="531" spans="15:15">
      <c r="O531" s="7"/>
    </row>
    <row r="532" spans="15:15">
      <c r="O532" s="7"/>
    </row>
    <row r="533" spans="15:15">
      <c r="O533" s="7"/>
    </row>
    <row r="534" spans="15:15">
      <c r="O534" s="7"/>
    </row>
    <row r="535" spans="15:15">
      <c r="O535" s="7"/>
    </row>
    <row r="536" spans="15:15">
      <c r="O536" s="7"/>
    </row>
    <row r="537" spans="15:15">
      <c r="O537" s="7"/>
    </row>
    <row r="538" spans="15:15">
      <c r="O538" s="7"/>
    </row>
    <row r="539" spans="15:15">
      <c r="O539" s="7"/>
    </row>
    <row r="540" spans="15:15">
      <c r="O540" s="7"/>
    </row>
    <row r="541" spans="15:15">
      <c r="O541" s="7"/>
    </row>
    <row r="542" spans="15:15">
      <c r="O542" s="7"/>
    </row>
    <row r="543" spans="15:15">
      <c r="O543" s="7"/>
    </row>
    <row r="544" spans="15:15">
      <c r="O544" s="7"/>
    </row>
    <row r="545" spans="15:15">
      <c r="O545" s="7"/>
    </row>
    <row r="546" spans="15:15">
      <c r="O546" s="7"/>
    </row>
    <row r="547" spans="15:15">
      <c r="O547" s="7"/>
    </row>
    <row r="548" spans="15:15">
      <c r="O548" s="7"/>
    </row>
    <row r="549" spans="15:15">
      <c r="O549" s="7"/>
    </row>
    <row r="550" spans="15:15">
      <c r="O550" s="7"/>
    </row>
    <row r="551" spans="15:15">
      <c r="O551" s="7"/>
    </row>
    <row r="552" spans="15:15">
      <c r="O552" s="7"/>
    </row>
    <row r="553" spans="15:15">
      <c r="O553" s="7"/>
    </row>
    <row r="554" spans="15:15">
      <c r="O554" s="7"/>
    </row>
    <row r="555" spans="15:15">
      <c r="O555" s="7"/>
    </row>
    <row r="556" spans="15:15">
      <c r="O556" s="7"/>
    </row>
    <row r="557" spans="15:15">
      <c r="O557" s="7"/>
    </row>
    <row r="558" spans="15:15">
      <c r="O558" s="7"/>
    </row>
    <row r="559" spans="15:15">
      <c r="O559" s="7"/>
    </row>
    <row r="560" spans="15:15">
      <c r="O560" s="7"/>
    </row>
    <row r="561" spans="15:15">
      <c r="O561" s="7"/>
    </row>
    <row r="562" spans="15:15">
      <c r="O562" s="7"/>
    </row>
    <row r="563" spans="15:15">
      <c r="O563" s="7"/>
    </row>
    <row r="564" spans="15:15">
      <c r="O564" s="7"/>
    </row>
    <row r="565" spans="15:15">
      <c r="O565" s="7"/>
    </row>
    <row r="566" spans="15:15">
      <c r="O566" s="7"/>
    </row>
    <row r="567" spans="15:15">
      <c r="O567" s="7"/>
    </row>
    <row r="568" spans="15:15">
      <c r="O568" s="7"/>
    </row>
    <row r="569" spans="15:15">
      <c r="O569" s="7"/>
    </row>
    <row r="570" spans="15:15">
      <c r="O570" s="7"/>
    </row>
    <row r="571" spans="15:15">
      <c r="O571" s="7"/>
    </row>
    <row r="572" spans="15:15">
      <c r="O572" s="7"/>
    </row>
    <row r="573" spans="15:15">
      <c r="O573" s="7"/>
    </row>
    <row r="574" spans="15:15">
      <c r="O574" s="7"/>
    </row>
    <row r="575" spans="15:15">
      <c r="O575" s="7"/>
    </row>
    <row r="576" spans="15:15">
      <c r="O576" s="7"/>
    </row>
    <row r="577" spans="15:15">
      <c r="O577" s="7"/>
    </row>
    <row r="578" spans="15:15">
      <c r="O578" s="7"/>
    </row>
    <row r="579" spans="15:15">
      <c r="O579" s="7"/>
    </row>
    <row r="580" spans="15:15">
      <c r="O580" s="7"/>
    </row>
    <row r="581" spans="15:15">
      <c r="O581" s="7"/>
    </row>
    <row r="582" spans="15:15">
      <c r="O582" s="7"/>
    </row>
    <row r="583" spans="15:15">
      <c r="O583" s="7"/>
    </row>
    <row r="584" spans="15:15">
      <c r="O584" s="7"/>
    </row>
    <row r="585" spans="15:15">
      <c r="O585" s="7"/>
    </row>
    <row r="586" spans="15:15">
      <c r="O586" s="7"/>
    </row>
    <row r="587" spans="15:15">
      <c r="O587" s="7"/>
    </row>
    <row r="588" spans="15:15">
      <c r="O588" s="7"/>
    </row>
    <row r="589" spans="15:15">
      <c r="O589" s="7"/>
    </row>
    <row r="590" spans="15:15">
      <c r="O590" s="7"/>
    </row>
    <row r="591" spans="15:15">
      <c r="O591" s="7"/>
    </row>
    <row r="592" spans="15:15">
      <c r="O592" s="7"/>
    </row>
    <row r="593" spans="15:15">
      <c r="O593" s="7"/>
    </row>
    <row r="594" spans="15:15">
      <c r="O594" s="7"/>
    </row>
    <row r="595" spans="15:15">
      <c r="O595" s="7"/>
    </row>
    <row r="596" spans="15:15">
      <c r="O596" s="7"/>
    </row>
    <row r="597" spans="15:15">
      <c r="O597" s="7"/>
    </row>
    <row r="598" spans="15:15">
      <c r="O598" s="7"/>
    </row>
    <row r="599" spans="15:15">
      <c r="O599" s="7"/>
    </row>
    <row r="600" spans="15:15">
      <c r="O600" s="7"/>
    </row>
    <row r="601" spans="15:15">
      <c r="O601" s="7"/>
    </row>
    <row r="602" spans="15:15">
      <c r="O602" s="7"/>
    </row>
    <row r="603" spans="15:15">
      <c r="O603" s="7"/>
    </row>
    <row r="604" spans="15:15">
      <c r="O604" s="7"/>
    </row>
    <row r="605" spans="15:15">
      <c r="O605" s="7"/>
    </row>
    <row r="606" spans="15:15">
      <c r="O606" s="7"/>
    </row>
    <row r="607" spans="15:15">
      <c r="O607" s="7"/>
    </row>
    <row r="608" spans="15:15">
      <c r="O608" s="7"/>
    </row>
    <row r="609" spans="15:15">
      <c r="O609" s="7"/>
    </row>
    <row r="610" spans="15:15">
      <c r="O610" s="7"/>
    </row>
    <row r="611" spans="15:15">
      <c r="O611" s="7"/>
    </row>
    <row r="612" spans="15:15">
      <c r="O612" s="7"/>
    </row>
    <row r="613" spans="15:15">
      <c r="O613" s="7"/>
    </row>
    <row r="614" spans="15:15">
      <c r="O614" s="7"/>
    </row>
    <row r="615" spans="15:15">
      <c r="O615" s="7"/>
    </row>
    <row r="616" spans="15:15">
      <c r="O616" s="7"/>
    </row>
    <row r="617" spans="15:15">
      <c r="O617" s="7"/>
    </row>
    <row r="618" spans="15:15">
      <c r="O618" s="7"/>
    </row>
    <row r="619" spans="15:15">
      <c r="O619" s="7"/>
    </row>
    <row r="620" spans="15:15">
      <c r="O620" s="7"/>
    </row>
    <row r="621" spans="15:15">
      <c r="O621" s="7"/>
    </row>
    <row r="622" spans="15:15">
      <c r="O622" s="7"/>
    </row>
    <row r="623" spans="15:15">
      <c r="O623" s="7"/>
    </row>
    <row r="624" spans="15:15">
      <c r="O624" s="7"/>
    </row>
    <row r="625" spans="15:15">
      <c r="O625" s="7"/>
    </row>
    <row r="626" spans="15:15">
      <c r="O626" s="7"/>
    </row>
    <row r="627" spans="15:15">
      <c r="O627" s="7"/>
    </row>
    <row r="628" spans="15:15">
      <c r="O628" s="7"/>
    </row>
    <row r="629" spans="15:15">
      <c r="O629" s="7"/>
    </row>
    <row r="630" spans="15:15">
      <c r="O630" s="7"/>
    </row>
    <row r="631" spans="15:15">
      <c r="O631" s="7"/>
    </row>
    <row r="632" spans="15:15">
      <c r="O632" s="7"/>
    </row>
    <row r="633" spans="15:15">
      <c r="O633" s="7"/>
    </row>
    <row r="634" spans="15:15">
      <c r="O634" s="7"/>
    </row>
    <row r="635" spans="15:15">
      <c r="O635" s="7"/>
    </row>
    <row r="636" spans="15:15">
      <c r="O636" s="7"/>
    </row>
    <row r="637" spans="15:15">
      <c r="O637" s="7"/>
    </row>
    <row r="638" spans="15:15">
      <c r="O638" s="7"/>
    </row>
    <row r="639" spans="15:15">
      <c r="O639" s="7"/>
    </row>
    <row r="640" spans="15:15">
      <c r="O640" s="7"/>
    </row>
    <row r="641" spans="15:15">
      <c r="O641" s="7"/>
    </row>
    <row r="642" spans="15:15">
      <c r="O642" s="7"/>
    </row>
    <row r="643" spans="15:15">
      <c r="O643" s="7"/>
    </row>
    <row r="644" spans="15:15">
      <c r="O644" s="7"/>
    </row>
    <row r="645" spans="15:15">
      <c r="O645" s="7"/>
    </row>
    <row r="646" spans="15:15">
      <c r="O646" s="7"/>
    </row>
    <row r="647" spans="15:15">
      <c r="O647" s="7"/>
    </row>
    <row r="648" spans="15:15">
      <c r="O648" s="7"/>
    </row>
    <row r="649" spans="15:15">
      <c r="O649" s="7"/>
    </row>
    <row r="650" spans="15:15">
      <c r="O650" s="7"/>
    </row>
    <row r="651" spans="15:15">
      <c r="O651" s="7"/>
    </row>
    <row r="652" spans="15:15">
      <c r="O652" s="7"/>
    </row>
    <row r="653" spans="15:15">
      <c r="O653" s="7"/>
    </row>
    <row r="654" spans="15:15">
      <c r="O654" s="7"/>
    </row>
    <row r="655" spans="15:15">
      <c r="O655" s="7"/>
    </row>
    <row r="656" spans="15:15">
      <c r="O656" s="7"/>
    </row>
    <row r="657" spans="15:15">
      <c r="O657" s="7"/>
    </row>
    <row r="658" spans="15:15">
      <c r="O658" s="7"/>
    </row>
    <row r="659" spans="15:15">
      <c r="O659" s="7"/>
    </row>
    <row r="660" spans="15:15">
      <c r="O660" s="7"/>
    </row>
    <row r="661" spans="15:15">
      <c r="O661" s="7"/>
    </row>
    <row r="662" spans="15:15">
      <c r="O662" s="7"/>
    </row>
    <row r="663" spans="15:15">
      <c r="O663" s="7"/>
    </row>
    <row r="664" spans="15:15">
      <c r="O664" s="7"/>
    </row>
    <row r="665" spans="15:15">
      <c r="O665" s="7"/>
    </row>
    <row r="666" spans="15:15">
      <c r="O666" s="7"/>
    </row>
    <row r="667" spans="15:15">
      <c r="O667" s="7"/>
    </row>
    <row r="668" spans="15:15">
      <c r="O668" s="7"/>
    </row>
    <row r="669" spans="15:15">
      <c r="O669" s="7"/>
    </row>
    <row r="670" spans="15:15">
      <c r="O670" s="7"/>
    </row>
    <row r="671" spans="15:15">
      <c r="O671" s="7"/>
    </row>
    <row r="672" spans="15:15">
      <c r="O672" s="7"/>
    </row>
    <row r="673" spans="15:15">
      <c r="O673" s="7"/>
    </row>
    <row r="674" spans="15:15">
      <c r="O674" s="7"/>
    </row>
    <row r="675" spans="15:15">
      <c r="O675" s="7"/>
    </row>
    <row r="676" spans="15:15">
      <c r="O676" s="7"/>
    </row>
    <row r="677" spans="15:15">
      <c r="O677" s="7"/>
    </row>
    <row r="678" spans="15:15">
      <c r="O678" s="7"/>
    </row>
    <row r="679" spans="15:15">
      <c r="O679" s="7"/>
    </row>
    <row r="680" spans="15:15">
      <c r="O680" s="7"/>
    </row>
    <row r="681" spans="15:15">
      <c r="O681" s="7"/>
    </row>
    <row r="682" spans="15:15">
      <c r="O682" s="7"/>
    </row>
    <row r="683" spans="15:15">
      <c r="O683" s="7"/>
    </row>
    <row r="684" spans="15:15">
      <c r="O684" s="7"/>
    </row>
    <row r="685" spans="15:15">
      <c r="O685" s="7"/>
    </row>
    <row r="686" spans="15:15">
      <c r="O686" s="7"/>
    </row>
    <row r="687" spans="15:15">
      <c r="O687" s="7"/>
    </row>
    <row r="688" spans="15:15">
      <c r="O688" s="7"/>
    </row>
    <row r="689" spans="15:15">
      <c r="O689" s="7"/>
    </row>
    <row r="690" spans="15:15">
      <c r="O690" s="7"/>
    </row>
    <row r="691" spans="15:15">
      <c r="O691" s="7"/>
    </row>
    <row r="692" spans="15:15">
      <c r="O692" s="7"/>
    </row>
    <row r="693" spans="15:15">
      <c r="O693" s="7"/>
    </row>
    <row r="694" spans="15:15">
      <c r="O694" s="7"/>
    </row>
    <row r="695" spans="15:15">
      <c r="O695" s="7"/>
    </row>
    <row r="696" spans="15:15">
      <c r="O696" s="7"/>
    </row>
    <row r="697" spans="15:15">
      <c r="O697" s="7"/>
    </row>
    <row r="698" spans="15:15">
      <c r="O698" s="7"/>
    </row>
    <row r="699" spans="15:15">
      <c r="O699" s="7"/>
    </row>
    <row r="700" spans="15:15">
      <c r="O700" s="7"/>
    </row>
    <row r="701" spans="15:15">
      <c r="O701" s="7"/>
    </row>
    <row r="702" spans="15:15">
      <c r="O702" s="7"/>
    </row>
    <row r="703" spans="15:15">
      <c r="O703" s="7"/>
    </row>
    <row r="704" spans="15:15">
      <c r="O704" s="7"/>
    </row>
    <row r="705" spans="15:15">
      <c r="O705" s="7"/>
    </row>
    <row r="706" spans="15:15">
      <c r="O706" s="7"/>
    </row>
    <row r="707" spans="15:15">
      <c r="O707" s="7"/>
    </row>
    <row r="708" spans="15:15">
      <c r="O708" s="7"/>
    </row>
    <row r="709" spans="15:15">
      <c r="O709" s="7"/>
    </row>
    <row r="710" spans="15:15">
      <c r="O710" s="7"/>
    </row>
    <row r="711" spans="15:15">
      <c r="O711" s="7"/>
    </row>
    <row r="712" spans="15:15">
      <c r="O712" s="7"/>
    </row>
    <row r="713" spans="15:15">
      <c r="O713" s="7"/>
    </row>
    <row r="714" spans="15:15">
      <c r="O714" s="7"/>
    </row>
    <row r="715" spans="15:15">
      <c r="O715" s="7"/>
    </row>
    <row r="716" spans="15:15">
      <c r="O716" s="7"/>
    </row>
    <row r="717" spans="15:15">
      <c r="O717" s="7"/>
    </row>
    <row r="718" spans="15:15">
      <c r="O718" s="7"/>
    </row>
    <row r="719" spans="15:15">
      <c r="O719" s="7"/>
    </row>
    <row r="720" spans="15:15">
      <c r="O720" s="7"/>
    </row>
    <row r="721" spans="15:15">
      <c r="O721" s="7"/>
    </row>
    <row r="722" spans="15:15">
      <c r="O722" s="7"/>
    </row>
    <row r="723" spans="15:15">
      <c r="O723" s="7"/>
    </row>
    <row r="724" spans="15:15">
      <c r="O724" s="7"/>
    </row>
    <row r="725" spans="15:15">
      <c r="O725" s="7"/>
    </row>
    <row r="726" spans="15:15">
      <c r="O726" s="7"/>
    </row>
    <row r="727" spans="15:15">
      <c r="O727" s="7"/>
    </row>
    <row r="728" spans="15:15">
      <c r="O728" s="7"/>
    </row>
    <row r="729" spans="15:15">
      <c r="O729" s="7"/>
    </row>
    <row r="730" spans="15:15">
      <c r="O730" s="7"/>
    </row>
    <row r="731" spans="15:15">
      <c r="O731" s="7"/>
    </row>
    <row r="732" spans="15:15">
      <c r="O732" s="7"/>
    </row>
    <row r="733" spans="15:15">
      <c r="O733" s="7"/>
    </row>
    <row r="734" spans="15:15">
      <c r="O734" s="7"/>
    </row>
    <row r="735" spans="15:15">
      <c r="O735" s="7"/>
    </row>
    <row r="736" spans="15:15">
      <c r="O736" s="7"/>
    </row>
    <row r="737" spans="15:15">
      <c r="O737" s="7"/>
    </row>
    <row r="738" spans="15:15">
      <c r="O738" s="7"/>
    </row>
    <row r="739" spans="15:15">
      <c r="O739" s="7"/>
    </row>
    <row r="740" spans="15:15">
      <c r="O740" s="7"/>
    </row>
    <row r="741" spans="15:15">
      <c r="O741" s="7"/>
    </row>
    <row r="742" spans="15:15">
      <c r="O742" s="7"/>
    </row>
    <row r="743" spans="15:15">
      <c r="O743" s="7"/>
    </row>
    <row r="744" spans="15:15">
      <c r="O744" s="7"/>
    </row>
    <row r="745" spans="15:15">
      <c r="O745" s="7"/>
    </row>
    <row r="746" spans="15:15">
      <c r="O746" s="7"/>
    </row>
    <row r="747" spans="15:15">
      <c r="O747" s="7"/>
    </row>
    <row r="748" spans="15:15">
      <c r="O748" s="7"/>
    </row>
    <row r="749" spans="15:15">
      <c r="O749" s="7"/>
    </row>
    <row r="750" spans="15:15">
      <c r="O750" s="7"/>
    </row>
    <row r="751" spans="15:15">
      <c r="O751" s="7"/>
    </row>
    <row r="752" spans="15:15">
      <c r="O752" s="7"/>
    </row>
    <row r="753" spans="15:15">
      <c r="O753" s="7"/>
    </row>
    <row r="754" spans="15:15">
      <c r="O754" s="7"/>
    </row>
    <row r="755" spans="15:15">
      <c r="O755" s="7"/>
    </row>
    <row r="756" spans="15:15">
      <c r="O756" s="7"/>
    </row>
    <row r="757" spans="15:15">
      <c r="O757" s="7"/>
    </row>
    <row r="758" spans="15:15">
      <c r="O758" s="7"/>
    </row>
    <row r="759" spans="15:15">
      <c r="O759" s="7"/>
    </row>
    <row r="760" spans="15:15">
      <c r="O760" s="7"/>
    </row>
    <row r="761" spans="15:15">
      <c r="O761" s="7"/>
    </row>
    <row r="762" spans="15:15">
      <c r="O762" s="7"/>
    </row>
    <row r="763" spans="15:15">
      <c r="O763" s="7"/>
    </row>
    <row r="764" spans="15:15">
      <c r="O764" s="7"/>
    </row>
    <row r="765" spans="15:15">
      <c r="O765" s="7"/>
    </row>
    <row r="766" spans="15:15">
      <c r="O766" s="7"/>
    </row>
    <row r="767" spans="15:15">
      <c r="O767" s="7"/>
    </row>
    <row r="768" spans="15:15">
      <c r="O768" s="7"/>
    </row>
    <row r="769" spans="15:15">
      <c r="O769" s="7"/>
    </row>
    <row r="770" spans="15:15">
      <c r="O770" s="7"/>
    </row>
    <row r="771" spans="15:15">
      <c r="O771" s="7"/>
    </row>
    <row r="772" spans="15:15">
      <c r="O772" s="7"/>
    </row>
    <row r="773" spans="15:15">
      <c r="O773" s="7"/>
    </row>
    <row r="774" spans="15:15">
      <c r="O774" s="7"/>
    </row>
    <row r="775" spans="15:15">
      <c r="O775" s="7"/>
    </row>
    <row r="776" spans="15:15">
      <c r="O776" s="7"/>
    </row>
    <row r="777" spans="15:15">
      <c r="O777" s="7"/>
    </row>
    <row r="778" spans="15:15">
      <c r="O778" s="7"/>
    </row>
    <row r="779" spans="15:15">
      <c r="O779" s="7"/>
    </row>
    <row r="780" spans="15:15">
      <c r="O780" s="7"/>
    </row>
    <row r="781" spans="15:15">
      <c r="O781" s="7"/>
    </row>
    <row r="782" spans="15:15">
      <c r="O782" s="7"/>
    </row>
    <row r="783" spans="15:15">
      <c r="O783" s="7"/>
    </row>
    <row r="784" spans="15:15">
      <c r="O784" s="7"/>
    </row>
    <row r="785" spans="15:15">
      <c r="O785" s="7"/>
    </row>
    <row r="786" spans="15:15">
      <c r="O786" s="7"/>
    </row>
    <row r="787" spans="15:15">
      <c r="O787" s="7"/>
    </row>
    <row r="788" spans="15:15">
      <c r="O788" s="7"/>
    </row>
    <row r="789" spans="15:15">
      <c r="O789" s="7"/>
    </row>
    <row r="790" spans="15:15">
      <c r="O790" s="7"/>
    </row>
    <row r="791" spans="15:15">
      <c r="O791" s="7"/>
    </row>
    <row r="792" spans="15:15">
      <c r="O792" s="7"/>
    </row>
    <row r="793" spans="15:15">
      <c r="O793" s="7"/>
    </row>
    <row r="794" spans="15:15">
      <c r="O794" s="7"/>
    </row>
    <row r="795" spans="15:15">
      <c r="O795" s="7"/>
    </row>
    <row r="796" spans="15:15">
      <c r="O796" s="7"/>
    </row>
    <row r="797" spans="15:15">
      <c r="O797" s="7"/>
    </row>
    <row r="798" spans="15:15">
      <c r="O798" s="7"/>
    </row>
    <row r="799" spans="15:15">
      <c r="O799" s="7"/>
    </row>
    <row r="800" spans="15:15">
      <c r="O800" s="7"/>
    </row>
    <row r="801" spans="15:15">
      <c r="O801" s="7"/>
    </row>
    <row r="802" spans="15:15">
      <c r="O802" s="7"/>
    </row>
    <row r="803" spans="15:15">
      <c r="O803" s="7"/>
    </row>
    <row r="804" spans="15:15">
      <c r="O804" s="7"/>
    </row>
    <row r="805" spans="15:15">
      <c r="O805" s="7"/>
    </row>
    <row r="806" spans="15:15">
      <c r="O806" s="7"/>
    </row>
    <row r="807" spans="15:15">
      <c r="O807" s="7"/>
    </row>
    <row r="808" spans="15:15">
      <c r="O808" s="7"/>
    </row>
    <row r="809" spans="15:15">
      <c r="O809" s="7"/>
    </row>
    <row r="810" spans="15:15">
      <c r="O810" s="7"/>
    </row>
    <row r="811" spans="15:15">
      <c r="O811" s="7"/>
    </row>
    <row r="812" spans="15:15">
      <c r="O812" s="7"/>
    </row>
    <row r="813" spans="15:15">
      <c r="O813" s="7"/>
    </row>
    <row r="814" spans="15:15">
      <c r="O814" s="7"/>
    </row>
    <row r="815" spans="15:15">
      <c r="O815" s="7"/>
    </row>
    <row r="816" spans="15:15">
      <c r="O816" s="7"/>
    </row>
    <row r="817" spans="15:15">
      <c r="O817" s="7"/>
    </row>
    <row r="818" spans="15:15">
      <c r="O818" s="7"/>
    </row>
    <row r="819" spans="15:15">
      <c r="O819" s="7"/>
    </row>
    <row r="820" spans="15:15">
      <c r="O820" s="7"/>
    </row>
    <row r="821" spans="15:15">
      <c r="O821" s="7"/>
    </row>
    <row r="822" spans="15:15">
      <c r="O822" s="7"/>
    </row>
    <row r="823" spans="15:15">
      <c r="O823" s="7"/>
    </row>
    <row r="824" spans="15:15">
      <c r="O824" s="7"/>
    </row>
    <row r="825" spans="15:15">
      <c r="O825" s="7"/>
    </row>
    <row r="826" spans="15:15">
      <c r="O826" s="7"/>
    </row>
    <row r="827" spans="15:15">
      <c r="O827" s="7"/>
    </row>
    <row r="828" spans="15:15">
      <c r="O828" s="7"/>
    </row>
    <row r="829" spans="15:15">
      <c r="O829" s="7"/>
    </row>
    <row r="830" spans="15:15">
      <c r="O830" s="7"/>
    </row>
    <row r="831" spans="15:15">
      <c r="O831" s="7"/>
    </row>
    <row r="832" spans="15:15">
      <c r="O832" s="7"/>
    </row>
    <row r="833" spans="15:15">
      <c r="O833" s="7"/>
    </row>
    <row r="834" spans="15:15">
      <c r="O834" s="7"/>
    </row>
    <row r="835" spans="15:15">
      <c r="O835" s="7"/>
    </row>
    <row r="836" spans="15:15">
      <c r="O836" s="7"/>
    </row>
    <row r="837" spans="15:15">
      <c r="O837" s="7"/>
    </row>
    <row r="838" spans="15:15">
      <c r="O838" s="7"/>
    </row>
    <row r="839" spans="15:15">
      <c r="O839" s="7"/>
    </row>
    <row r="840" spans="15:15">
      <c r="O840" s="7"/>
    </row>
    <row r="841" spans="15:15">
      <c r="O841" s="7"/>
    </row>
    <row r="842" spans="15:15">
      <c r="O842" s="7"/>
    </row>
    <row r="843" spans="15:15">
      <c r="O843" s="7"/>
    </row>
    <row r="844" spans="15:15">
      <c r="O844" s="7"/>
    </row>
    <row r="845" spans="15:15">
      <c r="O845" s="7"/>
    </row>
    <row r="846" spans="15:15">
      <c r="O846" s="7"/>
    </row>
    <row r="847" spans="15:15">
      <c r="O847" s="7"/>
    </row>
    <row r="848" spans="15:15">
      <c r="O848" s="7"/>
    </row>
    <row r="849" spans="15:15">
      <c r="O849" s="7"/>
    </row>
    <row r="850" spans="15:15">
      <c r="O850" s="7"/>
    </row>
    <row r="851" spans="15:15">
      <c r="O851" s="7"/>
    </row>
    <row r="852" spans="15:15">
      <c r="O852" s="7"/>
    </row>
    <row r="853" spans="15:15">
      <c r="O853" s="7"/>
    </row>
    <row r="854" spans="15:15">
      <c r="O854" s="7"/>
    </row>
    <row r="855" spans="15:15">
      <c r="O855" s="7"/>
    </row>
    <row r="856" spans="15:15">
      <c r="O856" s="7"/>
    </row>
    <row r="857" spans="15:15">
      <c r="O857" s="7"/>
    </row>
    <row r="858" spans="15:15">
      <c r="O858" s="7"/>
    </row>
    <row r="859" spans="15:15">
      <c r="O859" s="7"/>
    </row>
    <row r="860" spans="15:15">
      <c r="O860" s="7"/>
    </row>
    <row r="861" spans="15:15">
      <c r="O861" s="7"/>
    </row>
    <row r="862" spans="15:15">
      <c r="O862" s="7"/>
    </row>
    <row r="863" spans="15:15">
      <c r="O863" s="7"/>
    </row>
    <row r="864" spans="15:15">
      <c r="O864" s="7"/>
    </row>
    <row r="865" spans="15:15">
      <c r="O865" s="7"/>
    </row>
    <row r="866" spans="15:15">
      <c r="O866" s="7"/>
    </row>
    <row r="867" spans="15:15">
      <c r="O867" s="7"/>
    </row>
    <row r="868" spans="15:15">
      <c r="O868" s="7"/>
    </row>
    <row r="869" spans="15:15">
      <c r="O869" s="7"/>
    </row>
    <row r="870" spans="15:15">
      <c r="O870" s="7"/>
    </row>
    <row r="871" spans="15:15">
      <c r="O871" s="7"/>
    </row>
    <row r="872" spans="15:15">
      <c r="O872" s="7"/>
    </row>
    <row r="873" spans="15:15">
      <c r="O873" s="7"/>
    </row>
    <row r="874" spans="15:15">
      <c r="O874" s="7"/>
    </row>
    <row r="875" spans="15:15">
      <c r="O875" s="7"/>
    </row>
    <row r="876" spans="15:15">
      <c r="O876" s="7"/>
    </row>
    <row r="877" spans="15:15">
      <c r="O877" s="7"/>
    </row>
    <row r="878" spans="15:15">
      <c r="O878" s="7"/>
    </row>
    <row r="879" spans="15:15">
      <c r="O879" s="7"/>
    </row>
    <row r="880" spans="15:15">
      <c r="O880" s="7"/>
    </row>
    <row r="881" spans="15:15">
      <c r="O881" s="7"/>
    </row>
    <row r="882" spans="15:15">
      <c r="O882" s="7"/>
    </row>
    <row r="883" spans="15:15">
      <c r="O883" s="7"/>
    </row>
    <row r="884" spans="15:15">
      <c r="O884" s="7"/>
    </row>
    <row r="885" spans="15:15">
      <c r="O885" s="7"/>
    </row>
    <row r="886" spans="15:15">
      <c r="O886" s="7"/>
    </row>
    <row r="887" spans="15:15">
      <c r="O887" s="7"/>
    </row>
    <row r="888" spans="15:15">
      <c r="O888" s="7"/>
    </row>
    <row r="889" spans="15:15">
      <c r="O889" s="7"/>
    </row>
    <row r="890" spans="15:15">
      <c r="O890" s="7"/>
    </row>
    <row r="891" spans="15:15">
      <c r="O891" s="7"/>
    </row>
    <row r="892" spans="15:15">
      <c r="O892" s="7"/>
    </row>
    <row r="893" spans="15:15">
      <c r="O893" s="7"/>
    </row>
    <row r="894" spans="15:15">
      <c r="O894" s="7"/>
    </row>
    <row r="895" spans="15:15">
      <c r="O895" s="7"/>
    </row>
    <row r="896" spans="15:15">
      <c r="O896" s="7"/>
    </row>
    <row r="897" spans="15:15">
      <c r="O897" s="7"/>
    </row>
    <row r="898" spans="15:15">
      <c r="O898" s="7"/>
    </row>
    <row r="899" spans="15:15">
      <c r="O899" s="7"/>
    </row>
    <row r="900" spans="15:15">
      <c r="O900" s="7"/>
    </row>
    <row r="901" spans="15:15">
      <c r="O901" s="7"/>
    </row>
    <row r="902" spans="15:15">
      <c r="O902" s="7"/>
    </row>
    <row r="903" spans="15:15">
      <c r="O903" s="7"/>
    </row>
    <row r="904" spans="15:15">
      <c r="O904" s="7"/>
    </row>
    <row r="905" spans="15:15">
      <c r="O905" s="7"/>
    </row>
    <row r="906" spans="15:15">
      <c r="O906" s="7"/>
    </row>
    <row r="907" spans="15:15">
      <c r="O907" s="7"/>
    </row>
    <row r="908" spans="15:15">
      <c r="O908" s="7"/>
    </row>
    <row r="909" spans="15:15">
      <c r="O909" s="7"/>
    </row>
    <row r="910" spans="15:15">
      <c r="O910" s="7"/>
    </row>
    <row r="911" spans="15:15">
      <c r="O911" s="7"/>
    </row>
    <row r="912" spans="15:15">
      <c r="O912" s="7"/>
    </row>
    <row r="913" spans="15:15">
      <c r="O913" s="7"/>
    </row>
    <row r="914" spans="15:15">
      <c r="O914" s="7"/>
    </row>
    <row r="915" spans="15:15">
      <c r="O915" s="7"/>
    </row>
    <row r="916" spans="15:15">
      <c r="O916" s="7"/>
    </row>
    <row r="917" spans="15:15">
      <c r="O917" s="7"/>
    </row>
    <row r="918" spans="15:15">
      <c r="O918" s="7"/>
    </row>
    <row r="919" spans="15:15">
      <c r="O919" s="7"/>
    </row>
    <row r="920" spans="15:15">
      <c r="O920" s="7"/>
    </row>
    <row r="921" spans="15:15">
      <c r="O921" s="7"/>
    </row>
    <row r="922" spans="15:15">
      <c r="O922" s="7"/>
    </row>
    <row r="923" spans="15:15">
      <c r="O923" s="7"/>
    </row>
    <row r="924" spans="15:15">
      <c r="O924" s="7"/>
    </row>
    <row r="925" spans="15:15">
      <c r="O925" s="7"/>
    </row>
    <row r="926" spans="15:15">
      <c r="O926" s="7"/>
    </row>
    <row r="927" spans="15:15">
      <c r="O927" s="7"/>
    </row>
    <row r="928" spans="15:15">
      <c r="O928" s="7"/>
    </row>
    <row r="929" spans="15:15">
      <c r="O929" s="7"/>
    </row>
    <row r="930" spans="15:15">
      <c r="O930" s="7"/>
    </row>
    <row r="931" spans="15:15">
      <c r="O931" s="7"/>
    </row>
    <row r="932" spans="15:15">
      <c r="O932" s="7"/>
    </row>
    <row r="933" spans="15:15">
      <c r="O933" s="7"/>
    </row>
    <row r="934" spans="15:15">
      <c r="O934" s="7"/>
    </row>
    <row r="935" spans="15:15">
      <c r="O935" s="7"/>
    </row>
    <row r="936" spans="15:15">
      <c r="O936" s="7"/>
    </row>
    <row r="937" spans="15:15">
      <c r="O937" s="7"/>
    </row>
    <row r="938" spans="15:15">
      <c r="O938" s="7"/>
    </row>
    <row r="939" spans="15:15">
      <c r="O939" s="7"/>
    </row>
    <row r="940" spans="15:15">
      <c r="O940" s="7"/>
    </row>
    <row r="941" spans="15:15">
      <c r="O941" s="7"/>
    </row>
    <row r="942" spans="15:15">
      <c r="O942" s="7"/>
    </row>
    <row r="943" spans="15:15">
      <c r="O943" s="7"/>
    </row>
    <row r="944" spans="15:15">
      <c r="O944" s="7"/>
    </row>
    <row r="945" spans="15:15">
      <c r="O945" s="7"/>
    </row>
    <row r="946" spans="15:15">
      <c r="O946" s="7"/>
    </row>
    <row r="947" spans="15:15">
      <c r="O947" s="7"/>
    </row>
    <row r="948" spans="15:15">
      <c r="O948" s="7"/>
    </row>
    <row r="949" spans="15:15">
      <c r="O949" s="7"/>
    </row>
    <row r="950" spans="15:15">
      <c r="O950" s="7"/>
    </row>
    <row r="951" spans="15:15">
      <c r="O951" s="7"/>
    </row>
    <row r="952" spans="15:15">
      <c r="O952" s="7"/>
    </row>
    <row r="953" spans="15:15">
      <c r="O953" s="7"/>
    </row>
    <row r="954" spans="15:15">
      <c r="O954" s="7"/>
    </row>
    <row r="955" spans="15:15">
      <c r="O955" s="7"/>
    </row>
    <row r="956" spans="15:15">
      <c r="O956" s="7"/>
    </row>
    <row r="957" spans="15:15">
      <c r="O957" s="7"/>
    </row>
    <row r="958" spans="15:15">
      <c r="O958" s="7"/>
    </row>
    <row r="959" spans="15:15">
      <c r="O959" s="7"/>
    </row>
    <row r="960" spans="15:15">
      <c r="O960" s="7"/>
    </row>
    <row r="961" spans="15:15">
      <c r="O961" s="7"/>
    </row>
    <row r="962" spans="15:15">
      <c r="O962" s="7"/>
    </row>
    <row r="963" spans="15:15">
      <c r="O963" s="7"/>
    </row>
    <row r="964" spans="15:15">
      <c r="O964" s="7"/>
    </row>
    <row r="965" spans="15:15">
      <c r="O965" s="7"/>
    </row>
    <row r="966" spans="15:15">
      <c r="O966" s="7"/>
    </row>
    <row r="967" spans="15:15">
      <c r="O967" s="7"/>
    </row>
    <row r="968" spans="15:15">
      <c r="O968" s="7"/>
    </row>
    <row r="969" spans="15:15">
      <c r="O969" s="7"/>
    </row>
    <row r="970" spans="15:15">
      <c r="O970" s="7"/>
    </row>
    <row r="971" spans="15:15">
      <c r="O971" s="7"/>
    </row>
    <row r="972" spans="15:15">
      <c r="O972" s="7"/>
    </row>
    <row r="973" spans="15:15">
      <c r="O973" s="7"/>
    </row>
    <row r="974" spans="15:15">
      <c r="O974" s="7"/>
    </row>
    <row r="975" spans="15:15">
      <c r="O975" s="7"/>
    </row>
    <row r="976" spans="15:15">
      <c r="O976" s="7"/>
    </row>
    <row r="977" spans="15:15">
      <c r="O977" s="7"/>
    </row>
    <row r="978" spans="15:15">
      <c r="O978" s="7"/>
    </row>
    <row r="979" spans="15:15">
      <c r="O979" s="7"/>
    </row>
    <row r="980" spans="15:15">
      <c r="O980" s="7"/>
    </row>
    <row r="981" spans="15:15">
      <c r="O981" s="7"/>
    </row>
    <row r="982" spans="15:15">
      <c r="O982" s="7"/>
    </row>
    <row r="983" spans="15:15">
      <c r="O983" s="7"/>
    </row>
    <row r="984" spans="15:15">
      <c r="O984" s="7"/>
    </row>
    <row r="985" spans="15:15">
      <c r="O985" s="7"/>
    </row>
    <row r="986" spans="15:15">
      <c r="O986" s="7"/>
    </row>
    <row r="987" spans="15:15">
      <c r="O987" s="7"/>
    </row>
    <row r="988" spans="15:15">
      <c r="O988" s="7"/>
    </row>
    <row r="989" spans="15:15">
      <c r="O989" s="7"/>
    </row>
    <row r="990" spans="15:15">
      <c r="O990" s="7"/>
    </row>
    <row r="991" spans="15:15">
      <c r="O991" s="7"/>
    </row>
    <row r="992" spans="15:15">
      <c r="O992" s="7"/>
    </row>
    <row r="993" spans="15:15">
      <c r="O993" s="7"/>
    </row>
    <row r="994" spans="15:15">
      <c r="O994" s="7"/>
    </row>
    <row r="995" spans="15:15">
      <c r="O995" s="7"/>
    </row>
    <row r="996" spans="15:15">
      <c r="O996" s="7"/>
    </row>
    <row r="997" spans="15:15">
      <c r="O997" s="7"/>
    </row>
    <row r="998" spans="15:15">
      <c r="O998" s="7"/>
    </row>
    <row r="999" spans="15:15">
      <c r="O999" s="7"/>
    </row>
    <row r="1000" spans="15:15">
      <c r="O1000" s="7"/>
    </row>
    <row r="1001" spans="15:15">
      <c r="O1001" s="7"/>
    </row>
    <row r="1002" spans="15:15">
      <c r="O1002" s="7"/>
    </row>
    <row r="1003" spans="15:15">
      <c r="O1003" s="7"/>
    </row>
    <row r="1004" spans="15:15">
      <c r="O1004" s="7"/>
    </row>
    <row r="1005" spans="15:15">
      <c r="O1005" s="7"/>
    </row>
    <row r="1006" spans="15:15">
      <c r="O1006" s="7"/>
    </row>
    <row r="1007" spans="15:15">
      <c r="O1007" s="7"/>
    </row>
    <row r="1008" spans="15:15">
      <c r="O1008" s="7"/>
    </row>
    <row r="1009" spans="15:15">
      <c r="O1009" s="7"/>
    </row>
    <row r="1010" spans="15:15">
      <c r="O1010" s="7"/>
    </row>
    <row r="1011" spans="15:15">
      <c r="O1011" s="7"/>
    </row>
    <row r="1012" spans="15:15">
      <c r="O1012" s="7"/>
    </row>
    <row r="1013" spans="15:15">
      <c r="O1013" s="7"/>
    </row>
    <row r="1014" spans="15:15">
      <c r="O1014" s="7"/>
    </row>
    <row r="1015" spans="15:15">
      <c r="O1015" s="7"/>
    </row>
    <row r="1016" spans="15:15">
      <c r="O1016" s="7"/>
    </row>
    <row r="1017" spans="15:15">
      <c r="O1017" s="7"/>
    </row>
    <row r="1018" spans="15:15">
      <c r="O1018" s="7"/>
    </row>
    <row r="1019" spans="15:15">
      <c r="O1019" s="7"/>
    </row>
    <row r="1020" spans="15:15">
      <c r="O1020" s="7"/>
    </row>
    <row r="1021" spans="15:15">
      <c r="O1021" s="7"/>
    </row>
    <row r="1022" spans="15:15">
      <c r="O1022" s="7"/>
    </row>
    <row r="1023" spans="15:15">
      <c r="O1023" s="7"/>
    </row>
    <row r="1024" spans="15:15">
      <c r="O1024" s="7"/>
    </row>
    <row r="1025" spans="15:15">
      <c r="O1025" s="7"/>
    </row>
    <row r="1026" spans="15:15">
      <c r="O1026" s="7"/>
    </row>
    <row r="1027" spans="15:15">
      <c r="O1027" s="7"/>
    </row>
    <row r="1028" spans="15:15">
      <c r="O1028" s="7"/>
    </row>
    <row r="1029" spans="15:15">
      <c r="O1029" s="7"/>
    </row>
    <row r="1030" spans="15:15">
      <c r="O1030" s="7"/>
    </row>
    <row r="1031" spans="15:15">
      <c r="O1031" s="7"/>
    </row>
    <row r="1032" spans="15:15">
      <c r="O1032" s="7"/>
    </row>
    <row r="1033" spans="15:15">
      <c r="O1033" s="7"/>
    </row>
    <row r="1034" spans="15:15">
      <c r="O1034" s="7"/>
    </row>
    <row r="1035" spans="15:15">
      <c r="O1035" s="7"/>
    </row>
    <row r="1036" spans="15:15">
      <c r="O1036" s="7"/>
    </row>
    <row r="1037" spans="15:15">
      <c r="O1037" s="7"/>
    </row>
    <row r="1038" spans="15:15">
      <c r="O1038" s="7"/>
    </row>
    <row r="1039" spans="15:15">
      <c r="O1039" s="7"/>
    </row>
    <row r="1040" spans="15:15">
      <c r="O1040" s="7"/>
    </row>
    <row r="1041" spans="15:15">
      <c r="O1041" s="7"/>
    </row>
    <row r="1042" spans="15:15">
      <c r="O1042" s="7"/>
    </row>
    <row r="1043" spans="15:15">
      <c r="O1043" s="7"/>
    </row>
    <row r="1044" spans="15:15">
      <c r="O1044" s="7"/>
    </row>
    <row r="1045" spans="15:15">
      <c r="O1045" s="7"/>
    </row>
    <row r="1046" spans="15:15">
      <c r="O1046" s="7"/>
    </row>
    <row r="1047" spans="15:15">
      <c r="O1047" s="7"/>
    </row>
    <row r="1048" spans="15:15">
      <c r="O1048" s="7"/>
    </row>
    <row r="1049" spans="15:15">
      <c r="O1049" s="7"/>
    </row>
    <row r="1050" spans="15:15">
      <c r="O1050" s="7"/>
    </row>
    <row r="1051" spans="15:15">
      <c r="O1051" s="7"/>
    </row>
    <row r="1052" spans="15:15">
      <c r="O1052" s="7"/>
    </row>
    <row r="1053" spans="15:15">
      <c r="O1053" s="7"/>
    </row>
    <row r="1054" spans="15:15">
      <c r="O1054" s="7"/>
    </row>
    <row r="1055" spans="15:15">
      <c r="O1055" s="7"/>
    </row>
    <row r="1056" spans="15:15">
      <c r="O1056" s="7"/>
    </row>
    <row r="1057" spans="15:15">
      <c r="O1057" s="7"/>
    </row>
    <row r="1058" spans="15:15">
      <c r="O1058" s="7"/>
    </row>
    <row r="1059" spans="15:15">
      <c r="O1059" s="7"/>
    </row>
    <row r="1060" spans="15:15">
      <c r="O1060" s="7"/>
    </row>
    <row r="1061" spans="15:15">
      <c r="O1061" s="7"/>
    </row>
    <row r="1062" spans="15:15">
      <c r="O1062" s="7"/>
    </row>
    <row r="1063" spans="15:15">
      <c r="O1063" s="7"/>
    </row>
    <row r="1064" spans="15:15">
      <c r="O1064" s="7"/>
    </row>
    <row r="1065" spans="15:15">
      <c r="O1065" s="7"/>
    </row>
    <row r="1066" spans="15:15">
      <c r="O1066" s="7"/>
    </row>
    <row r="1067" spans="15:15">
      <c r="O1067" s="7"/>
    </row>
    <row r="1068" spans="15:15">
      <c r="O1068" s="7"/>
    </row>
    <row r="1069" spans="15:15">
      <c r="O1069" s="7"/>
    </row>
    <row r="1070" spans="15:15">
      <c r="O1070" s="7"/>
    </row>
    <row r="1071" spans="15:15">
      <c r="O1071" s="7"/>
    </row>
    <row r="1072" spans="15:15">
      <c r="O1072" s="7"/>
    </row>
    <row r="1073" spans="15:15">
      <c r="O1073" s="7"/>
    </row>
    <row r="1074" spans="15:15">
      <c r="O1074" s="7"/>
    </row>
    <row r="1075" spans="15:15">
      <c r="O1075" s="7"/>
    </row>
    <row r="1076" spans="15:15">
      <c r="O1076" s="7"/>
    </row>
    <row r="1077" spans="15:15">
      <c r="O1077" s="7"/>
    </row>
    <row r="1078" spans="15:15">
      <c r="O1078" s="7"/>
    </row>
    <row r="1079" spans="15:15">
      <c r="O1079" s="7"/>
    </row>
    <row r="1080" spans="15:15">
      <c r="O1080" s="7"/>
    </row>
    <row r="1081" spans="15:15">
      <c r="O1081" s="7"/>
    </row>
    <row r="1082" spans="15:15">
      <c r="O1082" s="7"/>
    </row>
    <row r="1083" spans="15:15">
      <c r="O1083" s="7"/>
    </row>
    <row r="1084" spans="15:15">
      <c r="O1084" s="7"/>
    </row>
    <row r="1085" spans="15:15">
      <c r="O1085" s="7"/>
    </row>
    <row r="1086" spans="15:15">
      <c r="O1086" s="7"/>
    </row>
    <row r="1087" spans="15:15">
      <c r="O1087" s="7"/>
    </row>
    <row r="1088" spans="15:15">
      <c r="O1088" s="7"/>
    </row>
    <row r="1089" spans="15:15">
      <c r="O1089" s="7"/>
    </row>
    <row r="1090" spans="15:15">
      <c r="O1090" s="7"/>
    </row>
    <row r="1091" spans="15:15">
      <c r="O1091" s="7"/>
    </row>
    <row r="1092" spans="15:15">
      <c r="O1092" s="7"/>
    </row>
    <row r="1093" spans="15:15">
      <c r="O1093" s="7"/>
    </row>
    <row r="1094" spans="15:15">
      <c r="O1094" s="7"/>
    </row>
    <row r="1095" spans="15:15">
      <c r="O1095" s="7"/>
    </row>
    <row r="1096" spans="15:15">
      <c r="O1096" s="7"/>
    </row>
    <row r="1097" spans="15:15">
      <c r="O1097" s="7"/>
    </row>
    <row r="1098" spans="15:15">
      <c r="O1098" s="7"/>
    </row>
    <row r="1099" spans="15:15">
      <c r="O1099" s="7"/>
    </row>
    <row r="1100" spans="15:15">
      <c r="O1100" s="7"/>
    </row>
    <row r="1101" spans="15:15">
      <c r="O1101" s="7"/>
    </row>
    <row r="1102" spans="15:15">
      <c r="O1102" s="7"/>
    </row>
    <row r="1103" spans="15:15">
      <c r="O1103" s="7"/>
    </row>
    <row r="1104" spans="15:15">
      <c r="O1104" s="7"/>
    </row>
    <row r="1105" spans="15:15">
      <c r="O1105" s="7"/>
    </row>
    <row r="1106" spans="15:15">
      <c r="O1106" s="7"/>
    </row>
    <row r="1107" spans="15:15">
      <c r="O1107" s="7"/>
    </row>
    <row r="1108" spans="15:15">
      <c r="O1108" s="7"/>
    </row>
    <row r="1109" spans="15:15">
      <c r="O1109" s="7"/>
    </row>
    <row r="1110" spans="15:15">
      <c r="O1110" s="7"/>
    </row>
    <row r="1111" spans="15:15">
      <c r="O1111" s="7"/>
    </row>
    <row r="1112" spans="15:15">
      <c r="O1112" s="7"/>
    </row>
    <row r="1113" spans="15:15">
      <c r="O1113" s="7"/>
    </row>
    <row r="1114" spans="15:15">
      <c r="O1114" s="7"/>
    </row>
    <row r="1115" spans="15:15">
      <c r="O1115" s="7"/>
    </row>
    <row r="1116" spans="15:15">
      <c r="O1116" s="7"/>
    </row>
    <row r="1117" spans="15:15">
      <c r="O1117" s="7"/>
    </row>
    <row r="1118" spans="15:15">
      <c r="O1118" s="7"/>
    </row>
    <row r="1119" spans="15:15">
      <c r="O1119" s="7"/>
    </row>
    <row r="1120" spans="15:15">
      <c r="O1120" s="7"/>
    </row>
    <row r="1121" spans="15:15">
      <c r="O1121" s="7"/>
    </row>
    <row r="1122" spans="15:15">
      <c r="O1122" s="7"/>
    </row>
    <row r="1123" spans="15:15">
      <c r="O1123" s="7"/>
    </row>
    <row r="1124" spans="15:15">
      <c r="O1124" s="7"/>
    </row>
    <row r="1125" spans="15:15">
      <c r="O1125" s="7"/>
    </row>
    <row r="1126" spans="15:15">
      <c r="O1126" s="7"/>
    </row>
    <row r="1127" spans="15:15">
      <c r="O1127" s="7"/>
    </row>
    <row r="1128" spans="15:15">
      <c r="O1128" s="7"/>
    </row>
    <row r="1129" spans="15:15">
      <c r="O1129" s="7"/>
    </row>
    <row r="1130" spans="15:15">
      <c r="O1130" s="7"/>
    </row>
    <row r="1131" spans="15:15">
      <c r="O1131" s="7"/>
    </row>
    <row r="1132" spans="15:15">
      <c r="O1132" s="7"/>
    </row>
    <row r="1133" spans="15:15">
      <c r="O1133" s="7"/>
    </row>
    <row r="1134" spans="15:15">
      <c r="O1134" s="7"/>
    </row>
    <row r="1135" spans="15:15">
      <c r="O1135" s="7"/>
    </row>
    <row r="1136" spans="15:15">
      <c r="O1136" s="7"/>
    </row>
    <row r="1137" spans="15:15">
      <c r="O1137" s="7"/>
    </row>
    <row r="1138" spans="15:15">
      <c r="O1138" s="7"/>
    </row>
    <row r="1139" spans="15:15">
      <c r="O1139" s="7"/>
    </row>
    <row r="1140" spans="15:15">
      <c r="O1140" s="7"/>
    </row>
    <row r="1141" spans="15:15">
      <c r="O1141" s="7"/>
    </row>
    <row r="1142" spans="15:15">
      <c r="O1142" s="7"/>
    </row>
    <row r="1143" spans="15:15">
      <c r="O1143" s="7"/>
    </row>
    <row r="1144" spans="15:15">
      <c r="O1144" s="7"/>
    </row>
    <row r="1145" spans="15:15">
      <c r="O1145" s="7"/>
    </row>
    <row r="1146" spans="15:15">
      <c r="O1146" s="7"/>
    </row>
    <row r="1147" spans="15:15">
      <c r="O1147" s="7"/>
    </row>
    <row r="1148" spans="15:15">
      <c r="O1148" s="7"/>
    </row>
    <row r="1149" spans="15:15">
      <c r="O1149" s="7"/>
    </row>
    <row r="1150" spans="15:15">
      <c r="O1150" s="7"/>
    </row>
    <row r="1151" spans="15:15">
      <c r="O1151" s="7"/>
    </row>
    <row r="1152" spans="15:15">
      <c r="O1152" s="7"/>
    </row>
    <row r="1153" spans="15:15">
      <c r="O1153" s="7"/>
    </row>
    <row r="1154" spans="15:15">
      <c r="O1154" s="7"/>
    </row>
    <row r="1155" spans="15:15">
      <c r="O1155" s="7"/>
    </row>
    <row r="1156" spans="15:15">
      <c r="O1156" s="7"/>
    </row>
    <row r="1157" spans="15:15">
      <c r="O1157" s="7"/>
    </row>
    <row r="1158" spans="15:15">
      <c r="O1158" s="7"/>
    </row>
    <row r="1159" spans="15:15">
      <c r="O1159" s="7"/>
    </row>
    <row r="1160" spans="15:15">
      <c r="O1160" s="7"/>
    </row>
    <row r="1161" spans="15:15">
      <c r="O1161" s="7"/>
    </row>
    <row r="1162" spans="15:15">
      <c r="O1162" s="7"/>
    </row>
    <row r="1163" spans="15:15">
      <c r="O1163" s="7"/>
    </row>
    <row r="1164" spans="15:15">
      <c r="O1164" s="7"/>
    </row>
    <row r="1165" spans="15:15">
      <c r="O1165" s="7"/>
    </row>
    <row r="1166" spans="15:15">
      <c r="O1166" s="7"/>
    </row>
    <row r="1167" spans="15:15">
      <c r="O1167" s="7"/>
    </row>
    <row r="1168" spans="15:15">
      <c r="O1168" s="7"/>
    </row>
    <row r="1169" spans="15:15">
      <c r="O1169" s="7"/>
    </row>
    <row r="1170" spans="15:15">
      <c r="O1170" s="7"/>
    </row>
    <row r="1171" spans="15:15">
      <c r="O1171" s="7"/>
    </row>
    <row r="1172" spans="15:15">
      <c r="O1172" s="7"/>
    </row>
    <row r="1173" spans="15:15">
      <c r="O1173" s="7"/>
    </row>
    <row r="1174" spans="15:15">
      <c r="O1174" s="7"/>
    </row>
    <row r="1175" spans="15:15">
      <c r="O1175" s="7"/>
    </row>
    <row r="1176" spans="15:15">
      <c r="O1176" s="7"/>
    </row>
    <row r="1177" spans="15:15">
      <c r="O1177" s="7"/>
    </row>
    <row r="1178" spans="15:15">
      <c r="O1178" s="7"/>
    </row>
    <row r="1179" spans="15:15">
      <c r="O1179" s="7"/>
    </row>
    <row r="1180" spans="15:15">
      <c r="O1180" s="7"/>
    </row>
    <row r="1181" spans="15:15">
      <c r="O1181" s="7"/>
    </row>
    <row r="1182" spans="15:15">
      <c r="O1182" s="7"/>
    </row>
    <row r="1183" spans="15:15">
      <c r="O1183" s="7"/>
    </row>
    <row r="1184" spans="15:15">
      <c r="O1184" s="7"/>
    </row>
    <row r="1185" spans="15:15">
      <c r="O1185" s="7"/>
    </row>
    <row r="1186" spans="15:15">
      <c r="O1186" s="7"/>
    </row>
    <row r="1187" spans="15:15">
      <c r="O1187" s="7"/>
    </row>
    <row r="1188" spans="15:15">
      <c r="O1188" s="7"/>
    </row>
    <row r="1189" spans="15:15">
      <c r="O1189" s="7"/>
    </row>
    <row r="1190" spans="15:15">
      <c r="O1190" s="7"/>
    </row>
    <row r="1191" spans="15:15">
      <c r="O1191" s="7"/>
    </row>
    <row r="1192" spans="15:15">
      <c r="O1192" s="7"/>
    </row>
    <row r="1193" spans="15:15">
      <c r="O1193" s="7"/>
    </row>
    <row r="1194" spans="15:15">
      <c r="O1194" s="7"/>
    </row>
    <row r="1195" spans="15:15">
      <c r="O1195" s="7"/>
    </row>
    <row r="1196" spans="15:15">
      <c r="O1196" s="7"/>
    </row>
    <row r="1197" spans="15:15">
      <c r="O1197" s="7"/>
    </row>
    <row r="1198" spans="15:15">
      <c r="O1198" s="7"/>
    </row>
    <row r="1199" spans="15:15">
      <c r="O1199" s="7"/>
    </row>
    <row r="1200" spans="15:15">
      <c r="O1200" s="7"/>
    </row>
    <row r="1201" spans="15:15">
      <c r="O1201" s="7"/>
    </row>
    <row r="1202" spans="15:15">
      <c r="O1202" s="7"/>
    </row>
    <row r="1203" spans="15:15">
      <c r="O1203" s="7"/>
    </row>
    <row r="1204" spans="15:15">
      <c r="O1204" s="7"/>
    </row>
    <row r="1205" spans="15:15">
      <c r="O1205" s="7"/>
    </row>
    <row r="1206" spans="15:15">
      <c r="O1206" s="7"/>
    </row>
    <row r="1207" spans="15:15">
      <c r="O1207" s="7"/>
    </row>
    <row r="1208" spans="15:15">
      <c r="O1208" s="7"/>
    </row>
    <row r="1209" spans="15:15">
      <c r="O1209" s="7"/>
    </row>
    <row r="1210" spans="15:15">
      <c r="O1210" s="7"/>
    </row>
    <row r="1211" spans="15:15">
      <c r="O1211" s="7"/>
    </row>
    <row r="1212" spans="15:15">
      <c r="O1212" s="7"/>
    </row>
    <row r="1213" spans="15:15">
      <c r="O1213" s="7"/>
    </row>
    <row r="1214" spans="15:15">
      <c r="O1214" s="7"/>
    </row>
    <row r="1215" spans="15:15">
      <c r="O1215" s="7"/>
    </row>
    <row r="1216" spans="15:15">
      <c r="O1216" s="7"/>
    </row>
    <row r="1217" spans="15:15">
      <c r="O1217" s="7"/>
    </row>
    <row r="1218" spans="15:15">
      <c r="O1218" s="7"/>
    </row>
    <row r="1219" spans="15:15">
      <c r="O1219" s="7"/>
    </row>
    <row r="1220" spans="15:15">
      <c r="O1220" s="7"/>
    </row>
    <row r="1221" spans="15:15">
      <c r="O1221" s="7"/>
    </row>
    <row r="1222" spans="15:15">
      <c r="O1222" s="7"/>
    </row>
    <row r="1223" spans="15:15">
      <c r="O1223" s="7"/>
    </row>
    <row r="1224" spans="15:15">
      <c r="O1224" s="7"/>
    </row>
    <row r="1225" spans="15:15">
      <c r="O1225" s="7"/>
    </row>
    <row r="1226" spans="15:15">
      <c r="O1226" s="7"/>
    </row>
    <row r="1227" spans="15:15">
      <c r="O1227" s="7"/>
    </row>
    <row r="1228" spans="15:15">
      <c r="O1228" s="7"/>
    </row>
    <row r="1229" spans="15:15">
      <c r="O1229" s="7"/>
    </row>
    <row r="1230" spans="15:15">
      <c r="O1230" s="7"/>
    </row>
    <row r="1231" spans="15:15">
      <c r="O1231" s="7"/>
    </row>
    <row r="1232" spans="15:15">
      <c r="O1232" s="7"/>
    </row>
    <row r="1233" spans="15:15">
      <c r="O1233" s="7"/>
    </row>
    <row r="1234" spans="15:15">
      <c r="O1234" s="7"/>
    </row>
    <row r="1235" spans="15:15">
      <c r="O1235" s="7"/>
    </row>
    <row r="1236" spans="15:15">
      <c r="O1236" s="7"/>
    </row>
    <row r="1237" spans="15:15">
      <c r="O1237" s="7"/>
    </row>
    <row r="1238" spans="15:15">
      <c r="O1238" s="7"/>
    </row>
    <row r="1239" spans="15:15">
      <c r="O1239" s="7"/>
    </row>
    <row r="1240" spans="15:15">
      <c r="O1240" s="7"/>
    </row>
    <row r="1241" spans="15:15">
      <c r="O1241" s="7"/>
    </row>
    <row r="1242" spans="15:15">
      <c r="O1242" s="7"/>
    </row>
    <row r="1243" spans="15:15">
      <c r="O1243" s="7"/>
    </row>
    <row r="1244" spans="15:15">
      <c r="O1244" s="7"/>
    </row>
    <row r="1245" spans="15:15">
      <c r="O1245" s="7"/>
    </row>
    <row r="1246" spans="15:15">
      <c r="O1246" s="7"/>
    </row>
    <row r="1247" spans="15:15">
      <c r="O1247" s="7"/>
    </row>
    <row r="1248" spans="15:15">
      <c r="O1248" s="7"/>
    </row>
    <row r="1249" spans="15:15">
      <c r="O1249" s="7"/>
    </row>
    <row r="1250" spans="15:15">
      <c r="O1250" s="7"/>
    </row>
    <row r="1251" spans="15:15">
      <c r="O1251" s="7"/>
    </row>
    <row r="1252" spans="15:15">
      <c r="O1252" s="7"/>
    </row>
    <row r="1253" spans="15:15">
      <c r="O1253" s="7"/>
    </row>
    <row r="1254" spans="15:15">
      <c r="O1254" s="7"/>
    </row>
    <row r="1255" spans="15:15">
      <c r="O1255" s="7"/>
    </row>
    <row r="1256" spans="15:15">
      <c r="O1256" s="7"/>
    </row>
    <row r="1257" spans="15:15">
      <c r="O1257" s="7"/>
    </row>
    <row r="1258" spans="15:15">
      <c r="O1258" s="7"/>
    </row>
    <row r="1259" spans="15:15">
      <c r="O1259" s="7"/>
    </row>
    <row r="1260" spans="15:15">
      <c r="O1260" s="7"/>
    </row>
    <row r="1261" spans="15:15">
      <c r="O1261" s="7"/>
    </row>
    <row r="1262" spans="15:15">
      <c r="O1262" s="7"/>
    </row>
    <row r="1263" spans="15:15">
      <c r="O1263" s="7"/>
    </row>
    <row r="1264" spans="15:15">
      <c r="O1264" s="7"/>
    </row>
    <row r="1265" spans="15:15">
      <c r="O1265" s="7"/>
    </row>
    <row r="1266" spans="15:15">
      <c r="O1266" s="7"/>
    </row>
    <row r="1267" spans="15:15">
      <c r="O1267" s="7"/>
    </row>
    <row r="1268" spans="15:15">
      <c r="O1268" s="7"/>
    </row>
    <row r="1269" spans="15:15">
      <c r="O1269" s="7"/>
    </row>
    <row r="1270" spans="15:15">
      <c r="O1270" s="7"/>
    </row>
    <row r="1271" spans="15:15">
      <c r="O1271" s="7"/>
    </row>
    <row r="1272" spans="15:15">
      <c r="O1272" s="7"/>
    </row>
    <row r="1273" spans="15:15">
      <c r="O1273" s="7"/>
    </row>
    <row r="1274" spans="15:15">
      <c r="O1274" s="7"/>
    </row>
    <row r="1275" spans="15:15">
      <c r="O1275" s="7"/>
    </row>
    <row r="1276" spans="15:15">
      <c r="O1276" s="7"/>
    </row>
    <row r="1277" spans="15:15">
      <c r="O1277" s="7"/>
    </row>
    <row r="1278" spans="15:15">
      <c r="O1278" s="7"/>
    </row>
    <row r="1279" spans="15:15">
      <c r="O1279" s="7"/>
    </row>
    <row r="1280" spans="15:15">
      <c r="O1280" s="7"/>
    </row>
    <row r="1281" spans="15:15">
      <c r="O1281" s="7"/>
    </row>
    <row r="1282" spans="15:15">
      <c r="O1282" s="7"/>
    </row>
    <row r="1283" spans="15:15">
      <c r="O1283" s="7"/>
    </row>
    <row r="1284" spans="15:15">
      <c r="O1284" s="7"/>
    </row>
    <row r="1285" spans="15:15">
      <c r="O1285" s="7"/>
    </row>
    <row r="1286" spans="15:15">
      <c r="O1286" s="7"/>
    </row>
    <row r="1287" spans="15:15">
      <c r="O1287" s="7"/>
    </row>
    <row r="1288" spans="15:15">
      <c r="O1288" s="7"/>
    </row>
    <row r="1289" spans="15:15">
      <c r="O1289" s="7"/>
    </row>
    <row r="1290" spans="15:15">
      <c r="O1290" s="7"/>
    </row>
    <row r="1291" spans="15:15">
      <c r="O1291" s="7"/>
    </row>
    <row r="1292" spans="15:15">
      <c r="O1292" s="7"/>
    </row>
    <row r="1293" spans="15:15">
      <c r="O1293" s="7"/>
    </row>
    <row r="1294" spans="15:15">
      <c r="O1294" s="7"/>
    </row>
    <row r="1295" spans="15:15">
      <c r="O1295" s="7"/>
    </row>
    <row r="1296" spans="15:15">
      <c r="O1296" s="7"/>
    </row>
    <row r="1297" spans="15:15">
      <c r="O1297" s="7"/>
    </row>
    <row r="1298" spans="15:15">
      <c r="O1298" s="7"/>
    </row>
    <row r="1299" spans="15:15">
      <c r="O1299" s="7"/>
    </row>
    <row r="1300" spans="15:15">
      <c r="O1300" s="7"/>
    </row>
    <row r="1301" spans="15:15">
      <c r="O1301" s="7"/>
    </row>
    <row r="1302" spans="15:15">
      <c r="O1302" s="7"/>
    </row>
    <row r="1303" spans="15:15">
      <c r="O1303" s="7"/>
    </row>
    <row r="1304" spans="15:15">
      <c r="O1304" s="7"/>
    </row>
    <row r="1305" spans="15:15">
      <c r="O1305" s="7"/>
    </row>
    <row r="1306" spans="15:15">
      <c r="O1306" s="7"/>
    </row>
    <row r="1307" spans="15:15">
      <c r="O1307" s="7"/>
    </row>
    <row r="1308" spans="15:15">
      <c r="O1308" s="7"/>
    </row>
    <row r="1309" spans="15:15">
      <c r="O1309" s="7"/>
    </row>
    <row r="1310" spans="15:15">
      <c r="O1310" s="7"/>
    </row>
    <row r="1311" spans="15:15">
      <c r="O1311" s="7"/>
    </row>
    <row r="1312" spans="15:15">
      <c r="O1312" s="7"/>
    </row>
    <row r="1313" spans="15:15">
      <c r="O1313" s="7"/>
    </row>
    <row r="1314" spans="15:15">
      <c r="O1314" s="7"/>
    </row>
    <row r="1315" spans="15:15">
      <c r="O1315" s="7"/>
    </row>
    <row r="1316" spans="15:15">
      <c r="O1316" s="7"/>
    </row>
    <row r="1317" spans="15:15">
      <c r="O1317" s="7"/>
    </row>
    <row r="1318" spans="15:15">
      <c r="O1318" s="7"/>
    </row>
    <row r="1319" spans="15:15">
      <c r="O1319" s="7"/>
    </row>
    <row r="1320" spans="15:15">
      <c r="O1320" s="7"/>
    </row>
    <row r="1321" spans="15:15">
      <c r="O1321" s="7"/>
    </row>
    <row r="1322" spans="15:15">
      <c r="O1322" s="7"/>
    </row>
    <row r="1323" spans="15:15">
      <c r="O1323" s="7"/>
    </row>
    <row r="1324" spans="15:15">
      <c r="O1324" s="7"/>
    </row>
    <row r="1325" spans="15:15">
      <c r="O1325" s="7"/>
    </row>
    <row r="1326" spans="15:15">
      <c r="O1326" s="7"/>
    </row>
    <row r="1327" spans="15:15">
      <c r="O1327" s="7"/>
    </row>
    <row r="1328" spans="15:15">
      <c r="O1328" s="7"/>
    </row>
    <row r="1329" spans="15:15">
      <c r="O1329" s="7"/>
    </row>
    <row r="1330" spans="15:15">
      <c r="O1330" s="7"/>
    </row>
    <row r="1331" spans="15:15">
      <c r="O1331" s="7"/>
    </row>
    <row r="1332" spans="15:15">
      <c r="O1332" s="7"/>
    </row>
    <row r="1333" spans="15:15">
      <c r="O1333" s="7"/>
    </row>
    <row r="1334" spans="15:15">
      <c r="O1334" s="7"/>
    </row>
    <row r="1335" spans="15:15">
      <c r="O1335" s="7"/>
    </row>
    <row r="1336" spans="15:15">
      <c r="O1336" s="7"/>
    </row>
    <row r="1337" spans="15:15">
      <c r="O1337" s="7"/>
    </row>
    <row r="1338" spans="15:15">
      <c r="O1338" s="7"/>
    </row>
    <row r="1339" spans="15:15">
      <c r="O1339" s="7"/>
    </row>
    <row r="1340" spans="15:15">
      <c r="O1340" s="7"/>
    </row>
    <row r="1341" spans="15:15">
      <c r="O1341" s="7"/>
    </row>
    <row r="1342" spans="15:15">
      <c r="O1342" s="7"/>
    </row>
    <row r="1343" spans="15:15">
      <c r="O1343" s="7"/>
    </row>
    <row r="1344" spans="15:15">
      <c r="O1344" s="7"/>
    </row>
    <row r="1345" spans="15:15">
      <c r="O1345" s="7"/>
    </row>
    <row r="1346" spans="15:15">
      <c r="O1346" s="7"/>
    </row>
    <row r="1347" spans="15:15">
      <c r="O1347" s="7"/>
    </row>
    <row r="1348" spans="15:15">
      <c r="O1348" s="7"/>
    </row>
    <row r="1349" spans="15:15">
      <c r="O1349" s="7"/>
    </row>
    <row r="1350" spans="15:15">
      <c r="O1350" s="7"/>
    </row>
    <row r="1351" spans="15:15">
      <c r="O1351" s="7"/>
    </row>
    <row r="1352" spans="15:15">
      <c r="O1352" s="7"/>
    </row>
    <row r="1353" spans="15:15">
      <c r="O1353" s="7"/>
    </row>
    <row r="1354" spans="15:15">
      <c r="O1354" s="7"/>
    </row>
    <row r="1355" spans="15:15">
      <c r="O1355" s="7"/>
    </row>
    <row r="1356" spans="15:15">
      <c r="O1356" s="7"/>
    </row>
    <row r="1357" spans="15:15">
      <c r="O1357" s="7"/>
    </row>
    <row r="1358" spans="15:15">
      <c r="O1358" s="7"/>
    </row>
    <row r="1359" spans="15:15">
      <c r="O1359" s="7"/>
    </row>
    <row r="1360" spans="15:15">
      <c r="O1360" s="7"/>
    </row>
    <row r="1361" spans="15:15">
      <c r="O1361" s="7"/>
    </row>
    <row r="1362" spans="15:15">
      <c r="O1362" s="7"/>
    </row>
    <row r="1363" spans="15:15">
      <c r="O1363" s="7"/>
    </row>
    <row r="1364" spans="15:15">
      <c r="O1364" s="7"/>
    </row>
    <row r="1365" spans="15:15">
      <c r="O1365" s="7"/>
    </row>
    <row r="1366" spans="15:15">
      <c r="O1366" s="7"/>
    </row>
    <row r="1367" spans="15:15">
      <c r="O1367" s="7"/>
    </row>
    <row r="1368" spans="15:15">
      <c r="O1368" s="7"/>
    </row>
    <row r="1369" spans="15:15">
      <c r="O1369" s="7"/>
    </row>
    <row r="1370" spans="15:15">
      <c r="O1370" s="7"/>
    </row>
    <row r="1371" spans="15:15">
      <c r="O1371" s="7"/>
    </row>
    <row r="1372" spans="15:15">
      <c r="O1372" s="7"/>
    </row>
    <row r="1373" spans="15:15">
      <c r="O1373" s="7"/>
    </row>
    <row r="1374" spans="15:15">
      <c r="O1374" s="7"/>
    </row>
    <row r="1375" spans="15:15">
      <c r="O1375" s="7"/>
    </row>
    <row r="1376" spans="15:15">
      <c r="O1376" s="7"/>
    </row>
    <row r="1377" spans="15:15">
      <c r="O1377" s="7"/>
    </row>
    <row r="1378" spans="15:15">
      <c r="O1378" s="7"/>
    </row>
    <row r="1379" spans="15:15">
      <c r="O1379" s="7"/>
    </row>
    <row r="1380" spans="15:15">
      <c r="O1380" s="7"/>
    </row>
    <row r="1381" spans="15:15">
      <c r="O1381" s="7"/>
    </row>
    <row r="1382" spans="15:15">
      <c r="O1382" s="7"/>
    </row>
    <row r="1383" spans="15:15">
      <c r="O1383" s="7"/>
    </row>
    <row r="1384" spans="15:15">
      <c r="O1384" s="7"/>
    </row>
    <row r="1385" spans="15:15">
      <c r="O1385" s="7"/>
    </row>
    <row r="1386" spans="15:15">
      <c r="O1386" s="7"/>
    </row>
    <row r="1387" spans="15:15">
      <c r="O1387" s="7"/>
    </row>
    <row r="1388" spans="15:15">
      <c r="O1388" s="7"/>
    </row>
    <row r="1389" spans="15:15">
      <c r="O1389" s="7"/>
    </row>
    <row r="1390" spans="15:15">
      <c r="O1390" s="7"/>
    </row>
    <row r="1391" spans="15:15">
      <c r="O1391" s="7"/>
    </row>
    <row r="1392" spans="15:15">
      <c r="O1392" s="7"/>
    </row>
    <row r="1393" spans="15:15">
      <c r="O1393" s="7"/>
    </row>
    <row r="1394" spans="15:15">
      <c r="O1394" s="7"/>
    </row>
    <row r="1395" spans="15:15">
      <c r="O1395" s="7"/>
    </row>
    <row r="1396" spans="15:15">
      <c r="O1396" s="7"/>
    </row>
    <row r="1397" spans="15:15">
      <c r="O1397" s="7"/>
    </row>
    <row r="1398" spans="15:15">
      <c r="O1398" s="7"/>
    </row>
    <row r="1399" spans="15:15">
      <c r="O1399" s="7"/>
    </row>
    <row r="1400" spans="15:15">
      <c r="O1400" s="7"/>
    </row>
    <row r="1401" spans="15:15">
      <c r="O1401" s="7"/>
    </row>
    <row r="1402" spans="15:15">
      <c r="O1402" s="7"/>
    </row>
    <row r="1403" spans="15:15">
      <c r="O1403" s="7"/>
    </row>
    <row r="1404" spans="15:15">
      <c r="O1404" s="7"/>
    </row>
    <row r="1405" spans="15:15">
      <c r="O1405" s="7"/>
    </row>
    <row r="1406" spans="15:15">
      <c r="O1406" s="7"/>
    </row>
    <row r="1407" spans="15:15">
      <c r="O1407" s="7"/>
    </row>
    <row r="1408" spans="15:15">
      <c r="O1408" s="7"/>
    </row>
    <row r="1409" spans="15:15">
      <c r="O1409" s="7"/>
    </row>
    <row r="1410" spans="15:15">
      <c r="O1410" s="7"/>
    </row>
    <row r="1411" spans="15:15">
      <c r="O1411" s="7"/>
    </row>
    <row r="1412" spans="15:15">
      <c r="O1412" s="7"/>
    </row>
    <row r="1413" spans="15:15">
      <c r="O1413" s="7"/>
    </row>
    <row r="1414" spans="15:15">
      <c r="O1414" s="7"/>
    </row>
    <row r="1415" spans="15:15">
      <c r="O1415" s="7"/>
    </row>
    <row r="1416" spans="15:15">
      <c r="O1416" s="7"/>
    </row>
    <row r="1417" spans="15:15">
      <c r="O1417" s="7"/>
    </row>
    <row r="1418" spans="15:15">
      <c r="O1418" s="7"/>
    </row>
    <row r="1419" spans="15:15">
      <c r="O1419" s="7"/>
    </row>
    <row r="1420" spans="15:15">
      <c r="O1420" s="7"/>
    </row>
    <row r="1421" spans="15:15">
      <c r="O1421" s="7"/>
    </row>
    <row r="1422" spans="15:15">
      <c r="O1422" s="7"/>
    </row>
    <row r="1423" spans="15:15">
      <c r="O1423" s="7"/>
    </row>
    <row r="1424" spans="15:15">
      <c r="O1424" s="7"/>
    </row>
    <row r="1425" spans="15:15">
      <c r="O1425" s="7"/>
    </row>
    <row r="1426" spans="15:15">
      <c r="O1426" s="7"/>
    </row>
    <row r="1427" spans="15:15">
      <c r="O1427" s="7"/>
    </row>
    <row r="1428" spans="15:15">
      <c r="O1428" s="7"/>
    </row>
    <row r="1429" spans="15:15">
      <c r="O1429" s="7"/>
    </row>
    <row r="1430" spans="15:15">
      <c r="O1430" s="7"/>
    </row>
    <row r="1431" spans="15:15">
      <c r="O1431" s="7"/>
    </row>
    <row r="1432" spans="15:15">
      <c r="O1432" s="7"/>
    </row>
    <row r="1433" spans="15:15">
      <c r="O1433" s="7"/>
    </row>
    <row r="1434" spans="15:15">
      <c r="O1434" s="7"/>
    </row>
    <row r="1435" spans="15:15">
      <c r="O1435" s="7"/>
    </row>
    <row r="1436" spans="15:15">
      <c r="O1436" s="7"/>
    </row>
    <row r="1437" spans="15:15">
      <c r="O1437" s="7"/>
    </row>
    <row r="1438" spans="15:15">
      <c r="O1438" s="7"/>
    </row>
    <row r="1439" spans="15:15">
      <c r="O1439" s="7"/>
    </row>
    <row r="1440" spans="15:15">
      <c r="O1440" s="7"/>
    </row>
    <row r="1441" spans="15:15">
      <c r="O1441" s="7"/>
    </row>
    <row r="1442" spans="15:15">
      <c r="O1442" s="7"/>
    </row>
    <row r="1443" spans="15:15">
      <c r="O1443" s="7"/>
    </row>
    <row r="1444" spans="15:15">
      <c r="O1444" s="7"/>
    </row>
    <row r="1445" spans="15:15">
      <c r="O1445" s="7"/>
    </row>
    <row r="1446" spans="15:15">
      <c r="O1446" s="7"/>
    </row>
    <row r="1447" spans="15:15">
      <c r="O1447" s="7"/>
    </row>
    <row r="1448" spans="15:15">
      <c r="O1448" s="7"/>
    </row>
    <row r="1449" spans="15:15">
      <c r="O1449" s="7"/>
    </row>
    <row r="1450" spans="15:15">
      <c r="O1450" s="7"/>
    </row>
    <row r="1451" spans="15:15">
      <c r="O1451" s="7"/>
    </row>
    <row r="1452" spans="15:15">
      <c r="O1452" s="7"/>
    </row>
    <row r="1453" spans="15:15">
      <c r="O1453" s="7"/>
    </row>
    <row r="1454" spans="15:15">
      <c r="O1454" s="7"/>
    </row>
    <row r="1455" spans="15:15">
      <c r="O1455" s="7"/>
    </row>
    <row r="1456" spans="15:15">
      <c r="O1456" s="7"/>
    </row>
    <row r="1457" spans="15:15">
      <c r="O1457" s="7"/>
    </row>
    <row r="1458" spans="15:15">
      <c r="O1458" s="7"/>
    </row>
    <row r="1459" spans="15:15">
      <c r="O1459" s="7"/>
    </row>
    <row r="1460" spans="15:15">
      <c r="O1460" s="7"/>
    </row>
    <row r="1461" spans="15:15">
      <c r="O1461" s="7"/>
    </row>
    <row r="1462" spans="15:15">
      <c r="O1462" s="7"/>
    </row>
    <row r="1463" spans="15:15">
      <c r="O1463" s="7"/>
    </row>
    <row r="1464" spans="15:15">
      <c r="O1464" s="7"/>
    </row>
    <row r="1465" spans="15:15">
      <c r="O1465" s="7"/>
    </row>
    <row r="1466" spans="15:15">
      <c r="O1466" s="7"/>
    </row>
    <row r="1467" spans="15:15">
      <c r="O1467" s="7"/>
    </row>
    <row r="1468" spans="15:15">
      <c r="O1468" s="7"/>
    </row>
    <row r="1469" spans="15:15">
      <c r="O1469" s="7"/>
    </row>
    <row r="1470" spans="15:15">
      <c r="O1470" s="7"/>
    </row>
    <row r="1471" spans="15:15">
      <c r="O1471" s="7"/>
    </row>
    <row r="1472" spans="15:15">
      <c r="O1472" s="7"/>
    </row>
    <row r="1473" spans="15:15">
      <c r="O1473" s="7"/>
    </row>
    <row r="1474" spans="15:15">
      <c r="O1474" s="7"/>
    </row>
    <row r="1475" spans="15:15">
      <c r="O1475" s="7"/>
    </row>
    <row r="1476" spans="15:15">
      <c r="O1476" s="7"/>
    </row>
    <row r="1477" spans="15:15">
      <c r="O1477" s="7"/>
    </row>
    <row r="1478" spans="15:15">
      <c r="O1478" s="7"/>
    </row>
    <row r="1479" spans="15:15">
      <c r="O1479" s="7"/>
    </row>
    <row r="1480" spans="15:15">
      <c r="O1480" s="7"/>
    </row>
    <row r="1481" spans="15:15">
      <c r="O1481" s="7"/>
    </row>
    <row r="1482" spans="15:15">
      <c r="O1482" s="7"/>
    </row>
    <row r="1483" spans="15:15">
      <c r="O1483" s="7"/>
    </row>
    <row r="1484" spans="15:15">
      <c r="O1484" s="7"/>
    </row>
    <row r="1485" spans="15:15">
      <c r="O1485" s="7"/>
    </row>
    <row r="1486" spans="15:15">
      <c r="O1486" s="7"/>
    </row>
    <row r="1487" spans="15:15">
      <c r="O1487" s="7"/>
    </row>
    <row r="1488" spans="15:15">
      <c r="O1488" s="7"/>
    </row>
    <row r="1489" spans="15:15">
      <c r="O1489" s="7"/>
    </row>
    <row r="1490" spans="15:15">
      <c r="O1490" s="7"/>
    </row>
    <row r="1491" spans="15:15">
      <c r="O1491" s="7"/>
    </row>
    <row r="1492" spans="15:15">
      <c r="O1492" s="7"/>
    </row>
    <row r="1493" spans="15:15">
      <c r="O1493" s="7"/>
    </row>
    <row r="1494" spans="15:15">
      <c r="O1494" s="7"/>
    </row>
    <row r="1495" spans="15:15">
      <c r="O1495" s="7"/>
    </row>
    <row r="1496" spans="15:15">
      <c r="O1496" s="7"/>
    </row>
    <row r="1497" spans="15:15">
      <c r="O1497" s="7"/>
    </row>
    <row r="1498" spans="15:15">
      <c r="O1498" s="7"/>
    </row>
    <row r="1499" spans="15:15">
      <c r="O1499" s="7"/>
    </row>
    <row r="1500" spans="15:15">
      <c r="O1500" s="7"/>
    </row>
    <row r="1501" spans="15:15">
      <c r="O1501" s="7"/>
    </row>
    <row r="1502" spans="15:15">
      <c r="O1502" s="7"/>
    </row>
    <row r="1503" spans="15:15">
      <c r="O1503" s="7"/>
    </row>
    <row r="1504" spans="15:15">
      <c r="O1504" s="7"/>
    </row>
    <row r="1505" spans="15:15">
      <c r="O1505" s="7"/>
    </row>
    <row r="1506" spans="15:15">
      <c r="O1506" s="7"/>
    </row>
    <row r="1507" spans="15:15">
      <c r="O1507" s="7"/>
    </row>
    <row r="1508" spans="15:15">
      <c r="O1508" s="7"/>
    </row>
    <row r="1509" spans="15:15">
      <c r="O1509" s="7"/>
    </row>
    <row r="1510" spans="15:15">
      <c r="O1510" s="7"/>
    </row>
    <row r="1511" spans="15:15">
      <c r="O1511" s="7"/>
    </row>
    <row r="1512" spans="15:15">
      <c r="O1512" s="7"/>
    </row>
    <row r="1513" spans="15:15">
      <c r="O1513" s="7"/>
    </row>
    <row r="1514" spans="15:15">
      <c r="O1514" s="7"/>
    </row>
    <row r="1515" spans="15:15">
      <c r="O1515" s="7"/>
    </row>
    <row r="1516" spans="15:15">
      <c r="O1516" s="7"/>
    </row>
    <row r="1517" spans="15:15">
      <c r="O1517" s="7"/>
    </row>
    <row r="1518" spans="15:15">
      <c r="O1518" s="7"/>
    </row>
    <row r="1519" spans="15:15">
      <c r="O1519" s="7"/>
    </row>
    <row r="1520" spans="15:15">
      <c r="O1520" s="7"/>
    </row>
    <row r="1521" spans="15:15">
      <c r="O1521" s="7"/>
    </row>
    <row r="1522" spans="15:15">
      <c r="O1522" s="7"/>
    </row>
    <row r="1523" spans="15:15">
      <c r="O1523" s="7"/>
    </row>
    <row r="1524" spans="15:15">
      <c r="O1524" s="7"/>
    </row>
    <row r="1525" spans="15:15">
      <c r="O1525" s="7"/>
    </row>
    <row r="1526" spans="15:15">
      <c r="O1526" s="7"/>
    </row>
    <row r="1527" spans="15:15">
      <c r="O1527" s="7"/>
    </row>
    <row r="1528" spans="15:15">
      <c r="O1528" s="7"/>
    </row>
    <row r="1529" spans="15:15">
      <c r="O1529" s="7"/>
    </row>
    <row r="1530" spans="15:15">
      <c r="O1530" s="7"/>
    </row>
    <row r="1531" spans="15:15">
      <c r="O1531" s="7"/>
    </row>
    <row r="1532" spans="15:15">
      <c r="O1532" s="7"/>
    </row>
    <row r="1533" spans="15:15">
      <c r="O1533" s="7"/>
    </row>
    <row r="1534" spans="15:15">
      <c r="O1534" s="7"/>
    </row>
    <row r="1535" spans="15:15">
      <c r="O1535" s="7"/>
    </row>
    <row r="1536" spans="15:15">
      <c r="O1536" s="7"/>
    </row>
    <row r="1537" spans="15:15">
      <c r="O1537" s="7"/>
    </row>
    <row r="1538" spans="15:15">
      <c r="O1538" s="7"/>
    </row>
    <row r="1539" spans="15:15">
      <c r="O1539" s="7"/>
    </row>
    <row r="1540" spans="15:15">
      <c r="O1540" s="7"/>
    </row>
    <row r="1541" spans="15:15">
      <c r="O1541" s="7"/>
    </row>
    <row r="1542" spans="15:15">
      <c r="O1542" s="7"/>
    </row>
    <row r="1543" spans="15:15">
      <c r="O1543" s="7"/>
    </row>
    <row r="1544" spans="15:15">
      <c r="O1544" s="7"/>
    </row>
    <row r="1545" spans="15:15">
      <c r="O1545" s="7"/>
    </row>
    <row r="1546" spans="15:15">
      <c r="O1546" s="7"/>
    </row>
    <row r="1547" spans="15:15">
      <c r="O1547" s="7"/>
    </row>
    <row r="1548" spans="15:15">
      <c r="O1548" s="7"/>
    </row>
    <row r="1549" spans="15:15">
      <c r="O1549" s="7"/>
    </row>
    <row r="1550" spans="15:15">
      <c r="O1550" s="7"/>
    </row>
    <row r="1551" spans="15:15">
      <c r="O1551" s="7"/>
    </row>
    <row r="1552" spans="15:15">
      <c r="O1552" s="7"/>
    </row>
    <row r="1553" spans="15:15">
      <c r="O1553" s="7"/>
    </row>
    <row r="1554" spans="15:15">
      <c r="O1554" s="7"/>
    </row>
    <row r="1555" spans="15:15">
      <c r="O1555" s="7"/>
    </row>
    <row r="1556" spans="15:15">
      <c r="O1556" s="7"/>
    </row>
    <row r="1557" spans="15:15">
      <c r="O1557" s="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80627-8530-42B0-A986-0DA3EA561F65}">
  <sheetPr filterMode="1">
    <tabColor rgb="FFFFC000"/>
  </sheetPr>
  <dimension ref="A1:O410"/>
  <sheetViews>
    <sheetView workbookViewId="0">
      <selection activeCell="E2" sqref="E2"/>
    </sheetView>
  </sheetViews>
  <sheetFormatPr defaultRowHeight="15"/>
  <cols>
    <col min="1" max="10" width="9.140625" style="7"/>
    <col min="11" max="12" width="11.5703125" style="7" bestFit="1" customWidth="1"/>
    <col min="13" max="13" width="11.5703125" customWidth="1"/>
    <col min="14" max="14" width="13.140625" style="7" customWidth="1"/>
    <col min="15" max="15" width="15.42578125" style="7" customWidth="1"/>
    <col min="16" max="16384" width="9.140625" style="7"/>
  </cols>
  <sheetData>
    <row r="1" spans="1:15" ht="84.75" customHeight="1">
      <c r="A1" s="26" t="s">
        <v>557</v>
      </c>
      <c r="B1" s="26" t="s">
        <v>1</v>
      </c>
      <c r="C1" s="26" t="s">
        <v>2</v>
      </c>
      <c r="D1" s="26" t="s">
        <v>728</v>
      </c>
      <c r="E1" s="26" t="s">
        <v>742</v>
      </c>
      <c r="F1" s="26" t="s">
        <v>743</v>
      </c>
      <c r="G1" s="26" t="s">
        <v>732</v>
      </c>
      <c r="H1" s="26" t="s">
        <v>724</v>
      </c>
      <c r="I1" s="26" t="s">
        <v>725</v>
      </c>
      <c r="J1" s="26" t="s">
        <v>729</v>
      </c>
      <c r="K1" s="26" t="s">
        <v>730</v>
      </c>
      <c r="L1" s="26" t="s">
        <v>740</v>
      </c>
      <c r="M1" s="26" t="s">
        <v>735</v>
      </c>
      <c r="N1" s="26" t="s">
        <v>741</v>
      </c>
      <c r="O1" s="26" t="s">
        <v>734</v>
      </c>
    </row>
    <row r="2" spans="1:15" ht="120">
      <c r="A2" s="7" t="str">
        <f>Derived_Indicators!A2</f>
        <v>Abuja Municipal Area Council</v>
      </c>
      <c r="B2" s="7" t="str">
        <f>Derived_Indicators!B2</f>
        <v>Gui Ward</v>
      </c>
      <c r="C2" s="7" t="str">
        <f>Derived_Indicators!C2</f>
        <v>063 Nigeria Air Force Base Hospital</v>
      </c>
      <c r="D2" s="7" t="str">
        <f>Derived_Indicators!Q2</f>
        <v>Valid</v>
      </c>
      <c r="E2" s="23">
        <f>Derived_Indicators!D2</f>
        <v>1</v>
      </c>
      <c r="F2" s="23">
        <f>Derived_Indicators!E2</f>
        <v>0.9375</v>
      </c>
      <c r="G2" s="23">
        <f>Derived_Indicators!K2</f>
        <v>0.92165898617511521</v>
      </c>
      <c r="H2" s="23">
        <f>Derived_Indicators!M2</f>
        <v>0.31182795698924731</v>
      </c>
      <c r="I2" s="23">
        <f>Derived_Indicators!N2</f>
        <v>0.13351254480286739</v>
      </c>
      <c r="J2" s="23">
        <f>IF($D2&lt;&gt;"Valid","",AVERAGE(E2:F2))</f>
        <v>0.96875</v>
      </c>
      <c r="K2" s="23">
        <f>IF($D2&lt;&gt;"Valid","",AVERAGE(G2:I2))</f>
        <v>0.4556664959890766</v>
      </c>
      <c r="L2" s="23">
        <f>IF($D2&lt;&gt;"Valid","",AVERAGE(J2,K2))</f>
        <v>0.7122082479945383</v>
      </c>
      <c r="M2" s="21" t="e">
        <f>IF(AND($D2="Valid",ISNUMBER(L2)),RANK(L2,$L$2:$L$500,0),"")</f>
        <v>#REF!</v>
      </c>
      <c r="N2" s="7" t="str">
        <f>IF(L2="",
"Not Assessed",
IF(L2&gt;=0.85,"Excellent",
IF(L2&gt;=0.7,"Good",
IF(L2&gt;=0.55,"Moderate",
IF(L2&gt;=0.4,"Low",
"Very Low")))))</f>
        <v>Good</v>
      </c>
      <c r="O2" s="7" t="str">
        <f>IF($D2&lt;&gt;"Valid",
"Failed data validation; excluded from HFSI and requires contextual review in the Health Facility Selection Framework (HFSF).",
"Eligible for contextual assessment using the Health Facility Selection Framework (HFSF).")</f>
        <v>Eligible for contextual assessment using the Health Facility Selection Framework (HFSF).</v>
      </c>
    </row>
    <row r="3" spans="1:15" ht="165">
      <c r="A3" s="7" t="str">
        <f>Derived_Indicators!A3</f>
        <v>Abuja Municipal Area Council</v>
      </c>
      <c r="B3" s="7" t="str">
        <f>Derived_Indicators!B3</f>
        <v>City Centre Ward</v>
      </c>
      <c r="C3" s="7" t="str">
        <f>Derived_Indicators!C3</f>
        <v>7 Guards Battalion Medical Reception Station Abuja</v>
      </c>
      <c r="D3" s="7" t="str">
        <f>Derived_Indicators!Q3</f>
        <v>Invalid</v>
      </c>
      <c r="E3" s="23">
        <f>Derived_Indicators!D3</f>
        <v>0.97499999999999998</v>
      </c>
      <c r="F3" s="23">
        <f>Derived_Indicators!E3</f>
        <v>1</v>
      </c>
      <c r="G3" s="23">
        <f>Derived_Indicators!K3</f>
        <v>1.1714285714285715</v>
      </c>
      <c r="H3" s="23">
        <f>Derived_Indicators!M3</f>
        <v>0.4017857142857143</v>
      </c>
      <c r="I3" s="23">
        <f>Derived_Indicators!N3</f>
        <v>6.25E-2</v>
      </c>
      <c r="J3" s="23" t="str">
        <f t="shared" ref="J3:J12" si="0">IF($D3&lt;&gt;"Valid","",AVERAGE(E3:F3))</f>
        <v/>
      </c>
      <c r="K3" s="23" t="str">
        <f t="shared" ref="K3:K12" si="1">IF($D3&lt;&gt;"Valid","",AVERAGE(G3:I3))</f>
        <v/>
      </c>
      <c r="L3" s="23" t="str">
        <f t="shared" ref="L3:L12" si="2">IF($D3&lt;&gt;"Valid","",AVERAGE(J3,K3))</f>
        <v/>
      </c>
      <c r="M3" s="21" t="str">
        <f t="shared" ref="M3:M12" si="3">IF(AND($D3="Valid",ISNUMBER(L3)),RANK(L3,$L$2:$L$500,0),"")</f>
        <v/>
      </c>
      <c r="N3" s="7" t="str">
        <f t="shared" ref="N3:N12" si="4">IF(L3="",
"Not Assessed",
IF(L3&gt;=0.85,"Excellent",
IF(L3&gt;=0.7,"Good",
IF(L3&gt;=0.55,"Moderate",
IF(L3&gt;=0.4,"Low",
"Very Low")))))</f>
        <v>Not Assessed</v>
      </c>
      <c r="O3" s="7" t="str">
        <f t="shared" ref="O3:O12" si="5">IF($D3&lt;&gt;"Valid",
"Failed data validation; excluded from HFSI and requires contextual review in the Health Facility Selection Framework (HFSF).",
"Eligible for contextual assessment using the Health Facility Selection Framework (HFSF).")</f>
        <v>Failed data validation; excluded from HFSI and requires contextual review in the Health Facility Selection Framework (HFSF).</v>
      </c>
    </row>
    <row r="4" spans="1:15" ht="120">
      <c r="A4" s="7" t="str">
        <f>Derived_Indicators!A4</f>
        <v>Abaji Local Government Area</v>
      </c>
      <c r="B4" s="7" t="str">
        <f>Derived_Indicators!B4</f>
        <v>Central (Abaji) Ward</v>
      </c>
      <c r="C4" s="7" t="str">
        <f>Derived_Indicators!C4</f>
        <v>Abaji New Township Primary Health Center</v>
      </c>
      <c r="D4" s="7" t="str">
        <f>Derived_Indicators!Q4</f>
        <v>Valid</v>
      </c>
      <c r="E4" s="23">
        <f>Derived_Indicators!D4</f>
        <v>1.2272727272727273</v>
      </c>
      <c r="F4" s="23">
        <f>Derived_Indicators!E4</f>
        <v>1.25</v>
      </c>
      <c r="G4" s="23">
        <f>Derived_Indicators!K4</f>
        <v>0.96296296296296291</v>
      </c>
      <c r="H4" s="23">
        <f>Derived_Indicators!M4</f>
        <v>0.56213017751479288</v>
      </c>
      <c r="I4" s="23">
        <f>Derived_Indicators!N4</f>
        <v>5.9171597633136093E-3</v>
      </c>
      <c r="J4" s="23">
        <f t="shared" si="0"/>
        <v>1.2386363636363638</v>
      </c>
      <c r="K4" s="23">
        <f t="shared" si="1"/>
        <v>0.51033676674702311</v>
      </c>
      <c r="L4" s="23">
        <f t="shared" si="2"/>
        <v>0.87448656519169343</v>
      </c>
      <c r="M4" s="21" t="e">
        <f t="shared" si="3"/>
        <v>#REF!</v>
      </c>
      <c r="N4" s="7" t="str">
        <f t="shared" si="4"/>
        <v>Excellent</v>
      </c>
      <c r="O4" s="7" t="str">
        <f t="shared" si="5"/>
        <v>Eligible for contextual assessment using the Health Facility Selection Framework (HFSF).</v>
      </c>
    </row>
    <row r="5" spans="1:15" ht="165">
      <c r="A5" s="7" t="str">
        <f>Derived_Indicators!A5</f>
        <v>Abaji Local Government Area</v>
      </c>
      <c r="B5" s="7" t="str">
        <f>Derived_Indicators!B5</f>
        <v>Central (Abaji) Ward</v>
      </c>
      <c r="C5" s="7" t="str">
        <f>Derived_Indicators!C5</f>
        <v>Abaji Central Primary Health Clinic</v>
      </c>
      <c r="D5" s="7" t="str">
        <f>Derived_Indicators!Q5</f>
        <v>Incomplete</v>
      </c>
      <c r="E5" s="23">
        <f>Derived_Indicators!D5</f>
        <v>0.94545454545454544</v>
      </c>
      <c r="F5" s="23" t="str">
        <f>Derived_Indicators!E5</f>
        <v/>
      </c>
      <c r="G5" s="23">
        <f>Derived_Indicators!K5</f>
        <v>1.1066666666666667</v>
      </c>
      <c r="H5" s="23">
        <f>Derived_Indicators!M5</f>
        <v>3.5087719298245612E-2</v>
      </c>
      <c r="I5" s="23" t="str">
        <f>Derived_Indicators!N5</f>
        <v/>
      </c>
      <c r="J5" s="23" t="str">
        <f t="shared" si="0"/>
        <v/>
      </c>
      <c r="K5" s="23" t="str">
        <f t="shared" si="1"/>
        <v/>
      </c>
      <c r="L5" s="23" t="str">
        <f t="shared" si="2"/>
        <v/>
      </c>
      <c r="M5" s="21" t="str">
        <f t="shared" si="3"/>
        <v/>
      </c>
      <c r="N5" s="7" t="str">
        <f t="shared" si="4"/>
        <v>Not Assessed</v>
      </c>
      <c r="O5" s="7" t="str">
        <f t="shared" si="5"/>
        <v>Failed data validation; excluded from HFSI and requires contextual review in the Health Facility Selection Framework (HFSF).</v>
      </c>
    </row>
    <row r="6" spans="1:15" ht="120">
      <c r="A6" s="7" t="str">
        <f>Derived_Indicators!A6</f>
        <v>Abaji Local Government Area</v>
      </c>
      <c r="B6" s="7" t="str">
        <f>Derived_Indicators!B6</f>
        <v>North East Ward</v>
      </c>
      <c r="C6" s="7" t="str">
        <f>Derived_Indicators!C6</f>
        <v>Abaji General Hospital</v>
      </c>
      <c r="D6" s="7" t="str">
        <f>Derived_Indicators!Q6</f>
        <v>Valid</v>
      </c>
      <c r="E6" s="23">
        <f>Derived_Indicators!D6</f>
        <v>0.97333999999999998</v>
      </c>
      <c r="F6" s="23">
        <f>Derived_Indicators!E6</f>
        <v>0.33329999999999999</v>
      </c>
      <c r="G6" s="23">
        <f>Derived_Indicators!K6</f>
        <v>0.90464547677261609</v>
      </c>
      <c r="H6" s="23">
        <f>Derived_Indicators!M6</f>
        <v>0.58451612903225802</v>
      </c>
      <c r="I6" s="23">
        <f>Derived_Indicators!N6</f>
        <v>0.17032258064516129</v>
      </c>
      <c r="J6" s="23">
        <f t="shared" si="0"/>
        <v>0.65332000000000001</v>
      </c>
      <c r="K6" s="23">
        <f t="shared" si="1"/>
        <v>0.55316139548334509</v>
      </c>
      <c r="L6" s="23">
        <f t="shared" si="2"/>
        <v>0.60324069774167255</v>
      </c>
      <c r="M6" s="21" t="e">
        <f t="shared" si="3"/>
        <v>#REF!</v>
      </c>
      <c r="N6" s="7" t="str">
        <f t="shared" si="4"/>
        <v>Moderate</v>
      </c>
      <c r="O6" s="7" t="str">
        <f t="shared" si="5"/>
        <v>Eligible for contextual assessment using the Health Facility Selection Framework (HFSF).</v>
      </c>
    </row>
    <row r="7" spans="1:15" ht="165">
      <c r="A7" s="7" t="str">
        <f>Derived_Indicators!A7</f>
        <v>Abaji Local Government Area</v>
      </c>
      <c r="B7" s="7" t="str">
        <f>Derived_Indicators!B7</f>
        <v>North East Ward</v>
      </c>
      <c r="C7" s="7" t="str">
        <f>Derived_Indicators!C7</f>
        <v>Abaji Maternal And Child Health Clinic</v>
      </c>
      <c r="D7" s="7" t="str">
        <f>Derived_Indicators!Q7</f>
        <v>Invalid</v>
      </c>
      <c r="E7" s="23">
        <f>Derived_Indicators!D7</f>
        <v>0.92272727272727262</v>
      </c>
      <c r="F7" s="23" t="str">
        <f>Derived_Indicators!E7</f>
        <v/>
      </c>
      <c r="G7" s="23">
        <f>Derived_Indicators!K7</f>
        <v>1.0621118012422359</v>
      </c>
      <c r="H7" s="23">
        <f>Derived_Indicators!M7</f>
        <v>0.14285714285714285</v>
      </c>
      <c r="I7" s="23">
        <f>Derived_Indicators!N7</f>
        <v>0.32142857142857145</v>
      </c>
      <c r="J7" s="23" t="str">
        <f t="shared" si="0"/>
        <v/>
      </c>
      <c r="K7" s="23" t="str">
        <f t="shared" si="1"/>
        <v/>
      </c>
      <c r="L7" s="23" t="str">
        <f t="shared" si="2"/>
        <v/>
      </c>
      <c r="M7" s="21" t="str">
        <f t="shared" si="3"/>
        <v/>
      </c>
      <c r="N7" s="7" t="str">
        <f t="shared" si="4"/>
        <v>Not Assessed</v>
      </c>
      <c r="O7" s="7" t="str">
        <f t="shared" si="5"/>
        <v>Failed data validation; excluded from HFSI and requires contextual review in the Health Facility Selection Framework (HFSF).</v>
      </c>
    </row>
    <row r="8" spans="1:15" ht="120">
      <c r="A8" s="7" t="str">
        <f>Derived_Indicators!A8</f>
        <v>Abaji Local Government Area</v>
      </c>
      <c r="B8" s="7" t="str">
        <f>Derived_Indicators!B8</f>
        <v>Nuku Sabon Gari Ward</v>
      </c>
      <c r="C8" s="7" t="str">
        <f>Derived_Indicators!C8</f>
        <v>Abattior Primary Health Clinic</v>
      </c>
      <c r="D8" s="7" t="str">
        <f>Derived_Indicators!Q8</f>
        <v>Valid</v>
      </c>
      <c r="E8" s="23">
        <f>Derived_Indicators!D8</f>
        <v>0.97727272727272729</v>
      </c>
      <c r="F8" s="23">
        <f>Derived_Indicators!E8</f>
        <v>0.83333333333333326</v>
      </c>
      <c r="G8" s="23">
        <f>Derived_Indicators!K8</f>
        <v>0.83574879227053145</v>
      </c>
      <c r="H8" s="23">
        <f>Derived_Indicators!M8</f>
        <v>0.19834710743801653</v>
      </c>
      <c r="I8" s="23">
        <f>Derived_Indicators!N8</f>
        <v>2.4793388429752067E-2</v>
      </c>
      <c r="J8" s="23">
        <f t="shared" si="0"/>
        <v>0.90530303030303028</v>
      </c>
      <c r="K8" s="23">
        <f t="shared" si="1"/>
        <v>0.35296309604609993</v>
      </c>
      <c r="L8" s="23">
        <f t="shared" si="2"/>
        <v>0.62913306317456508</v>
      </c>
      <c r="M8" s="21" t="e">
        <f t="shared" si="3"/>
        <v>#REF!</v>
      </c>
      <c r="N8" s="7" t="str">
        <f t="shared" si="4"/>
        <v>Moderate</v>
      </c>
      <c r="O8" s="7" t="str">
        <f t="shared" si="5"/>
        <v>Eligible for contextual assessment using the Health Facility Selection Framework (HFSF).</v>
      </c>
    </row>
    <row r="9" spans="1:15" ht="165">
      <c r="A9" s="7" t="str">
        <f>Derived_Indicators!A9</f>
        <v>Kwali Local Government Area</v>
      </c>
      <c r="B9" s="7" t="str">
        <f>Derived_Indicators!B9</f>
        <v>Kwali Ward</v>
      </c>
      <c r="C9" s="7" t="str">
        <f>Derived_Indicators!C9</f>
        <v>Abu Fatima Maternity Clinic</v>
      </c>
      <c r="D9" s="7" t="str">
        <f>Derived_Indicators!Q9</f>
        <v>No Data</v>
      </c>
      <c r="E9" s="23" t="str">
        <f>Derived_Indicators!D9</f>
        <v/>
      </c>
      <c r="F9" s="23" t="str">
        <f>Derived_Indicators!E9</f>
        <v/>
      </c>
      <c r="G9" s="23" t="str">
        <f>Derived_Indicators!K9</f>
        <v/>
      </c>
      <c r="H9" s="23">
        <f>Derived_Indicators!M9</f>
        <v>1.0816326530612246</v>
      </c>
      <c r="I9" s="23">
        <f>Derived_Indicators!N9</f>
        <v>1.0612244897959184</v>
      </c>
      <c r="J9" s="23" t="str">
        <f t="shared" si="0"/>
        <v/>
      </c>
      <c r="K9" s="23" t="str">
        <f t="shared" si="1"/>
        <v/>
      </c>
      <c r="L9" s="23" t="str">
        <f t="shared" si="2"/>
        <v/>
      </c>
      <c r="M9" s="21" t="str">
        <f t="shared" si="3"/>
        <v/>
      </c>
      <c r="N9" s="7" t="str">
        <f t="shared" si="4"/>
        <v>Not Assessed</v>
      </c>
      <c r="O9" s="7" t="str">
        <f t="shared" si="5"/>
        <v>Failed data validation; excluded from HFSI and requires contextual review in the Health Facility Selection Framework (HFSF).</v>
      </c>
    </row>
    <row r="10" spans="1:15" ht="165">
      <c r="A10" s="7" t="str">
        <f>Derived_Indicators!A10</f>
        <v>Abuja Municipal Area Council</v>
      </c>
      <c r="B10" s="7" t="str">
        <f>Derived_Indicators!B10</f>
        <v>Garki Ward</v>
      </c>
      <c r="C10" s="7" t="str">
        <f>Derived_Indicators!C10</f>
        <v>Abuja Clinic</v>
      </c>
      <c r="D10" s="7" t="str">
        <f>Derived_Indicators!Q10</f>
        <v>Invalid</v>
      </c>
      <c r="E10" s="23" t="str">
        <f>Derived_Indicators!D10</f>
        <v/>
      </c>
      <c r="F10" s="23" t="str">
        <f>Derived_Indicators!E10</f>
        <v/>
      </c>
      <c r="G10" s="23">
        <f>Derived_Indicators!K10</f>
        <v>0.5</v>
      </c>
      <c r="H10" s="23">
        <f>Derived_Indicators!M10</f>
        <v>0.2</v>
      </c>
      <c r="I10" s="23">
        <f>Derived_Indicators!N10</f>
        <v>0.6</v>
      </c>
      <c r="J10" s="23" t="str">
        <f t="shared" si="0"/>
        <v/>
      </c>
      <c r="K10" s="23" t="str">
        <f t="shared" si="1"/>
        <v/>
      </c>
      <c r="L10" s="23" t="str">
        <f t="shared" si="2"/>
        <v/>
      </c>
      <c r="M10" s="21" t="str">
        <f t="shared" si="3"/>
        <v/>
      </c>
      <c r="N10" s="7" t="str">
        <f t="shared" si="4"/>
        <v>Not Assessed</v>
      </c>
      <c r="O10" s="7" t="str">
        <f t="shared" si="5"/>
        <v>Failed data validation; excluded from HFSI and requires contextual review in the Health Facility Selection Framework (HFSF).</v>
      </c>
    </row>
    <row r="11" spans="1:15" ht="165">
      <c r="A11" s="7" t="str">
        <f>Derived_Indicators!A11</f>
        <v>Abuja Municipal Area Council</v>
      </c>
      <c r="B11" s="7" t="str">
        <f>Derived_Indicators!B11</f>
        <v>Wuse Ward</v>
      </c>
      <c r="C11" s="7" t="str">
        <f>Derived_Indicators!C11</f>
        <v>Abuja Clinics, Maitama</v>
      </c>
      <c r="D11" s="7" t="str">
        <f>Derived_Indicators!Q11</f>
        <v>Invalid</v>
      </c>
      <c r="E11" s="23">
        <f>Derived_Indicators!D11</f>
        <v>1</v>
      </c>
      <c r="F11" s="23" t="str">
        <f>Derived_Indicators!E11</f>
        <v/>
      </c>
      <c r="G11" s="23">
        <f>Derived_Indicators!K11</f>
        <v>1.0933333333333333</v>
      </c>
      <c r="H11" s="23">
        <f>Derived_Indicators!M11</f>
        <v>1.3818181818181818</v>
      </c>
      <c r="I11" s="23">
        <f>Derived_Indicators!N11</f>
        <v>0.4</v>
      </c>
      <c r="J11" s="23" t="str">
        <f t="shared" si="0"/>
        <v/>
      </c>
      <c r="K11" s="23" t="str">
        <f t="shared" si="1"/>
        <v/>
      </c>
      <c r="L11" s="23" t="str">
        <f t="shared" si="2"/>
        <v/>
      </c>
      <c r="M11" s="21" t="str">
        <f t="shared" si="3"/>
        <v/>
      </c>
      <c r="N11" s="7" t="str">
        <f t="shared" si="4"/>
        <v>Not Assessed</v>
      </c>
      <c r="O11" s="7" t="str">
        <f t="shared" si="5"/>
        <v>Failed data validation; excluded from HFSI and requires contextual review in the Health Facility Selection Framework (HFSF).</v>
      </c>
    </row>
    <row r="12" spans="1:15" ht="42" customHeight="1">
      <c r="A12" s="7" t="str">
        <f>Derived_Indicators!A12</f>
        <v>Abuja Municipal Area Council</v>
      </c>
      <c r="B12" s="7" t="str">
        <f>Derived_Indicators!B12</f>
        <v>City Centre Ward</v>
      </c>
      <c r="C12" s="7" t="str">
        <f>Derived_Indicators!C12</f>
        <v>Abuja Police Hospital</v>
      </c>
      <c r="D12" s="7" t="str">
        <f>Derived_Indicators!Q12</f>
        <v>Invalid</v>
      </c>
      <c r="E12" s="23">
        <f>Derived_Indicators!D12</f>
        <v>0.5</v>
      </c>
      <c r="F12" s="23" t="str">
        <f>Derived_Indicators!E12</f>
        <v/>
      </c>
      <c r="G12" s="23">
        <f>Derived_Indicators!K12</f>
        <v>0.8214285714285714</v>
      </c>
      <c r="H12" s="23">
        <f>Derived_Indicators!M12</f>
        <v>1.9</v>
      </c>
      <c r="I12" s="23">
        <f>Derived_Indicators!N12</f>
        <v>7.6</v>
      </c>
      <c r="J12" s="23" t="str">
        <f t="shared" si="0"/>
        <v/>
      </c>
      <c r="K12" s="23" t="str">
        <f t="shared" si="1"/>
        <v/>
      </c>
      <c r="L12" s="23" t="str">
        <f t="shared" si="2"/>
        <v/>
      </c>
      <c r="M12" s="21" t="str">
        <f t="shared" si="3"/>
        <v/>
      </c>
      <c r="N12" s="7" t="str">
        <f t="shared" si="4"/>
        <v>Not Assessed</v>
      </c>
      <c r="O12" s="7" t="str">
        <f t="shared" si="5"/>
        <v>Failed data validation; excluded from HFSI and requires contextual review in the Health Facility Selection Framework (HFSF).</v>
      </c>
    </row>
    <row r="13" spans="1:15" hidden="1">
      <c r="A13" s="7" t="e">
        <f>#REF!</f>
        <v>#REF!</v>
      </c>
      <c r="B13" s="7" t="e">
        <f>#REF!</f>
        <v>#REF!</v>
      </c>
      <c r="C13" s="7" t="e">
        <f>#REF!</f>
        <v>#REF!</v>
      </c>
      <c r="D13" s="7" t="e">
        <f>#REF!</f>
        <v>#REF!</v>
      </c>
      <c r="E13" s="7" t="e">
        <f>#REF!</f>
        <v>#REF!</v>
      </c>
      <c r="F13" s="7" t="e">
        <f>#REF!</f>
        <v>#REF!</v>
      </c>
      <c r="G13" s="7" t="e">
        <f>#REF!</f>
        <v>#REF!</v>
      </c>
      <c r="H13" s="7" t="e">
        <f>#REF!</f>
        <v>#REF!</v>
      </c>
      <c r="I13" s="7" t="e">
        <f>#REF!</f>
        <v>#REF!</v>
      </c>
      <c r="J13" s="7" t="e">
        <f t="shared" ref="J13:J18" si="6">IF(D13&lt;&gt;"Valid","",SUM(E13:F13))</f>
        <v>#REF!</v>
      </c>
      <c r="K13" s="7" t="e">
        <f t="shared" ref="K13:K18" si="7">IF(D13&lt;&gt;"Valid","",SUM(G13:I13))</f>
        <v>#REF!</v>
      </c>
      <c r="L13" s="7" t="e">
        <f>IF(D13&lt;&gt;"Valid","",#REF!*0.4+#REF!*0.6)</f>
        <v>#REF!</v>
      </c>
      <c r="M13" s="7"/>
      <c r="N13" s="7" t="e">
        <f>IF(D13&lt;&gt;"Valid","Not Assessed (Insufficient Valid Data)",LOOKUP(L13,tblPerformanceCategory[Min],tblPerformanceCategory[Performance Category]))</f>
        <v>#REF!</v>
      </c>
      <c r="O13" s="7" t="e">
        <f>IF(D13="Valid","Yes","No")</f>
        <v>#REF!</v>
      </c>
    </row>
    <row r="14" spans="1:15" hidden="1">
      <c r="A14" s="7" t="e">
        <f>#REF!</f>
        <v>#REF!</v>
      </c>
      <c r="B14" s="7" t="e">
        <f>#REF!</f>
        <v>#REF!</v>
      </c>
      <c r="C14" s="7" t="e">
        <f>#REF!</f>
        <v>#REF!</v>
      </c>
      <c r="D14" s="7" t="e">
        <f>#REF!</f>
        <v>#REF!</v>
      </c>
      <c r="E14" s="7" t="e">
        <f>#REF!</f>
        <v>#REF!</v>
      </c>
      <c r="F14" s="7" t="e">
        <f>#REF!</f>
        <v>#REF!</v>
      </c>
      <c r="G14" s="7" t="e">
        <f>#REF!</f>
        <v>#REF!</v>
      </c>
      <c r="H14" s="7" t="e">
        <f>#REF!</f>
        <v>#REF!</v>
      </c>
      <c r="I14" s="7" t="e">
        <f>#REF!</f>
        <v>#REF!</v>
      </c>
      <c r="J14" s="7" t="e">
        <f t="shared" si="6"/>
        <v>#REF!</v>
      </c>
      <c r="K14" s="7" t="e">
        <f t="shared" si="7"/>
        <v>#REF!</v>
      </c>
      <c r="L14" s="7" t="e">
        <f>IF(D14&lt;&gt;"Valid","",#REF!*0.4+#REF!*0.6)</f>
        <v>#REF!</v>
      </c>
      <c r="M14" s="7"/>
      <c r="N14" s="7" t="e">
        <f>IF(D14&lt;&gt;"Valid","Not Assessed (Insufficient Valid Data)",LOOKUP(L14,tblPerformanceCategory[Min],tblPerformanceCategory[Performance Category]))</f>
        <v>#REF!</v>
      </c>
      <c r="O14" s="7" t="e">
        <f>IF(D14="Valid","Yes","No")</f>
        <v>#REF!</v>
      </c>
    </row>
    <row r="15" spans="1:15" hidden="1">
      <c r="A15" s="7" t="e">
        <f>#REF!</f>
        <v>#REF!</v>
      </c>
      <c r="B15" s="7" t="e">
        <f>#REF!</f>
        <v>#REF!</v>
      </c>
      <c r="C15" s="7" t="e">
        <f>#REF!</f>
        <v>#REF!</v>
      </c>
      <c r="D15" s="7" t="e">
        <f>#REF!</f>
        <v>#REF!</v>
      </c>
      <c r="E15" s="7" t="e">
        <f>#REF!</f>
        <v>#REF!</v>
      </c>
      <c r="F15" s="7" t="e">
        <f>#REF!</f>
        <v>#REF!</v>
      </c>
      <c r="G15" s="7" t="e">
        <f>#REF!</f>
        <v>#REF!</v>
      </c>
      <c r="H15" s="7" t="e">
        <f>#REF!</f>
        <v>#REF!</v>
      </c>
      <c r="I15" s="7" t="e">
        <f>#REF!</f>
        <v>#REF!</v>
      </c>
      <c r="J15" s="7" t="e">
        <f t="shared" si="6"/>
        <v>#REF!</v>
      </c>
      <c r="K15" s="7" t="e">
        <f t="shared" si="7"/>
        <v>#REF!</v>
      </c>
      <c r="L15" s="7" t="e">
        <f>IF(D15&lt;&gt;"Valid","",#REF!*0.4+#REF!*0.6)</f>
        <v>#REF!</v>
      </c>
      <c r="M15" s="7"/>
      <c r="N15" s="7" t="e">
        <f>IF(D15&lt;&gt;"Valid","Not Assessed (Insufficient Valid Data)",LOOKUP(L15,tblPerformanceCategory[Min],tblPerformanceCategory[Performance Category]))</f>
        <v>#REF!</v>
      </c>
      <c r="O15" s="7" t="e">
        <f>IF(D15="Valid","Yes","No")</f>
        <v>#REF!</v>
      </c>
    </row>
    <row r="16" spans="1:15" hidden="1">
      <c r="A16" s="7" t="e">
        <f>#REF!</f>
        <v>#REF!</v>
      </c>
      <c r="B16" s="7" t="e">
        <f>#REF!</f>
        <v>#REF!</v>
      </c>
      <c r="C16" s="7" t="e">
        <f>#REF!</f>
        <v>#REF!</v>
      </c>
      <c r="D16" s="7" t="e">
        <f>#REF!</f>
        <v>#REF!</v>
      </c>
      <c r="E16" s="7" t="e">
        <f>#REF!</f>
        <v>#REF!</v>
      </c>
      <c r="F16" s="7" t="e">
        <f>#REF!</f>
        <v>#REF!</v>
      </c>
      <c r="G16" s="7" t="e">
        <f>#REF!</f>
        <v>#REF!</v>
      </c>
      <c r="H16" s="7" t="e">
        <f>#REF!</f>
        <v>#REF!</v>
      </c>
      <c r="I16" s="7" t="e">
        <f>#REF!</f>
        <v>#REF!</v>
      </c>
      <c r="J16" s="7" t="e">
        <f t="shared" si="6"/>
        <v>#REF!</v>
      </c>
      <c r="K16" s="7" t="e">
        <f t="shared" si="7"/>
        <v>#REF!</v>
      </c>
      <c r="L16" s="7" t="e">
        <f>IF(D16&lt;&gt;"Valid","",#REF!*0.4+#REF!*0.6)</f>
        <v>#REF!</v>
      </c>
      <c r="M16" s="7"/>
      <c r="N16" s="7" t="e">
        <f>IF(D16&lt;&gt;"Valid","Not Assessed (Insufficient Valid Data)",LOOKUP(L16,tblPerformanceCategory[Min],tblPerformanceCategory[Performance Category]))</f>
        <v>#REF!</v>
      </c>
      <c r="O16" s="7" t="e">
        <f>IF(D16="Valid","Yes","No")</f>
        <v>#REF!</v>
      </c>
    </row>
    <row r="17" spans="1:15" hidden="1">
      <c r="A17" s="7" t="e">
        <f>#REF!</f>
        <v>#REF!</v>
      </c>
      <c r="B17" s="7" t="e">
        <f>#REF!</f>
        <v>#REF!</v>
      </c>
      <c r="C17" s="7" t="e">
        <f>#REF!</f>
        <v>#REF!</v>
      </c>
      <c r="D17" s="7" t="e">
        <f>#REF!</f>
        <v>#REF!</v>
      </c>
      <c r="E17" s="7" t="e">
        <f>#REF!</f>
        <v>#REF!</v>
      </c>
      <c r="F17" s="7" t="e">
        <f>#REF!</f>
        <v>#REF!</v>
      </c>
      <c r="G17" s="7" t="e">
        <f>#REF!</f>
        <v>#REF!</v>
      </c>
      <c r="H17" s="7" t="e">
        <f>#REF!</f>
        <v>#REF!</v>
      </c>
      <c r="I17" s="7" t="e">
        <f>#REF!</f>
        <v>#REF!</v>
      </c>
      <c r="J17" s="7" t="e">
        <f t="shared" si="6"/>
        <v>#REF!</v>
      </c>
      <c r="K17" s="7" t="e">
        <f t="shared" si="7"/>
        <v>#REF!</v>
      </c>
      <c r="L17" s="7" t="e">
        <f>IF(D17&lt;&gt;"Valid","",#REF!*0.4+#REF!*0.6)</f>
        <v>#REF!</v>
      </c>
      <c r="M17" s="7"/>
      <c r="N17" s="7" t="e">
        <f>IF(D17&lt;&gt;"Valid","Not Assessed (Insufficient Valid Data)",LOOKUP(L17,tblPerformanceCategory[Min],tblPerformanceCategory[Performance Category]))</f>
        <v>#REF!</v>
      </c>
      <c r="O17" s="7" t="e">
        <f>IF(D17="Valid","Yes","No")</f>
        <v>#REF!</v>
      </c>
    </row>
    <row r="18" spans="1:15" ht="42" hidden="1" customHeight="1">
      <c r="A18" s="7" t="e">
        <f>#REF!</f>
        <v>#REF!</v>
      </c>
      <c r="B18" s="7" t="e">
        <f>#REF!</f>
        <v>#REF!</v>
      </c>
      <c r="C18" s="7" t="e">
        <f>#REF!</f>
        <v>#REF!</v>
      </c>
      <c r="D18" s="7" t="e">
        <f>#REF!</f>
        <v>#REF!</v>
      </c>
      <c r="E18" s="7" t="e">
        <f>#REF!</f>
        <v>#REF!</v>
      </c>
      <c r="F18" s="7" t="e">
        <f>#REF!</f>
        <v>#REF!</v>
      </c>
      <c r="G18" s="7" t="e">
        <f>#REF!</f>
        <v>#REF!</v>
      </c>
      <c r="H18" s="7" t="e">
        <f>#REF!</f>
        <v>#REF!</v>
      </c>
      <c r="I18" s="7" t="e">
        <f>#REF!</f>
        <v>#REF!</v>
      </c>
      <c r="J18" s="7" t="e">
        <f t="shared" si="6"/>
        <v>#REF!</v>
      </c>
      <c r="K18" s="7" t="e">
        <f t="shared" si="7"/>
        <v>#REF!</v>
      </c>
      <c r="L18" s="7" t="e">
        <f>IF($D18&lt;&gt;"Valid",0,IFERROR(AVERAGE(#REF!,#REF!),0))</f>
        <v>#REF!</v>
      </c>
      <c r="M18" s="21" t="str">
        <f>IF(ISNUMBER(L18),_xlfn.RANK.EQ(L18,$L$2:$L$500,0),"")</f>
        <v/>
      </c>
      <c r="N18" s="7" t="e">
        <f>IF(L18=0,
"Not Assessed",
IF(L18&gt;=0.85,"Very High Performance",
IF(L18&gt;=0.7,"High Performance",
IF(L18&gt;=0.55,"Moderate Performance",
IF(L18&gt;=0.4,"Low Performance",
"Very Low Performance")))))</f>
        <v>#REF!</v>
      </c>
      <c r="O18" s="7" t="e">
        <f>IF($L18=0,
"Failed minimum data validation; requires contextual review in FSF.",
"Ready for contextual review in FSF.")</f>
        <v>#REF!</v>
      </c>
    </row>
    <row r="19" spans="1:15" ht="42" customHeight="1">
      <c r="A19" s="7" t="str">
        <f>Derived_Indicators!A19</f>
        <v>Abuja Municipal Area Council</v>
      </c>
      <c r="B19" s="7" t="str">
        <f>Derived_Indicators!B19</f>
        <v>Kabusa Ward</v>
      </c>
      <c r="C19" s="7" t="str">
        <f>Derived_Indicators!C19</f>
        <v>Aleiyita Primary Health Care Centre</v>
      </c>
      <c r="D19" s="7" t="str">
        <f>Derived_Indicators!Q19</f>
        <v>Invalid</v>
      </c>
      <c r="E19" s="23">
        <f>Derived_Indicators!D19</f>
        <v>1</v>
      </c>
      <c r="F19" s="23">
        <f>Derived_Indicators!E19</f>
        <v>0.75</v>
      </c>
      <c r="G19" s="23">
        <f>Derived_Indicators!K19</f>
        <v>1.2950819672131149</v>
      </c>
      <c r="H19" s="23">
        <f>Derived_Indicators!M19</f>
        <v>0.34090909090909088</v>
      </c>
      <c r="I19" s="23">
        <f>Derived_Indicators!N19</f>
        <v>1.5151515151515152E-2</v>
      </c>
      <c r="J19" s="23" t="str">
        <f>IF($D19&lt;&gt;"Valid","",AVERAGE(E19:F19))</f>
        <v/>
      </c>
      <c r="K19" s="23" t="str">
        <f>IF($D19&lt;&gt;"Valid","",AVERAGE(G19:I19))</f>
        <v/>
      </c>
      <c r="L19" s="23" t="str">
        <f>IF($D19&lt;&gt;"Valid","",AVERAGE(J19,K19))</f>
        <v/>
      </c>
      <c r="M19" s="21" t="str">
        <f>IF(AND($D19="Valid",ISNUMBER(L19)),RANK(L19,$L$2:$L$500,0),"")</f>
        <v/>
      </c>
      <c r="N19" s="7" t="str">
        <f>IF(L19="",
"Not Assessed",
IF(L19&gt;=0.85,"Excellent",
IF(L19&gt;=0.7,"Good",
IF(L19&gt;=0.55,"Moderate",
IF(L19&gt;=0.4,"Low",
"Very Low")))))</f>
        <v>Not Assessed</v>
      </c>
      <c r="O19" s="7" t="str">
        <f>IF($D19&lt;&gt;"Valid",
"Failed data validation; excluded from HFSI and requires contextual review in the Health Facility Selection Framework (HFSF).",
"Eligible for contextual assessment using the Health Facility Selection Framework (HFSF).")</f>
        <v>Failed data validation; excluded from HFSI and requires contextual review in the Health Facility Selection Framework (HFSF).</v>
      </c>
    </row>
    <row r="20" spans="1:15" hidden="1">
      <c r="A20" s="7" t="e">
        <f>#REF!</f>
        <v>#REF!</v>
      </c>
      <c r="B20" s="7" t="e">
        <f>#REF!</f>
        <v>#REF!</v>
      </c>
      <c r="C20" s="7" t="e">
        <f>#REF!</f>
        <v>#REF!</v>
      </c>
      <c r="D20" s="7" t="e">
        <f>#REF!</f>
        <v>#REF!</v>
      </c>
      <c r="E20" s="7" t="e">
        <f>#REF!</f>
        <v>#REF!</v>
      </c>
      <c r="F20" s="7" t="e">
        <f>#REF!</f>
        <v>#REF!</v>
      </c>
      <c r="G20" s="7" t="e">
        <f>#REF!</f>
        <v>#REF!</v>
      </c>
      <c r="H20" s="7" t="e">
        <f>#REF!</f>
        <v>#REF!</v>
      </c>
      <c r="I20" s="7" t="e">
        <f>#REF!</f>
        <v>#REF!</v>
      </c>
      <c r="J20" s="7" t="e">
        <f t="shared" ref="J20:J27" si="8">IF(D20&lt;&gt;"Valid","",SUM(E20:F20))</f>
        <v>#REF!</v>
      </c>
      <c r="K20" s="7" t="e">
        <f t="shared" ref="K20:K27" si="9">IF(D20&lt;&gt;"Valid","",SUM(G20:I20))</f>
        <v>#REF!</v>
      </c>
      <c r="L20" s="7" t="e">
        <f>IF(D20&lt;&gt;"Valid","",#REF!*0.4+#REF!*0.6)</f>
        <v>#REF!</v>
      </c>
      <c r="M20" s="7"/>
      <c r="N20" s="7" t="e">
        <f>IF(D20&lt;&gt;"Valid","Not Assessed (Insufficient Valid Data)",LOOKUP(L20,tblPerformanceCategory[Min],tblPerformanceCategory[Performance Category]))</f>
        <v>#REF!</v>
      </c>
      <c r="O20" s="7" t="e">
        <f>IF(D20="Valid","Yes","No")</f>
        <v>#REF!</v>
      </c>
    </row>
    <row r="21" spans="1:15" ht="42" hidden="1" customHeight="1">
      <c r="A21" s="7" t="e">
        <f>#REF!</f>
        <v>#REF!</v>
      </c>
      <c r="B21" s="7" t="e">
        <f>#REF!</f>
        <v>#REF!</v>
      </c>
      <c r="C21" s="7" t="e">
        <f>#REF!</f>
        <v>#REF!</v>
      </c>
      <c r="D21" s="7" t="e">
        <f>#REF!</f>
        <v>#REF!</v>
      </c>
      <c r="E21" s="7" t="e">
        <f>#REF!</f>
        <v>#REF!</v>
      </c>
      <c r="F21" s="7" t="e">
        <f>#REF!</f>
        <v>#REF!</v>
      </c>
      <c r="G21" s="7" t="e">
        <f>#REF!</f>
        <v>#REF!</v>
      </c>
      <c r="H21" s="7" t="e">
        <f>#REF!</f>
        <v>#REF!</v>
      </c>
      <c r="I21" s="7" t="e">
        <f>#REF!</f>
        <v>#REF!</v>
      </c>
      <c r="J21" s="7" t="e">
        <f t="shared" si="8"/>
        <v>#REF!</v>
      </c>
      <c r="K21" s="7" t="e">
        <f t="shared" si="9"/>
        <v>#REF!</v>
      </c>
      <c r="L21" s="7" t="e">
        <f>IF($D21&lt;&gt;"Valid",0,IFERROR(AVERAGE(#REF!,#REF!),0))</f>
        <v>#REF!</v>
      </c>
      <c r="M21" s="21" t="str">
        <f>IF(ISNUMBER(L21),_xlfn.RANK.EQ(L21,$L$2:$L$500,0),"")</f>
        <v/>
      </c>
      <c r="N21" s="7" t="e">
        <f>IF(L21=0,
"Not Assessed",
IF(L21&gt;=0.85,"Very High Performance",
IF(L21&gt;=0.7,"High Performance",
IF(L21&gt;=0.55,"Moderate Performance",
IF(L21&gt;=0.4,"Low Performance",
"Very Low Performance")))))</f>
        <v>#REF!</v>
      </c>
      <c r="O21" s="7" t="e">
        <f>IF($L21=0,
"Failed minimum data validation; requires contextual review in FSF.",
"Ready for contextual review in FSF.")</f>
        <v>#REF!</v>
      </c>
    </row>
    <row r="22" spans="1:15" hidden="1">
      <c r="A22" s="7" t="e">
        <f>#REF!</f>
        <v>#REF!</v>
      </c>
      <c r="B22" s="7" t="e">
        <f>#REF!</f>
        <v>#REF!</v>
      </c>
      <c r="C22" s="7" t="e">
        <f>#REF!</f>
        <v>#REF!</v>
      </c>
      <c r="D22" s="7" t="e">
        <f>#REF!</f>
        <v>#REF!</v>
      </c>
      <c r="E22" s="7" t="e">
        <f>#REF!</f>
        <v>#REF!</v>
      </c>
      <c r="F22" s="7" t="e">
        <f>#REF!</f>
        <v>#REF!</v>
      </c>
      <c r="G22" s="7" t="e">
        <f>#REF!</f>
        <v>#REF!</v>
      </c>
      <c r="H22" s="7" t="e">
        <f>#REF!</f>
        <v>#REF!</v>
      </c>
      <c r="I22" s="7" t="e">
        <f>#REF!</f>
        <v>#REF!</v>
      </c>
      <c r="J22" s="7" t="e">
        <f t="shared" si="8"/>
        <v>#REF!</v>
      </c>
      <c r="K22" s="7" t="e">
        <f t="shared" si="9"/>
        <v>#REF!</v>
      </c>
      <c r="L22" s="7" t="e">
        <f>IF(D22&lt;&gt;"Valid","",#REF!*0.4+#REF!*0.6)</f>
        <v>#REF!</v>
      </c>
      <c r="M22" s="7"/>
      <c r="N22" s="7" t="e">
        <f>IF(D22&lt;&gt;"Valid","Not Assessed (Insufficient Valid Data)",LOOKUP(L22,tblPerformanceCategory[Min],tblPerformanceCategory[Performance Category]))</f>
        <v>#REF!</v>
      </c>
      <c r="O22" s="7" t="e">
        <f>IF(D22="Valid","Yes","No")</f>
        <v>#REF!</v>
      </c>
    </row>
    <row r="23" spans="1:15" hidden="1">
      <c r="A23" s="7" t="e">
        <f>#REF!</f>
        <v>#REF!</v>
      </c>
      <c r="B23" s="7" t="e">
        <f>#REF!</f>
        <v>#REF!</v>
      </c>
      <c r="C23" s="7" t="e">
        <f>#REF!</f>
        <v>#REF!</v>
      </c>
      <c r="D23" s="7" t="e">
        <f>#REF!</f>
        <v>#REF!</v>
      </c>
      <c r="E23" s="7" t="e">
        <f>#REF!</f>
        <v>#REF!</v>
      </c>
      <c r="F23" s="7" t="e">
        <f>#REF!</f>
        <v>#REF!</v>
      </c>
      <c r="G23" s="7" t="e">
        <f>#REF!</f>
        <v>#REF!</v>
      </c>
      <c r="H23" s="7" t="e">
        <f>#REF!</f>
        <v>#REF!</v>
      </c>
      <c r="I23" s="7" t="e">
        <f>#REF!</f>
        <v>#REF!</v>
      </c>
      <c r="J23" s="7" t="e">
        <f t="shared" si="8"/>
        <v>#REF!</v>
      </c>
      <c r="K23" s="7" t="e">
        <f t="shared" si="9"/>
        <v>#REF!</v>
      </c>
      <c r="L23" s="7" t="e">
        <f>IF(D23&lt;&gt;"Valid","",#REF!*0.4+#REF!*0.6)</f>
        <v>#REF!</v>
      </c>
      <c r="M23" s="7"/>
      <c r="N23" s="7" t="e">
        <f>IF(D23&lt;&gt;"Valid","Not Assessed (Insufficient Valid Data)",LOOKUP(L23,tblPerformanceCategory[Min],tblPerformanceCategory[Performance Category]))</f>
        <v>#REF!</v>
      </c>
      <c r="O23" s="7" t="e">
        <f>IF(D23="Valid","Yes","No")</f>
        <v>#REF!</v>
      </c>
    </row>
    <row r="24" spans="1:15" hidden="1">
      <c r="A24" s="7" t="e">
        <f>#REF!</f>
        <v>#REF!</v>
      </c>
      <c r="B24" s="7" t="e">
        <f>#REF!</f>
        <v>#REF!</v>
      </c>
      <c r="C24" s="7" t="e">
        <f>#REF!</f>
        <v>#REF!</v>
      </c>
      <c r="D24" s="7" t="e">
        <f>#REF!</f>
        <v>#REF!</v>
      </c>
      <c r="E24" s="7" t="e">
        <f>#REF!</f>
        <v>#REF!</v>
      </c>
      <c r="F24" s="7" t="e">
        <f>#REF!</f>
        <v>#REF!</v>
      </c>
      <c r="G24" s="7" t="e">
        <f>#REF!</f>
        <v>#REF!</v>
      </c>
      <c r="H24" s="7" t="e">
        <f>#REF!</f>
        <v>#REF!</v>
      </c>
      <c r="I24" s="7" t="e">
        <f>#REF!</f>
        <v>#REF!</v>
      </c>
      <c r="J24" s="7" t="e">
        <f t="shared" si="8"/>
        <v>#REF!</v>
      </c>
      <c r="K24" s="7" t="e">
        <f t="shared" si="9"/>
        <v>#REF!</v>
      </c>
      <c r="L24" s="7" t="e">
        <f>IF(D24&lt;&gt;"Valid","",#REF!*0.4+#REF!*0.6)</f>
        <v>#REF!</v>
      </c>
      <c r="M24" s="7"/>
      <c r="N24" s="7" t="e">
        <f>IF(D24&lt;&gt;"Valid","Not Assessed (Insufficient Valid Data)",LOOKUP(L24,tblPerformanceCategory[Min],tblPerformanceCategory[Performance Category]))</f>
        <v>#REF!</v>
      </c>
      <c r="O24" s="7" t="e">
        <f>IF(D24="Valid","Yes","No")</f>
        <v>#REF!</v>
      </c>
    </row>
    <row r="25" spans="1:15" ht="42" hidden="1" customHeight="1">
      <c r="A25" s="7" t="e">
        <f>#REF!</f>
        <v>#REF!</v>
      </c>
      <c r="B25" s="7" t="e">
        <f>#REF!</f>
        <v>#REF!</v>
      </c>
      <c r="C25" s="7" t="e">
        <f>#REF!</f>
        <v>#REF!</v>
      </c>
      <c r="D25" s="7" t="e">
        <f>#REF!</f>
        <v>#REF!</v>
      </c>
      <c r="E25" s="7" t="e">
        <f>#REF!</f>
        <v>#REF!</v>
      </c>
      <c r="F25" s="7" t="e">
        <f>#REF!</f>
        <v>#REF!</v>
      </c>
      <c r="G25" s="7" t="e">
        <f>#REF!</f>
        <v>#REF!</v>
      </c>
      <c r="H25" s="7" t="e">
        <f>#REF!</f>
        <v>#REF!</v>
      </c>
      <c r="I25" s="7" t="e">
        <f>#REF!</f>
        <v>#REF!</v>
      </c>
      <c r="J25" s="7" t="e">
        <f t="shared" si="8"/>
        <v>#REF!</v>
      </c>
      <c r="K25" s="7" t="e">
        <f t="shared" si="9"/>
        <v>#REF!</v>
      </c>
      <c r="L25" s="7" t="e">
        <f>IF($D25&lt;&gt;"Valid",0,IFERROR(AVERAGE(#REF!,#REF!),0))</f>
        <v>#REF!</v>
      </c>
      <c r="M25" s="21" t="str">
        <f>IF(ISNUMBER(L25),_xlfn.RANK.EQ(L25,$L$2:$L$500,0),"")</f>
        <v/>
      </c>
      <c r="N25" s="7" t="e">
        <f>IF(L25=0,
"Not Assessed",
IF(L25&gt;=0.85,"Very High Performance",
IF(L25&gt;=0.7,"High Performance",
IF(L25&gt;=0.55,"Moderate Performance",
IF(L25&gt;=0.4,"Low Performance",
"Very Low Performance")))))</f>
        <v>#REF!</v>
      </c>
      <c r="O25" s="7" t="e">
        <f>IF($L25=0,
"Failed minimum data validation; requires contextual review in FSF.",
"Ready for contextual review in FSF.")</f>
        <v>#REF!</v>
      </c>
    </row>
    <row r="26" spans="1:15" hidden="1">
      <c r="A26" s="7" t="e">
        <f>#REF!</f>
        <v>#REF!</v>
      </c>
      <c r="B26" s="7" t="e">
        <f>#REF!</f>
        <v>#REF!</v>
      </c>
      <c r="C26" s="7" t="e">
        <f>#REF!</f>
        <v>#REF!</v>
      </c>
      <c r="D26" s="7" t="e">
        <f>#REF!</f>
        <v>#REF!</v>
      </c>
      <c r="E26" s="7" t="e">
        <f>#REF!</f>
        <v>#REF!</v>
      </c>
      <c r="F26" s="7" t="e">
        <f>#REF!</f>
        <v>#REF!</v>
      </c>
      <c r="G26" s="7" t="e">
        <f>#REF!</f>
        <v>#REF!</v>
      </c>
      <c r="H26" s="7" t="e">
        <f>#REF!</f>
        <v>#REF!</v>
      </c>
      <c r="I26" s="7" t="e">
        <f>#REF!</f>
        <v>#REF!</v>
      </c>
      <c r="J26" s="7" t="e">
        <f t="shared" si="8"/>
        <v>#REF!</v>
      </c>
      <c r="K26" s="7" t="e">
        <f t="shared" si="9"/>
        <v>#REF!</v>
      </c>
      <c r="L26" s="7" t="e">
        <f>IF(D26&lt;&gt;"Valid","",#REF!*0.4+#REF!*0.6)</f>
        <v>#REF!</v>
      </c>
      <c r="M26" s="7"/>
      <c r="N26" s="7" t="e">
        <f>IF(D26&lt;&gt;"Valid","Not Assessed (Insufficient Valid Data)",LOOKUP(L26,tblPerformanceCategory[Min],tblPerformanceCategory[Performance Category]))</f>
        <v>#REF!</v>
      </c>
      <c r="O26" s="7" t="e">
        <f>IF(D26="Valid","Yes","No")</f>
        <v>#REF!</v>
      </c>
    </row>
    <row r="27" spans="1:15" hidden="1">
      <c r="A27" s="7" t="e">
        <f>#REF!</f>
        <v>#REF!</v>
      </c>
      <c r="B27" s="7" t="e">
        <f>#REF!</f>
        <v>#REF!</v>
      </c>
      <c r="C27" s="7" t="e">
        <f>#REF!</f>
        <v>#REF!</v>
      </c>
      <c r="D27" s="7" t="e">
        <f>#REF!</f>
        <v>#REF!</v>
      </c>
      <c r="E27" s="7" t="e">
        <f>#REF!</f>
        <v>#REF!</v>
      </c>
      <c r="F27" s="7" t="e">
        <f>#REF!</f>
        <v>#REF!</v>
      </c>
      <c r="G27" s="7" t="e">
        <f>#REF!</f>
        <v>#REF!</v>
      </c>
      <c r="H27" s="7" t="e">
        <f>#REF!</f>
        <v>#REF!</v>
      </c>
      <c r="I27" s="7" t="e">
        <f>#REF!</f>
        <v>#REF!</v>
      </c>
      <c r="J27" s="7" t="e">
        <f t="shared" si="8"/>
        <v>#REF!</v>
      </c>
      <c r="K27" s="7" t="e">
        <f t="shared" si="9"/>
        <v>#REF!</v>
      </c>
      <c r="L27" s="7" t="e">
        <f>IF(D27&lt;&gt;"Valid","",#REF!*0.4+#REF!*0.6)</f>
        <v>#REF!</v>
      </c>
      <c r="M27" s="7"/>
      <c r="N27" s="7" t="e">
        <f>IF(D27&lt;&gt;"Valid","Not Assessed (Insufficient Valid Data)",LOOKUP(L27,tblPerformanceCategory[Min],tblPerformanceCategory[Performance Category]))</f>
        <v>#REF!</v>
      </c>
      <c r="O27" s="7" t="e">
        <f>IF(D27="Valid","Yes","No")</f>
        <v>#REF!</v>
      </c>
    </row>
    <row r="28" spans="1:15" ht="42" customHeight="1">
      <c r="A28" s="7" t="str">
        <f>Derived_Indicators!A28</f>
        <v>Abuja Municipal Area Council</v>
      </c>
      <c r="B28" s="7" t="str">
        <f>Derived_Indicators!B28</f>
        <v>Garki Ward</v>
      </c>
      <c r="C28" s="7" t="str">
        <f>Derived_Indicators!C28</f>
        <v>Apo Primary Health Centre</v>
      </c>
      <c r="D28" s="7" t="str">
        <f>Derived_Indicators!Q28</f>
        <v>Invalid</v>
      </c>
      <c r="E28" s="23">
        <f>Derived_Indicators!D28</f>
        <v>1.0454545454545454</v>
      </c>
      <c r="F28" s="23">
        <f>Derived_Indicators!E28</f>
        <v>1.5833363636363638</v>
      </c>
      <c r="G28" s="23">
        <f>Derived_Indicators!K28</f>
        <v>1.0397727272727273</v>
      </c>
      <c r="H28" s="23">
        <f>Derived_Indicators!M28</f>
        <v>0.22705314009661837</v>
      </c>
      <c r="I28" s="23">
        <f>Derived_Indicators!N28</f>
        <v>2.4154589371980676E-2</v>
      </c>
      <c r="J28" s="23" t="str">
        <f t="shared" ref="J28:J29" si="10">IF($D28&lt;&gt;"Valid","",AVERAGE(E28:F28))</f>
        <v/>
      </c>
      <c r="K28" s="23" t="str">
        <f t="shared" ref="K28:K29" si="11">IF($D28&lt;&gt;"Valid","",AVERAGE(G28:I28))</f>
        <v/>
      </c>
      <c r="L28" s="23" t="str">
        <f t="shared" ref="L28:L29" si="12">IF($D28&lt;&gt;"Valid","",AVERAGE(J28,K28))</f>
        <v/>
      </c>
      <c r="M28" s="21" t="str">
        <f t="shared" ref="M28:M29" si="13">IF(AND($D28="Valid",ISNUMBER(L28)),RANK(L28,$L$2:$L$500,0),"")</f>
        <v/>
      </c>
      <c r="N28" s="7" t="str">
        <f t="shared" ref="N28:N29" si="14">IF(L28="",
"Not Assessed",
IF(L28&gt;=0.85,"Excellent",
IF(L28&gt;=0.7,"Good",
IF(L28&gt;=0.55,"Moderate",
IF(L28&gt;=0.4,"Low",
"Very Low")))))</f>
        <v>Not Assessed</v>
      </c>
      <c r="O28" s="7" t="str">
        <f t="shared" ref="O28:O29" si="15">IF($D28&lt;&gt;"Valid",
"Failed data validation; excluded from HFSI and requires contextual review in the Health Facility Selection Framework (HFSF).",
"Eligible for contextual assessment using the Health Facility Selection Framework (HFSF).")</f>
        <v>Failed data validation; excluded from HFSI and requires contextual review in the Health Facility Selection Framework (HFSF).</v>
      </c>
    </row>
    <row r="29" spans="1:15" ht="42" customHeight="1">
      <c r="A29" s="7" t="str">
        <f>Derived_Indicators!A29</f>
        <v>Abuja Municipal Area Council</v>
      </c>
      <c r="B29" s="7" t="str">
        <f>Derived_Indicators!B29</f>
        <v>Karu Ward</v>
      </c>
      <c r="C29" s="7" t="str">
        <f>Derived_Indicators!C29</f>
        <v>Arewa Clinic and Maternity</v>
      </c>
      <c r="D29" s="7" t="str">
        <f>Derived_Indicators!Q29</f>
        <v>Valid</v>
      </c>
      <c r="E29" s="23" t="str">
        <f>Derived_Indicators!D29</f>
        <v/>
      </c>
      <c r="F29" s="23" t="str">
        <f>Derived_Indicators!E29</f>
        <v/>
      </c>
      <c r="G29" s="23">
        <f>Derived_Indicators!K29</f>
        <v>0.9285714285714286</v>
      </c>
      <c r="H29" s="23">
        <f>Derived_Indicators!M29</f>
        <v>0.26666666666666666</v>
      </c>
      <c r="I29" s="23">
        <f>Derived_Indicators!N29</f>
        <v>0.2</v>
      </c>
      <c r="J29" s="23" t="e">
        <f t="shared" si="10"/>
        <v>#DIV/0!</v>
      </c>
      <c r="K29" s="23">
        <f t="shared" si="11"/>
        <v>0.46507936507936504</v>
      </c>
      <c r="L29" s="23" t="e">
        <f t="shared" si="12"/>
        <v>#DIV/0!</v>
      </c>
      <c r="M29" s="21" t="str">
        <f t="shared" si="13"/>
        <v/>
      </c>
      <c r="N29" s="7" t="e">
        <f t="shared" si="14"/>
        <v>#DIV/0!</v>
      </c>
      <c r="O29" s="7" t="str">
        <f t="shared" si="15"/>
        <v>Eligible for contextual assessment using the Health Facility Selection Framework (HFSF).</v>
      </c>
    </row>
    <row r="30" spans="1:15" hidden="1">
      <c r="A30" s="7" t="e">
        <f>#REF!</f>
        <v>#REF!</v>
      </c>
      <c r="B30" s="7" t="e">
        <f>#REF!</f>
        <v>#REF!</v>
      </c>
      <c r="C30" s="7" t="e">
        <f>#REF!</f>
        <v>#REF!</v>
      </c>
      <c r="D30" s="7" t="e">
        <f>#REF!</f>
        <v>#REF!</v>
      </c>
      <c r="E30" s="7" t="e">
        <f>#REF!</f>
        <v>#REF!</v>
      </c>
      <c r="F30" s="7" t="e">
        <f>#REF!</f>
        <v>#REF!</v>
      </c>
      <c r="G30" s="7" t="e">
        <f>#REF!</f>
        <v>#REF!</v>
      </c>
      <c r="H30" s="7" t="e">
        <f>#REF!</f>
        <v>#REF!</v>
      </c>
      <c r="I30" s="7" t="e">
        <f>#REF!</f>
        <v>#REF!</v>
      </c>
      <c r="J30" s="7" t="e">
        <f t="shared" ref="J30:J38" si="16">IF(D30&lt;&gt;"Valid","",SUM(E30:F30))</f>
        <v>#REF!</v>
      </c>
      <c r="K30" s="7" t="e">
        <f t="shared" ref="K30:K38" si="17">IF(D30&lt;&gt;"Valid","",SUM(G30:I30))</f>
        <v>#REF!</v>
      </c>
      <c r="L30" s="7" t="e">
        <f>IF(D30&lt;&gt;"Valid","",#REF!*0.4+#REF!*0.6)</f>
        <v>#REF!</v>
      </c>
      <c r="M30" s="7"/>
      <c r="N30" s="7" t="e">
        <f>IF(D30&lt;&gt;"Valid","Not Assessed (Insufficient Valid Data)",LOOKUP(L30,tblPerformanceCategory[Min],tblPerformanceCategory[Performance Category]))</f>
        <v>#REF!</v>
      </c>
      <c r="O30" s="7" t="e">
        <f>IF(D30="Valid","Yes","No")</f>
        <v>#REF!</v>
      </c>
    </row>
    <row r="31" spans="1:15" hidden="1">
      <c r="A31" s="7" t="e">
        <f>#REF!</f>
        <v>#REF!</v>
      </c>
      <c r="B31" s="7" t="e">
        <f>#REF!</f>
        <v>#REF!</v>
      </c>
      <c r="C31" s="7" t="e">
        <f>#REF!</f>
        <v>#REF!</v>
      </c>
      <c r="D31" s="7" t="e">
        <f>#REF!</f>
        <v>#REF!</v>
      </c>
      <c r="E31" s="7" t="e">
        <f>#REF!</f>
        <v>#REF!</v>
      </c>
      <c r="F31" s="7" t="e">
        <f>#REF!</f>
        <v>#REF!</v>
      </c>
      <c r="G31" s="7" t="e">
        <f>#REF!</f>
        <v>#REF!</v>
      </c>
      <c r="H31" s="7" t="e">
        <f>#REF!</f>
        <v>#REF!</v>
      </c>
      <c r="I31" s="7" t="e">
        <f>#REF!</f>
        <v>#REF!</v>
      </c>
      <c r="J31" s="7" t="e">
        <f t="shared" si="16"/>
        <v>#REF!</v>
      </c>
      <c r="K31" s="7" t="e">
        <f t="shared" si="17"/>
        <v>#REF!</v>
      </c>
      <c r="L31" s="7" t="e">
        <f>IF(D31&lt;&gt;"Valid","",#REF!*0.4+#REF!*0.6)</f>
        <v>#REF!</v>
      </c>
      <c r="M31" s="7"/>
      <c r="N31" s="7" t="e">
        <f>IF(D31&lt;&gt;"Valid","Not Assessed (Insufficient Valid Data)",LOOKUP(L31,tblPerformanceCategory[Min],tblPerformanceCategory[Performance Category]))</f>
        <v>#REF!</v>
      </c>
      <c r="O31" s="7" t="e">
        <f>IF(D31="Valid","Yes","No")</f>
        <v>#REF!</v>
      </c>
    </row>
    <row r="32" spans="1:15" ht="42" hidden="1" customHeight="1">
      <c r="A32" s="7" t="e">
        <f>#REF!</f>
        <v>#REF!</v>
      </c>
      <c r="B32" s="7" t="e">
        <f>#REF!</f>
        <v>#REF!</v>
      </c>
      <c r="C32" s="7" t="e">
        <f>#REF!</f>
        <v>#REF!</v>
      </c>
      <c r="D32" s="7" t="e">
        <f>#REF!</f>
        <v>#REF!</v>
      </c>
      <c r="E32" s="7" t="e">
        <f>#REF!</f>
        <v>#REF!</v>
      </c>
      <c r="F32" s="7" t="e">
        <f>#REF!</f>
        <v>#REF!</v>
      </c>
      <c r="G32" s="7" t="e">
        <f>#REF!</f>
        <v>#REF!</v>
      </c>
      <c r="H32" s="7" t="e">
        <f>#REF!</f>
        <v>#REF!</v>
      </c>
      <c r="I32" s="7" t="e">
        <f>#REF!</f>
        <v>#REF!</v>
      </c>
      <c r="J32" s="7" t="e">
        <f t="shared" si="16"/>
        <v>#REF!</v>
      </c>
      <c r="K32" s="7" t="e">
        <f t="shared" si="17"/>
        <v>#REF!</v>
      </c>
      <c r="L32" s="7" t="e">
        <f>IF($D32&lt;&gt;"Valid",0,IFERROR(AVERAGE(#REF!,#REF!),0))</f>
        <v>#REF!</v>
      </c>
      <c r="M32" s="21" t="str">
        <f>IF(ISNUMBER(L32),_xlfn.RANK.EQ(L32,$L$2:$L$500,0),"")</f>
        <v/>
      </c>
      <c r="N32" s="7" t="e">
        <f>IF(L32=0,
"Not Assessed",
IF(L32&gt;=0.85,"Very High Performance",
IF(L32&gt;=0.7,"High Performance",
IF(L32&gt;=0.55,"Moderate Performance",
IF(L32&gt;=0.4,"Low Performance",
"Very Low Performance")))))</f>
        <v>#REF!</v>
      </c>
      <c r="O32" s="7" t="e">
        <f>IF($L32=0,
"Failed minimum data validation; requires contextual review in FSF.",
"Ready for contextual review in FSF.")</f>
        <v>#REF!</v>
      </c>
    </row>
    <row r="33" spans="1:15" ht="42" hidden="1" customHeight="1">
      <c r="A33" s="7" t="e">
        <f>#REF!</f>
        <v>#REF!</v>
      </c>
      <c r="B33" s="7" t="e">
        <f>#REF!</f>
        <v>#REF!</v>
      </c>
      <c r="C33" s="7" t="e">
        <f>#REF!</f>
        <v>#REF!</v>
      </c>
      <c r="D33" s="7" t="e">
        <f>#REF!</f>
        <v>#REF!</v>
      </c>
      <c r="E33" s="7" t="e">
        <f>#REF!</f>
        <v>#REF!</v>
      </c>
      <c r="F33" s="7" t="e">
        <f>#REF!</f>
        <v>#REF!</v>
      </c>
      <c r="G33" s="7" t="e">
        <f>#REF!</f>
        <v>#REF!</v>
      </c>
      <c r="H33" s="7" t="e">
        <f>#REF!</f>
        <v>#REF!</v>
      </c>
      <c r="I33" s="7" t="e">
        <f>#REF!</f>
        <v>#REF!</v>
      </c>
      <c r="J33" s="7" t="e">
        <f t="shared" si="16"/>
        <v>#REF!</v>
      </c>
      <c r="K33" s="7" t="e">
        <f t="shared" si="17"/>
        <v>#REF!</v>
      </c>
      <c r="L33" s="7" t="e">
        <f>IF($D33&lt;&gt;"Valid",0,IFERROR(AVERAGE(#REF!,#REF!),0))</f>
        <v>#REF!</v>
      </c>
      <c r="M33" s="21" t="str">
        <f>IF(ISNUMBER(L33),_xlfn.RANK.EQ(L33,$L$2:$L$500,0),"")</f>
        <v/>
      </c>
      <c r="N33" s="7" t="e">
        <f>IF(L33=0,
"Not Assessed",
IF(L33&gt;=0.85,"Very High Performance",
IF(L33&gt;=0.7,"High Performance",
IF(L33&gt;=0.55,"Moderate Performance",
IF(L33&gt;=0.4,"Low Performance",
"Very Low Performance")))))</f>
        <v>#REF!</v>
      </c>
      <c r="O33" s="7" t="e">
        <f>IF($L33=0,
"Failed minimum data validation; requires contextual review in FSF.",
"Ready for contextual review in FSF.")</f>
        <v>#REF!</v>
      </c>
    </row>
    <row r="34" spans="1:15" hidden="1">
      <c r="A34" s="7" t="e">
        <f>#REF!</f>
        <v>#REF!</v>
      </c>
      <c r="B34" s="7" t="e">
        <f>#REF!</f>
        <v>#REF!</v>
      </c>
      <c r="C34" s="7" t="e">
        <f>#REF!</f>
        <v>#REF!</v>
      </c>
      <c r="D34" s="7" t="e">
        <f>#REF!</f>
        <v>#REF!</v>
      </c>
      <c r="E34" s="7" t="e">
        <f>#REF!</f>
        <v>#REF!</v>
      </c>
      <c r="F34" s="7" t="e">
        <f>#REF!</f>
        <v>#REF!</v>
      </c>
      <c r="G34" s="7" t="e">
        <f>#REF!</f>
        <v>#REF!</v>
      </c>
      <c r="H34" s="7" t="e">
        <f>#REF!</f>
        <v>#REF!</v>
      </c>
      <c r="I34" s="7" t="e">
        <f>#REF!</f>
        <v>#REF!</v>
      </c>
      <c r="J34" s="7" t="e">
        <f t="shared" si="16"/>
        <v>#REF!</v>
      </c>
      <c r="K34" s="7" t="e">
        <f t="shared" si="17"/>
        <v>#REF!</v>
      </c>
      <c r="L34" s="7" t="e">
        <f>IF(D34&lt;&gt;"Valid","",#REF!*0.4+#REF!*0.6)</f>
        <v>#REF!</v>
      </c>
      <c r="M34" s="7"/>
      <c r="N34" s="7" t="e">
        <f>IF(D34&lt;&gt;"Valid","Not Assessed (Insufficient Valid Data)",LOOKUP(L34,tblPerformanceCategory[Min],tblPerformanceCategory[Performance Category]))</f>
        <v>#REF!</v>
      </c>
      <c r="O34" s="7" t="e">
        <f>IF(D34="Valid","Yes","No")</f>
        <v>#REF!</v>
      </c>
    </row>
    <row r="35" spans="1:15" hidden="1">
      <c r="A35" s="7" t="e">
        <f>#REF!</f>
        <v>#REF!</v>
      </c>
      <c r="B35" s="7" t="e">
        <f>#REF!</f>
        <v>#REF!</v>
      </c>
      <c r="C35" s="7" t="e">
        <f>#REF!</f>
        <v>#REF!</v>
      </c>
      <c r="D35" s="7" t="e">
        <f>#REF!</f>
        <v>#REF!</v>
      </c>
      <c r="E35" s="7" t="e">
        <f>#REF!</f>
        <v>#REF!</v>
      </c>
      <c r="F35" s="7" t="e">
        <f>#REF!</f>
        <v>#REF!</v>
      </c>
      <c r="G35" s="7" t="e">
        <f>#REF!</f>
        <v>#REF!</v>
      </c>
      <c r="H35" s="7" t="e">
        <f>#REF!</f>
        <v>#REF!</v>
      </c>
      <c r="I35" s="7" t="e">
        <f>#REF!</f>
        <v>#REF!</v>
      </c>
      <c r="J35" s="7" t="e">
        <f t="shared" si="16"/>
        <v>#REF!</v>
      </c>
      <c r="K35" s="7" t="e">
        <f t="shared" si="17"/>
        <v>#REF!</v>
      </c>
      <c r="L35" s="7" t="e">
        <f>IF(D35&lt;&gt;"Valid","",#REF!*0.4+#REF!*0.6)</f>
        <v>#REF!</v>
      </c>
      <c r="M35" s="7"/>
      <c r="N35" s="7" t="e">
        <f>IF(D35&lt;&gt;"Valid","Not Assessed (Insufficient Valid Data)",LOOKUP(L35,tblPerformanceCategory[Min],tblPerformanceCategory[Performance Category]))</f>
        <v>#REF!</v>
      </c>
      <c r="O35" s="7" t="e">
        <f>IF(D35="Valid","Yes","No")</f>
        <v>#REF!</v>
      </c>
    </row>
    <row r="36" spans="1:15" hidden="1">
      <c r="A36" s="7" t="e">
        <f>#REF!</f>
        <v>#REF!</v>
      </c>
      <c r="B36" s="7" t="e">
        <f>#REF!</f>
        <v>#REF!</v>
      </c>
      <c r="C36" s="7" t="e">
        <f>#REF!</f>
        <v>#REF!</v>
      </c>
      <c r="D36" s="7" t="e">
        <f>#REF!</f>
        <v>#REF!</v>
      </c>
      <c r="E36" s="7" t="e">
        <f>#REF!</f>
        <v>#REF!</v>
      </c>
      <c r="F36" s="7" t="e">
        <f>#REF!</f>
        <v>#REF!</v>
      </c>
      <c r="G36" s="7" t="e">
        <f>#REF!</f>
        <v>#REF!</v>
      </c>
      <c r="H36" s="7" t="e">
        <f>#REF!</f>
        <v>#REF!</v>
      </c>
      <c r="I36" s="7" t="e">
        <f>#REF!</f>
        <v>#REF!</v>
      </c>
      <c r="J36" s="7" t="e">
        <f t="shared" si="16"/>
        <v>#REF!</v>
      </c>
      <c r="K36" s="7" t="e">
        <f t="shared" si="17"/>
        <v>#REF!</v>
      </c>
      <c r="L36" s="7" t="e">
        <f>IF(D36&lt;&gt;"Valid","",#REF!*0.4+#REF!*0.6)</f>
        <v>#REF!</v>
      </c>
      <c r="M36" s="7"/>
      <c r="N36" s="7" t="e">
        <f>IF(D36&lt;&gt;"Valid","Not Assessed (Insufficient Valid Data)",LOOKUP(L36,tblPerformanceCategory[Min],tblPerformanceCategory[Performance Category]))</f>
        <v>#REF!</v>
      </c>
      <c r="O36" s="7" t="e">
        <f>IF(D36="Valid","Yes","No")</f>
        <v>#REF!</v>
      </c>
    </row>
    <row r="37" spans="1:15" ht="42" hidden="1" customHeight="1">
      <c r="A37" s="7" t="e">
        <f>#REF!</f>
        <v>#REF!</v>
      </c>
      <c r="B37" s="7" t="e">
        <f>#REF!</f>
        <v>#REF!</v>
      </c>
      <c r="C37" s="7" t="e">
        <f>#REF!</f>
        <v>#REF!</v>
      </c>
      <c r="D37" s="7" t="e">
        <f>#REF!</f>
        <v>#REF!</v>
      </c>
      <c r="E37" s="7" t="e">
        <f>#REF!</f>
        <v>#REF!</v>
      </c>
      <c r="F37" s="7" t="e">
        <f>#REF!</f>
        <v>#REF!</v>
      </c>
      <c r="G37" s="7" t="e">
        <f>#REF!</f>
        <v>#REF!</v>
      </c>
      <c r="H37" s="7" t="e">
        <f>#REF!</f>
        <v>#REF!</v>
      </c>
      <c r="I37" s="7" t="e">
        <f>#REF!</f>
        <v>#REF!</v>
      </c>
      <c r="J37" s="7" t="e">
        <f t="shared" si="16"/>
        <v>#REF!</v>
      </c>
      <c r="K37" s="7" t="e">
        <f t="shared" si="17"/>
        <v>#REF!</v>
      </c>
      <c r="L37" s="7" t="e">
        <f>IF($D37&lt;&gt;"Valid",0,IFERROR(AVERAGE(#REF!,#REF!),0))</f>
        <v>#REF!</v>
      </c>
      <c r="M37" s="21" t="str">
        <f>IF(ISNUMBER(L37),_xlfn.RANK.EQ(L37,$L$2:$L$500,0),"")</f>
        <v/>
      </c>
      <c r="N37" s="7" t="e">
        <f>IF(L37=0,
"Not Assessed",
IF(L37&gt;=0.85,"Very High Performance",
IF(L37&gt;=0.7,"High Performance",
IF(L37&gt;=0.55,"Moderate Performance",
IF(L37&gt;=0.4,"Low Performance",
"Very Low Performance")))))</f>
        <v>#REF!</v>
      </c>
      <c r="O37" s="7" t="e">
        <f>IF($L37=0,
"Failed minimum data validation; requires contextual review in FSF.",
"Ready for contextual review in FSF.")</f>
        <v>#REF!</v>
      </c>
    </row>
    <row r="38" spans="1:15" hidden="1">
      <c r="A38" s="7" t="e">
        <f>#REF!</f>
        <v>#REF!</v>
      </c>
      <c r="B38" s="7" t="e">
        <f>#REF!</f>
        <v>#REF!</v>
      </c>
      <c r="C38" s="7" t="e">
        <f>#REF!</f>
        <v>#REF!</v>
      </c>
      <c r="D38" s="7" t="e">
        <f>#REF!</f>
        <v>#REF!</v>
      </c>
      <c r="E38" s="7" t="e">
        <f>#REF!</f>
        <v>#REF!</v>
      </c>
      <c r="F38" s="7" t="e">
        <f>#REF!</f>
        <v>#REF!</v>
      </c>
      <c r="G38" s="7" t="e">
        <f>#REF!</f>
        <v>#REF!</v>
      </c>
      <c r="H38" s="7" t="e">
        <f>#REF!</f>
        <v>#REF!</v>
      </c>
      <c r="I38" s="7" t="e">
        <f>#REF!</f>
        <v>#REF!</v>
      </c>
      <c r="J38" s="7" t="e">
        <f t="shared" si="16"/>
        <v>#REF!</v>
      </c>
      <c r="K38" s="7" t="e">
        <f t="shared" si="17"/>
        <v>#REF!</v>
      </c>
      <c r="L38" s="7" t="e">
        <f>IF(D38&lt;&gt;"Valid","",#REF!*0.4+#REF!*0.6)</f>
        <v>#REF!</v>
      </c>
      <c r="M38" s="7"/>
      <c r="N38" s="7" t="e">
        <f>IF(D38&lt;&gt;"Valid","Not Assessed (Insufficient Valid Data)",LOOKUP(L38,tblPerformanceCategory[Min],tblPerformanceCategory[Performance Category]))</f>
        <v>#REF!</v>
      </c>
      <c r="O38" s="7" t="e">
        <f>IF(D38="Valid","Yes","No")</f>
        <v>#REF!</v>
      </c>
    </row>
    <row r="39" spans="1:15" ht="42" customHeight="1">
      <c r="A39" s="7" t="str">
        <f>Derived_Indicators!A39</f>
        <v>Abuja Municipal Area Council</v>
      </c>
      <c r="B39" s="7" t="str">
        <f>Derived_Indicators!B39</f>
        <v>Jiwa Ward</v>
      </c>
      <c r="C39" s="7" t="str">
        <f>Derived_Indicators!C39</f>
        <v>Bassan Jiwan Primary Health Care Centre</v>
      </c>
      <c r="D39" s="7" t="str">
        <f>Derived_Indicators!Q39</f>
        <v>Valid</v>
      </c>
      <c r="E39" s="23">
        <f>Derived_Indicators!D39</f>
        <v>0.94090909090909092</v>
      </c>
      <c r="F39" s="23">
        <f>Derived_Indicators!E39</f>
        <v>0.58333333333333337</v>
      </c>
      <c r="G39" s="23">
        <f>Derived_Indicators!K39</f>
        <v>0.90493601462522855</v>
      </c>
      <c r="H39" s="23">
        <f>Derived_Indicators!M39</f>
        <v>0.38139534883720932</v>
      </c>
      <c r="I39" s="23">
        <f>Derived_Indicators!N39</f>
        <v>0.10697674418604651</v>
      </c>
      <c r="J39" s="23">
        <f>IF($D39&lt;&gt;"Valid","",AVERAGE(E39:F39))</f>
        <v>0.7621212121212122</v>
      </c>
      <c r="K39" s="23">
        <f>IF($D39&lt;&gt;"Valid","",AVERAGE(G39:I39))</f>
        <v>0.46443603588282811</v>
      </c>
      <c r="L39" s="23">
        <f>IF($D39&lt;&gt;"Valid","",AVERAGE(J39,K39))</f>
        <v>0.61327862400202016</v>
      </c>
      <c r="M39" s="21" t="e">
        <f>IF(AND($D39="Valid",ISNUMBER(L39)),RANK(L39,$L$2:$L$500,0),"")</f>
        <v>#REF!</v>
      </c>
      <c r="N39" s="7" t="str">
        <f>IF(L39="",
"Not Assessed",
IF(L39&gt;=0.85,"Excellent",
IF(L39&gt;=0.7,"Good",
IF(L39&gt;=0.55,"Moderate",
IF(L39&gt;=0.4,"Low",
"Very Low")))))</f>
        <v>Moderate</v>
      </c>
      <c r="O39" s="7" t="str">
        <f>IF($D39&lt;&gt;"Valid",
"Failed data validation; excluded from HFSI and requires contextual review in the Health Facility Selection Framework (HFSF).",
"Eligible for contextual assessment using the Health Facility Selection Framework (HFSF).")</f>
        <v>Eligible for contextual assessment using the Health Facility Selection Framework (HFSF).</v>
      </c>
    </row>
    <row r="40" spans="1:15" ht="42" hidden="1" customHeight="1">
      <c r="A40" s="7" t="e">
        <f>#REF!</f>
        <v>#REF!</v>
      </c>
      <c r="B40" s="7" t="e">
        <f>#REF!</f>
        <v>#REF!</v>
      </c>
      <c r="C40" s="7" t="e">
        <f>#REF!</f>
        <v>#REF!</v>
      </c>
      <c r="D40" s="7" t="e">
        <f>#REF!</f>
        <v>#REF!</v>
      </c>
      <c r="E40" s="7" t="e">
        <f>#REF!</f>
        <v>#REF!</v>
      </c>
      <c r="F40" s="7" t="e">
        <f>#REF!</f>
        <v>#REF!</v>
      </c>
      <c r="G40" s="7" t="e">
        <f>#REF!</f>
        <v>#REF!</v>
      </c>
      <c r="H40" s="7" t="e">
        <f>#REF!</f>
        <v>#REF!</v>
      </c>
      <c r="I40" s="7" t="e">
        <f>#REF!</f>
        <v>#REF!</v>
      </c>
      <c r="J40" s="7" t="e">
        <f t="shared" ref="J40:J47" si="18">IF(D40&lt;&gt;"Valid","",SUM(E40:F40))</f>
        <v>#REF!</v>
      </c>
      <c r="K40" s="7" t="e">
        <f t="shared" ref="K40:K47" si="19">IF(D40&lt;&gt;"Valid","",SUM(G40:I40))</f>
        <v>#REF!</v>
      </c>
      <c r="L40" s="7" t="e">
        <f>IF($D40&lt;&gt;"Valid",0,IFERROR(AVERAGE(#REF!,#REF!),0))</f>
        <v>#REF!</v>
      </c>
      <c r="M40" s="21" t="str">
        <f>IF(ISNUMBER(L40),_xlfn.RANK.EQ(L40,$L$2:$L$500,0),"")</f>
        <v/>
      </c>
      <c r="N40" s="7" t="e">
        <f>IF(L40=0,
"Not Assessed",
IF(L40&gt;=0.85,"Very High Performance",
IF(L40&gt;=0.7,"High Performance",
IF(L40&gt;=0.55,"Moderate Performance",
IF(L40&gt;=0.4,"Low Performance",
"Very Low Performance")))))</f>
        <v>#REF!</v>
      </c>
      <c r="O40" s="7" t="e">
        <f>IF($L40=0,
"Failed minimum data validation; requires contextual review in FSF.",
"Ready for contextual review in FSF.")</f>
        <v>#REF!</v>
      </c>
    </row>
    <row r="41" spans="1:15" hidden="1">
      <c r="A41" s="7" t="e">
        <f>#REF!</f>
        <v>#REF!</v>
      </c>
      <c r="B41" s="7" t="e">
        <f>#REF!</f>
        <v>#REF!</v>
      </c>
      <c r="C41" s="7" t="e">
        <f>#REF!</f>
        <v>#REF!</v>
      </c>
      <c r="D41" s="7" t="e">
        <f>#REF!</f>
        <v>#REF!</v>
      </c>
      <c r="E41" s="7" t="e">
        <f>#REF!</f>
        <v>#REF!</v>
      </c>
      <c r="F41" s="7" t="e">
        <f>#REF!</f>
        <v>#REF!</v>
      </c>
      <c r="G41" s="7" t="e">
        <f>#REF!</f>
        <v>#REF!</v>
      </c>
      <c r="H41" s="7" t="e">
        <f>#REF!</f>
        <v>#REF!</v>
      </c>
      <c r="I41" s="7" t="e">
        <f>#REF!</f>
        <v>#REF!</v>
      </c>
      <c r="J41" s="7" t="e">
        <f t="shared" si="18"/>
        <v>#REF!</v>
      </c>
      <c r="K41" s="7" t="e">
        <f t="shared" si="19"/>
        <v>#REF!</v>
      </c>
      <c r="L41" s="7" t="e">
        <f>IF(D41&lt;&gt;"Valid","",#REF!*0.4+#REF!*0.6)</f>
        <v>#REF!</v>
      </c>
      <c r="M41" s="7"/>
      <c r="N41" s="7" t="e">
        <f>IF(D41&lt;&gt;"Valid","Not Assessed (Insufficient Valid Data)",LOOKUP(L41,tblPerformanceCategory[Min],tblPerformanceCategory[Performance Category]))</f>
        <v>#REF!</v>
      </c>
      <c r="O41" s="7" t="e">
        <f>IF(D41="Valid","Yes","No")</f>
        <v>#REF!</v>
      </c>
    </row>
    <row r="42" spans="1:15" ht="42" hidden="1" customHeight="1">
      <c r="A42" s="7" t="e">
        <f>#REF!</f>
        <v>#REF!</v>
      </c>
      <c r="B42" s="7" t="e">
        <f>#REF!</f>
        <v>#REF!</v>
      </c>
      <c r="C42" s="7" t="e">
        <f>#REF!</f>
        <v>#REF!</v>
      </c>
      <c r="D42" s="7" t="e">
        <f>#REF!</f>
        <v>#REF!</v>
      </c>
      <c r="E42" s="7" t="e">
        <f>#REF!</f>
        <v>#REF!</v>
      </c>
      <c r="F42" s="7" t="e">
        <f>#REF!</f>
        <v>#REF!</v>
      </c>
      <c r="G42" s="7" t="e">
        <f>#REF!</f>
        <v>#REF!</v>
      </c>
      <c r="H42" s="7" t="e">
        <f>#REF!</f>
        <v>#REF!</v>
      </c>
      <c r="I42" s="7" t="e">
        <f>#REF!</f>
        <v>#REF!</v>
      </c>
      <c r="J42" s="7" t="e">
        <f t="shared" si="18"/>
        <v>#REF!</v>
      </c>
      <c r="K42" s="7" t="e">
        <f t="shared" si="19"/>
        <v>#REF!</v>
      </c>
      <c r="L42" s="7" t="e">
        <f>IF($D42&lt;&gt;"Valid",0,IFERROR(AVERAGE(#REF!,#REF!),0))</f>
        <v>#REF!</v>
      </c>
      <c r="M42" s="21" t="str">
        <f>IF(ISNUMBER(L42),_xlfn.RANK.EQ(L42,$L$2:$L$500,0),"")</f>
        <v/>
      </c>
      <c r="N42" s="7" t="e">
        <f>IF(L42=0,
"Not Assessed",
IF(L42&gt;=0.85,"Very High Performance",
IF(L42&gt;=0.7,"High Performance",
IF(L42&gt;=0.55,"Moderate Performance",
IF(L42&gt;=0.4,"Low Performance",
"Very Low Performance")))))</f>
        <v>#REF!</v>
      </c>
      <c r="O42" s="7" t="e">
        <f>IF($L42=0,
"Failed minimum data validation; requires contextual review in FSF.",
"Ready for contextual review in FSF.")</f>
        <v>#REF!</v>
      </c>
    </row>
    <row r="43" spans="1:15" hidden="1">
      <c r="A43" s="7" t="e">
        <f>#REF!</f>
        <v>#REF!</v>
      </c>
      <c r="B43" s="7" t="e">
        <f>#REF!</f>
        <v>#REF!</v>
      </c>
      <c r="C43" s="7" t="e">
        <f>#REF!</f>
        <v>#REF!</v>
      </c>
      <c r="D43" s="7" t="e">
        <f>#REF!</f>
        <v>#REF!</v>
      </c>
      <c r="E43" s="7" t="e">
        <f>#REF!</f>
        <v>#REF!</v>
      </c>
      <c r="F43" s="7" t="e">
        <f>#REF!</f>
        <v>#REF!</v>
      </c>
      <c r="G43" s="7" t="e">
        <f>#REF!</f>
        <v>#REF!</v>
      </c>
      <c r="H43" s="7" t="e">
        <f>#REF!</f>
        <v>#REF!</v>
      </c>
      <c r="I43" s="7" t="e">
        <f>#REF!</f>
        <v>#REF!</v>
      </c>
      <c r="J43" s="7" t="e">
        <f t="shared" si="18"/>
        <v>#REF!</v>
      </c>
      <c r="K43" s="7" t="e">
        <f t="shared" si="19"/>
        <v>#REF!</v>
      </c>
      <c r="L43" s="7" t="e">
        <f>IF(D43&lt;&gt;"Valid","",#REF!*0.4+#REF!*0.6)</f>
        <v>#REF!</v>
      </c>
      <c r="M43" s="7"/>
      <c r="N43" s="7" t="e">
        <f>IF(D43&lt;&gt;"Valid","Not Assessed (Insufficient Valid Data)",LOOKUP(L43,tblPerformanceCategory[Min],tblPerformanceCategory[Performance Category]))</f>
        <v>#REF!</v>
      </c>
      <c r="O43" s="7" t="e">
        <f>IF(D43="Valid","Yes","No")</f>
        <v>#REF!</v>
      </c>
    </row>
    <row r="44" spans="1:15" ht="42" hidden="1" customHeight="1">
      <c r="A44" s="7" t="e">
        <f>#REF!</f>
        <v>#REF!</v>
      </c>
      <c r="B44" s="7" t="e">
        <f>#REF!</f>
        <v>#REF!</v>
      </c>
      <c r="C44" s="7" t="e">
        <f>#REF!</f>
        <v>#REF!</v>
      </c>
      <c r="D44" s="7" t="e">
        <f>#REF!</f>
        <v>#REF!</v>
      </c>
      <c r="E44" s="7" t="e">
        <f>#REF!</f>
        <v>#REF!</v>
      </c>
      <c r="F44" s="7" t="e">
        <f>#REF!</f>
        <v>#REF!</v>
      </c>
      <c r="G44" s="7" t="e">
        <f>#REF!</f>
        <v>#REF!</v>
      </c>
      <c r="H44" s="7" t="e">
        <f>#REF!</f>
        <v>#REF!</v>
      </c>
      <c r="I44" s="7" t="e">
        <f>#REF!</f>
        <v>#REF!</v>
      </c>
      <c r="J44" s="7" t="e">
        <f t="shared" si="18"/>
        <v>#REF!</v>
      </c>
      <c r="K44" s="7" t="e">
        <f t="shared" si="19"/>
        <v>#REF!</v>
      </c>
      <c r="L44" s="7" t="e">
        <f>IF($D44&lt;&gt;"Valid",0,IFERROR(AVERAGE(#REF!,#REF!),0))</f>
        <v>#REF!</v>
      </c>
      <c r="M44" s="21" t="str">
        <f>IF(ISNUMBER(L44),_xlfn.RANK.EQ(L44,$L$2:$L$500,0),"")</f>
        <v/>
      </c>
      <c r="N44" s="7" t="e">
        <f>IF(L44=0,
"Not Assessed",
IF(L44&gt;=0.85,"Very High Performance",
IF(L44&gt;=0.7,"High Performance",
IF(L44&gt;=0.55,"Moderate Performance",
IF(L44&gt;=0.4,"Low Performance",
"Very Low Performance")))))</f>
        <v>#REF!</v>
      </c>
      <c r="O44" s="7" t="e">
        <f>IF($L44=0,
"Failed minimum data validation; requires contextual review in FSF.",
"Ready for contextual review in FSF.")</f>
        <v>#REF!</v>
      </c>
    </row>
    <row r="45" spans="1:15" hidden="1">
      <c r="A45" s="7" t="e">
        <f>#REF!</f>
        <v>#REF!</v>
      </c>
      <c r="B45" s="7" t="e">
        <f>#REF!</f>
        <v>#REF!</v>
      </c>
      <c r="C45" s="7" t="e">
        <f>#REF!</f>
        <v>#REF!</v>
      </c>
      <c r="D45" s="7" t="e">
        <f>#REF!</f>
        <v>#REF!</v>
      </c>
      <c r="E45" s="7" t="e">
        <f>#REF!</f>
        <v>#REF!</v>
      </c>
      <c r="F45" s="7" t="e">
        <f>#REF!</f>
        <v>#REF!</v>
      </c>
      <c r="G45" s="7" t="e">
        <f>#REF!</f>
        <v>#REF!</v>
      </c>
      <c r="H45" s="7" t="e">
        <f>#REF!</f>
        <v>#REF!</v>
      </c>
      <c r="I45" s="7" t="e">
        <f>#REF!</f>
        <v>#REF!</v>
      </c>
      <c r="J45" s="7" t="e">
        <f t="shared" si="18"/>
        <v>#REF!</v>
      </c>
      <c r="K45" s="7" t="e">
        <f t="shared" si="19"/>
        <v>#REF!</v>
      </c>
      <c r="L45" s="7" t="e">
        <f>IF(D45&lt;&gt;"Valid","",#REF!*0.4+#REF!*0.6)</f>
        <v>#REF!</v>
      </c>
      <c r="M45" s="7"/>
      <c r="N45" s="7" t="e">
        <f>IF(D45&lt;&gt;"Valid","Not Assessed (Insufficient Valid Data)",LOOKUP(L45,tblPerformanceCategory[Min],tblPerformanceCategory[Performance Category]))</f>
        <v>#REF!</v>
      </c>
      <c r="O45" s="7" t="e">
        <f>IF(D45="Valid","Yes","No")</f>
        <v>#REF!</v>
      </c>
    </row>
    <row r="46" spans="1:15" ht="42" hidden="1" customHeight="1">
      <c r="A46" s="7" t="e">
        <f>#REF!</f>
        <v>#REF!</v>
      </c>
      <c r="B46" s="7" t="e">
        <f>#REF!</f>
        <v>#REF!</v>
      </c>
      <c r="C46" s="7" t="e">
        <f>#REF!</f>
        <v>#REF!</v>
      </c>
      <c r="D46" s="7" t="e">
        <f>#REF!</f>
        <v>#REF!</v>
      </c>
      <c r="E46" s="7" t="e">
        <f>#REF!</f>
        <v>#REF!</v>
      </c>
      <c r="F46" s="7" t="e">
        <f>#REF!</f>
        <v>#REF!</v>
      </c>
      <c r="G46" s="7" t="e">
        <f>#REF!</f>
        <v>#REF!</v>
      </c>
      <c r="H46" s="7" t="e">
        <f>#REF!</f>
        <v>#REF!</v>
      </c>
      <c r="I46" s="7" t="e">
        <f>#REF!</f>
        <v>#REF!</v>
      </c>
      <c r="J46" s="7" t="e">
        <f t="shared" si="18"/>
        <v>#REF!</v>
      </c>
      <c r="K46" s="7" t="e">
        <f t="shared" si="19"/>
        <v>#REF!</v>
      </c>
      <c r="L46" s="7" t="e">
        <f>IF($D46&lt;&gt;"Valid",0,IFERROR(AVERAGE(#REF!,#REF!),0))</f>
        <v>#REF!</v>
      </c>
      <c r="M46" s="21" t="str">
        <f>IF(ISNUMBER(L46),_xlfn.RANK.EQ(L46,$L$2:$L$500,0),"")</f>
        <v/>
      </c>
      <c r="N46" s="7" t="e">
        <f>IF(L46=0,
"Not Assessed",
IF(L46&gt;=0.85,"Very High Performance",
IF(L46&gt;=0.7,"High Performance",
IF(L46&gt;=0.55,"Moderate Performance",
IF(L46&gt;=0.4,"Low Performance",
"Very Low Performance")))))</f>
        <v>#REF!</v>
      </c>
      <c r="O46" s="7" t="e">
        <f>IF($L46=0,
"Failed minimum data validation; requires contextual review in FSF.",
"Ready for contextual review in FSF.")</f>
        <v>#REF!</v>
      </c>
    </row>
    <row r="47" spans="1:15" ht="42" hidden="1" customHeight="1">
      <c r="A47" s="7" t="e">
        <f>#REF!</f>
        <v>#REF!</v>
      </c>
      <c r="B47" s="7" t="e">
        <f>#REF!</f>
        <v>#REF!</v>
      </c>
      <c r="C47" s="7" t="e">
        <f>#REF!</f>
        <v>#REF!</v>
      </c>
      <c r="D47" s="7" t="e">
        <f>#REF!</f>
        <v>#REF!</v>
      </c>
      <c r="E47" s="7" t="e">
        <f>#REF!</f>
        <v>#REF!</v>
      </c>
      <c r="F47" s="7" t="e">
        <f>#REF!</f>
        <v>#REF!</v>
      </c>
      <c r="G47" s="7" t="e">
        <f>#REF!</f>
        <v>#REF!</v>
      </c>
      <c r="H47" s="7" t="e">
        <f>#REF!</f>
        <v>#REF!</v>
      </c>
      <c r="I47" s="7" t="e">
        <f>#REF!</f>
        <v>#REF!</v>
      </c>
      <c r="J47" s="7" t="e">
        <f t="shared" si="18"/>
        <v>#REF!</v>
      </c>
      <c r="K47" s="7" t="e">
        <f t="shared" si="19"/>
        <v>#REF!</v>
      </c>
      <c r="L47" s="7" t="e">
        <f>IF($D47&lt;&gt;"Valid",0,IFERROR(AVERAGE(#REF!,#REF!),0))</f>
        <v>#REF!</v>
      </c>
      <c r="M47" s="21" t="str">
        <f>IF(ISNUMBER(L47),_xlfn.RANK.EQ(L47,$L$2:$L$500,0),"")</f>
        <v/>
      </c>
      <c r="N47" s="7" t="e">
        <f>IF(L47=0,
"Not Assessed",
IF(L47&gt;=0.85,"Very High Performance",
IF(L47&gt;=0.7,"High Performance",
IF(L47&gt;=0.55,"Moderate Performance",
IF(L47&gt;=0.4,"Low Performance",
"Very Low Performance")))))</f>
        <v>#REF!</v>
      </c>
      <c r="O47" s="7" t="e">
        <f>IF($L47=0,
"Failed minimum data validation; requires contextual review in FSF.",
"Ready for contextual review in FSF.")</f>
        <v>#REF!</v>
      </c>
    </row>
    <row r="48" spans="1:15" ht="42" customHeight="1">
      <c r="A48" s="7" t="str">
        <f>Derived_Indicators!A48</f>
        <v>Bwari Local Government Area</v>
      </c>
      <c r="B48" s="7" t="str">
        <f>Derived_Indicators!B48</f>
        <v>Byazhin Ward</v>
      </c>
      <c r="C48" s="7" t="str">
        <f>Derived_Indicators!C48</f>
        <v>Byazhin Primary Health Center</v>
      </c>
      <c r="D48" s="7" t="str">
        <f>Derived_Indicators!Q48</f>
        <v>Invalid</v>
      </c>
      <c r="E48" s="23">
        <f>Derived_Indicators!D48</f>
        <v>0.97777777777777775</v>
      </c>
      <c r="F48" s="23">
        <f>Derived_Indicators!E48</f>
        <v>0.88888888888888884</v>
      </c>
      <c r="G48" s="23">
        <f>Derived_Indicators!K48</f>
        <v>1.0910518053375196</v>
      </c>
      <c r="H48" s="23">
        <f>Derived_Indicators!M48</f>
        <v>0.47659574468085109</v>
      </c>
      <c r="I48" s="23">
        <f>Derived_Indicators!N48</f>
        <v>5.2127659574468084E-2</v>
      </c>
      <c r="J48" s="23" t="str">
        <f>IF($D48&lt;&gt;"Valid","",AVERAGE(E48:F48))</f>
        <v/>
      </c>
      <c r="K48" s="23" t="str">
        <f>IF($D48&lt;&gt;"Valid","",AVERAGE(G48:I48))</f>
        <v/>
      </c>
      <c r="L48" s="23" t="str">
        <f>IF($D48&lt;&gt;"Valid","",AVERAGE(J48,K48))</f>
        <v/>
      </c>
      <c r="M48" s="21" t="str">
        <f>IF(AND($D48="Valid",ISNUMBER(L48)),RANK(L48,$L$2:$L$500,0),"")</f>
        <v/>
      </c>
      <c r="N48" s="7" t="str">
        <f>IF(L48="",
"Not Assessed",
IF(L48&gt;=0.85,"Excellent",
IF(L48&gt;=0.7,"Good",
IF(L48&gt;=0.55,"Moderate",
IF(L48&gt;=0.4,"Low",
"Very Low")))))</f>
        <v>Not Assessed</v>
      </c>
      <c r="O48" s="7" t="str">
        <f>IF($D48&lt;&gt;"Valid",
"Failed data validation; excluded from HFSI and requires contextual review in the Health Facility Selection Framework (HFSF).",
"Eligible for contextual assessment using the Health Facility Selection Framework (HFSF).")</f>
        <v>Failed data validation; excluded from HFSI and requires contextual review in the Health Facility Selection Framework (HFSF).</v>
      </c>
    </row>
    <row r="49" spans="1:15" ht="42" hidden="1" customHeight="1">
      <c r="A49" s="7" t="e">
        <f>#REF!</f>
        <v>#REF!</v>
      </c>
      <c r="B49" s="7" t="e">
        <f>#REF!</f>
        <v>#REF!</v>
      </c>
      <c r="C49" s="7" t="e">
        <f>#REF!</f>
        <v>#REF!</v>
      </c>
      <c r="D49" s="7" t="e">
        <f>#REF!</f>
        <v>#REF!</v>
      </c>
      <c r="E49" s="7" t="e">
        <f>#REF!</f>
        <v>#REF!</v>
      </c>
      <c r="F49" s="7" t="e">
        <f>#REF!</f>
        <v>#REF!</v>
      </c>
      <c r="G49" s="7" t="e">
        <f>#REF!</f>
        <v>#REF!</v>
      </c>
      <c r="H49" s="7" t="e">
        <f>#REF!</f>
        <v>#REF!</v>
      </c>
      <c r="I49" s="7" t="e">
        <f>#REF!</f>
        <v>#REF!</v>
      </c>
      <c r="J49" s="7" t="e">
        <f t="shared" ref="J49:J56" si="20">IF(D49&lt;&gt;"Valid","",SUM(E49:F49))</f>
        <v>#REF!</v>
      </c>
      <c r="K49" s="7" t="e">
        <f t="shared" ref="K49:K56" si="21">IF(D49&lt;&gt;"Valid","",SUM(G49:I49))</f>
        <v>#REF!</v>
      </c>
      <c r="L49" s="7" t="e">
        <f>IF($D49&lt;&gt;"Valid",0,IFERROR(AVERAGE(#REF!,#REF!),0))</f>
        <v>#REF!</v>
      </c>
      <c r="M49" s="21" t="str">
        <f>IF(ISNUMBER(L49),_xlfn.RANK.EQ(L49,$L$2:$L$500,0),"")</f>
        <v/>
      </c>
      <c r="N49" s="7" t="e">
        <f>IF(L49=0,
"Not Assessed",
IF(L49&gt;=0.85,"Very High Performance",
IF(L49&gt;=0.7,"High Performance",
IF(L49&gt;=0.55,"Moderate Performance",
IF(L49&gt;=0.4,"Low Performance",
"Very Low Performance")))))</f>
        <v>#REF!</v>
      </c>
      <c r="O49" s="7" t="e">
        <f>IF($L49=0,
"Failed minimum data validation; requires contextual review in FSF.",
"Ready for contextual review in FSF.")</f>
        <v>#REF!</v>
      </c>
    </row>
    <row r="50" spans="1:15" ht="42" hidden="1" customHeight="1">
      <c r="A50" s="7" t="e">
        <f>#REF!</f>
        <v>#REF!</v>
      </c>
      <c r="B50" s="7" t="e">
        <f>#REF!</f>
        <v>#REF!</v>
      </c>
      <c r="C50" s="7" t="e">
        <f>#REF!</f>
        <v>#REF!</v>
      </c>
      <c r="D50" s="7" t="e">
        <f>#REF!</f>
        <v>#REF!</v>
      </c>
      <c r="E50" s="7" t="e">
        <f>#REF!</f>
        <v>#REF!</v>
      </c>
      <c r="F50" s="7" t="e">
        <f>#REF!</f>
        <v>#REF!</v>
      </c>
      <c r="G50" s="7" t="e">
        <f>#REF!</f>
        <v>#REF!</v>
      </c>
      <c r="H50" s="7" t="e">
        <f>#REF!</f>
        <v>#REF!</v>
      </c>
      <c r="I50" s="7" t="e">
        <f>#REF!</f>
        <v>#REF!</v>
      </c>
      <c r="J50" s="7" t="e">
        <f t="shared" si="20"/>
        <v>#REF!</v>
      </c>
      <c r="K50" s="7" t="e">
        <f t="shared" si="21"/>
        <v>#REF!</v>
      </c>
      <c r="L50" s="7" t="e">
        <f>IF($D50&lt;&gt;"Valid",0,IFERROR(AVERAGE(#REF!,#REF!),0))</f>
        <v>#REF!</v>
      </c>
      <c r="M50" s="21" t="str">
        <f>IF(ISNUMBER(L50),_xlfn.RANK.EQ(L50,$L$2:$L$500,0),"")</f>
        <v/>
      </c>
      <c r="N50" s="7" t="e">
        <f>IF(L50=0,
"Not Assessed",
IF(L50&gt;=0.85,"Very High Performance",
IF(L50&gt;=0.7,"High Performance",
IF(L50&gt;=0.55,"Moderate Performance",
IF(L50&gt;=0.4,"Low Performance",
"Very Low Performance")))))</f>
        <v>#REF!</v>
      </c>
      <c r="O50" s="7" t="e">
        <f>IF($L50=0,
"Failed minimum data validation; requires contextual review in FSF.",
"Ready for contextual review in FSF.")</f>
        <v>#REF!</v>
      </c>
    </row>
    <row r="51" spans="1:15" hidden="1">
      <c r="A51" s="7" t="e">
        <f>#REF!</f>
        <v>#REF!</v>
      </c>
      <c r="B51" s="7" t="e">
        <f>#REF!</f>
        <v>#REF!</v>
      </c>
      <c r="C51" s="7" t="e">
        <f>#REF!</f>
        <v>#REF!</v>
      </c>
      <c r="D51" s="7" t="e">
        <f>#REF!</f>
        <v>#REF!</v>
      </c>
      <c r="E51" s="7" t="e">
        <f>#REF!</f>
        <v>#REF!</v>
      </c>
      <c r="F51" s="7" t="e">
        <f>#REF!</f>
        <v>#REF!</v>
      </c>
      <c r="G51" s="7" t="e">
        <f>#REF!</f>
        <v>#REF!</v>
      </c>
      <c r="H51" s="7" t="e">
        <f>#REF!</f>
        <v>#REF!</v>
      </c>
      <c r="I51" s="7" t="e">
        <f>#REF!</f>
        <v>#REF!</v>
      </c>
      <c r="J51" s="7" t="e">
        <f t="shared" si="20"/>
        <v>#REF!</v>
      </c>
      <c r="K51" s="7" t="e">
        <f t="shared" si="21"/>
        <v>#REF!</v>
      </c>
      <c r="L51" s="7" t="e">
        <f>IF(D51&lt;&gt;"Valid","",#REF!*0.4+#REF!*0.6)</f>
        <v>#REF!</v>
      </c>
      <c r="M51" s="7"/>
      <c r="N51" s="7" t="e">
        <f>IF(D51&lt;&gt;"Valid","Not Assessed (Insufficient Valid Data)",LOOKUP(L51,tblPerformanceCategory[Min],tblPerformanceCategory[Performance Category]))</f>
        <v>#REF!</v>
      </c>
      <c r="O51" s="7" t="e">
        <f>IF(D51="Valid","Yes","No")</f>
        <v>#REF!</v>
      </c>
    </row>
    <row r="52" spans="1:15" hidden="1">
      <c r="A52" s="7" t="e">
        <f>#REF!</f>
        <v>#REF!</v>
      </c>
      <c r="B52" s="7" t="e">
        <f>#REF!</f>
        <v>#REF!</v>
      </c>
      <c r="C52" s="7" t="e">
        <f>#REF!</f>
        <v>#REF!</v>
      </c>
      <c r="D52" s="7" t="e">
        <f>#REF!</f>
        <v>#REF!</v>
      </c>
      <c r="E52" s="7" t="e">
        <f>#REF!</f>
        <v>#REF!</v>
      </c>
      <c r="F52" s="7" t="e">
        <f>#REF!</f>
        <v>#REF!</v>
      </c>
      <c r="G52" s="7" t="e">
        <f>#REF!</f>
        <v>#REF!</v>
      </c>
      <c r="H52" s="7" t="e">
        <f>#REF!</f>
        <v>#REF!</v>
      </c>
      <c r="I52" s="7" t="e">
        <f>#REF!</f>
        <v>#REF!</v>
      </c>
      <c r="J52" s="7" t="e">
        <f t="shared" si="20"/>
        <v>#REF!</v>
      </c>
      <c r="K52" s="7" t="e">
        <f t="shared" si="21"/>
        <v>#REF!</v>
      </c>
      <c r="L52" s="7" t="e">
        <f>IF(D52&lt;&gt;"Valid","",#REF!*0.4+#REF!*0.6)</f>
        <v>#REF!</v>
      </c>
      <c r="M52" s="7"/>
      <c r="N52" s="7" t="e">
        <f>IF(D52&lt;&gt;"Valid","Not Assessed (Insufficient Valid Data)",LOOKUP(L52,tblPerformanceCategory[Min],tblPerformanceCategory[Performance Category]))</f>
        <v>#REF!</v>
      </c>
      <c r="O52" s="7" t="e">
        <f>IF(D52="Valid","Yes","No")</f>
        <v>#REF!</v>
      </c>
    </row>
    <row r="53" spans="1:15" hidden="1">
      <c r="A53" s="7" t="e">
        <f>#REF!</f>
        <v>#REF!</v>
      </c>
      <c r="B53" s="7" t="e">
        <f>#REF!</f>
        <v>#REF!</v>
      </c>
      <c r="C53" s="7" t="e">
        <f>#REF!</f>
        <v>#REF!</v>
      </c>
      <c r="D53" s="7" t="e">
        <f>#REF!</f>
        <v>#REF!</v>
      </c>
      <c r="E53" s="7" t="e">
        <f>#REF!</f>
        <v>#REF!</v>
      </c>
      <c r="F53" s="7" t="e">
        <f>#REF!</f>
        <v>#REF!</v>
      </c>
      <c r="G53" s="7" t="e">
        <f>#REF!</f>
        <v>#REF!</v>
      </c>
      <c r="H53" s="7" t="e">
        <f>#REF!</f>
        <v>#REF!</v>
      </c>
      <c r="I53" s="7" t="e">
        <f>#REF!</f>
        <v>#REF!</v>
      </c>
      <c r="J53" s="7" t="e">
        <f t="shared" si="20"/>
        <v>#REF!</v>
      </c>
      <c r="K53" s="7" t="e">
        <f t="shared" si="21"/>
        <v>#REF!</v>
      </c>
      <c r="L53" s="7" t="e">
        <f>IF(D53&lt;&gt;"Valid","",#REF!*0.4+#REF!*0.6)</f>
        <v>#REF!</v>
      </c>
      <c r="M53" s="7"/>
      <c r="N53" s="7" t="e">
        <f>IF(D53&lt;&gt;"Valid","Not Assessed (Insufficient Valid Data)",LOOKUP(L53,tblPerformanceCategory[Min],tblPerformanceCategory[Performance Category]))</f>
        <v>#REF!</v>
      </c>
      <c r="O53" s="7" t="e">
        <f>IF(D53="Valid","Yes","No")</f>
        <v>#REF!</v>
      </c>
    </row>
    <row r="54" spans="1:15" ht="42" hidden="1" customHeight="1">
      <c r="A54" s="7" t="e">
        <f>#REF!</f>
        <v>#REF!</v>
      </c>
      <c r="B54" s="7" t="e">
        <f>#REF!</f>
        <v>#REF!</v>
      </c>
      <c r="C54" s="7" t="e">
        <f>#REF!</f>
        <v>#REF!</v>
      </c>
      <c r="D54" s="7" t="e">
        <f>#REF!</f>
        <v>#REF!</v>
      </c>
      <c r="E54" s="7" t="e">
        <f>#REF!</f>
        <v>#REF!</v>
      </c>
      <c r="F54" s="7" t="e">
        <f>#REF!</f>
        <v>#REF!</v>
      </c>
      <c r="G54" s="7" t="e">
        <f>#REF!</f>
        <v>#REF!</v>
      </c>
      <c r="H54" s="7" t="e">
        <f>#REF!</f>
        <v>#REF!</v>
      </c>
      <c r="I54" s="7" t="e">
        <f>#REF!</f>
        <v>#REF!</v>
      </c>
      <c r="J54" s="7" t="e">
        <f t="shared" si="20"/>
        <v>#REF!</v>
      </c>
      <c r="K54" s="7" t="e">
        <f t="shared" si="21"/>
        <v>#REF!</v>
      </c>
      <c r="L54" s="7" t="e">
        <f>IF($D54&lt;&gt;"Valid",0,IFERROR(AVERAGE(#REF!,#REF!),0))</f>
        <v>#REF!</v>
      </c>
      <c r="M54" s="21" t="str">
        <f>IF(ISNUMBER(L54),_xlfn.RANK.EQ(L54,$L$2:$L$500,0),"")</f>
        <v/>
      </c>
      <c r="N54" s="7" t="e">
        <f>IF(L54=0,
"Not Assessed",
IF(L54&gt;=0.85,"Very High Performance",
IF(L54&gt;=0.7,"High Performance",
IF(L54&gt;=0.55,"Moderate Performance",
IF(L54&gt;=0.4,"Low Performance",
"Very Low Performance")))))</f>
        <v>#REF!</v>
      </c>
      <c r="O54" s="7" t="e">
        <f>IF($L54=0,
"Failed minimum data validation; requires contextual review in FSF.",
"Ready for contextual review in FSF.")</f>
        <v>#REF!</v>
      </c>
    </row>
    <row r="55" spans="1:15" ht="42" hidden="1" customHeight="1">
      <c r="A55" s="7" t="e">
        <f>#REF!</f>
        <v>#REF!</v>
      </c>
      <c r="B55" s="7" t="e">
        <f>#REF!</f>
        <v>#REF!</v>
      </c>
      <c r="C55" s="7" t="e">
        <f>#REF!</f>
        <v>#REF!</v>
      </c>
      <c r="D55" s="7" t="e">
        <f>#REF!</f>
        <v>#REF!</v>
      </c>
      <c r="E55" s="7" t="e">
        <f>#REF!</f>
        <v>#REF!</v>
      </c>
      <c r="F55" s="7" t="e">
        <f>#REF!</f>
        <v>#REF!</v>
      </c>
      <c r="G55" s="7" t="e">
        <f>#REF!</f>
        <v>#REF!</v>
      </c>
      <c r="H55" s="7" t="e">
        <f>#REF!</f>
        <v>#REF!</v>
      </c>
      <c r="I55" s="7" t="e">
        <f>#REF!</f>
        <v>#REF!</v>
      </c>
      <c r="J55" s="7" t="e">
        <f t="shared" si="20"/>
        <v>#REF!</v>
      </c>
      <c r="K55" s="7" t="e">
        <f t="shared" si="21"/>
        <v>#REF!</v>
      </c>
      <c r="L55" s="7" t="e">
        <f>IF($D55&lt;&gt;"Valid",0,IFERROR(AVERAGE(#REF!,#REF!),0))</f>
        <v>#REF!</v>
      </c>
      <c r="M55" s="21" t="str">
        <f>IF(ISNUMBER(L55),_xlfn.RANK.EQ(L55,$L$2:$L$500,0),"")</f>
        <v/>
      </c>
      <c r="N55" s="7" t="e">
        <f>IF(L55=0,
"Not Assessed",
IF(L55&gt;=0.85,"Very High Performance",
IF(L55&gt;=0.7,"High Performance",
IF(L55&gt;=0.55,"Moderate Performance",
IF(L55&gt;=0.4,"Low Performance",
"Very Low Performance")))))</f>
        <v>#REF!</v>
      </c>
      <c r="O55" s="7" t="e">
        <f>IF($L55=0,
"Failed minimum data validation; requires contextual review in FSF.",
"Ready for contextual review in FSF.")</f>
        <v>#REF!</v>
      </c>
    </row>
    <row r="56" spans="1:15" hidden="1">
      <c r="A56" s="7" t="e">
        <f>#REF!</f>
        <v>#REF!</v>
      </c>
      <c r="B56" s="7" t="e">
        <f>#REF!</f>
        <v>#REF!</v>
      </c>
      <c r="C56" s="7" t="e">
        <f>#REF!</f>
        <v>#REF!</v>
      </c>
      <c r="D56" s="7" t="e">
        <f>#REF!</f>
        <v>#REF!</v>
      </c>
      <c r="E56" s="7" t="e">
        <f>#REF!</f>
        <v>#REF!</v>
      </c>
      <c r="F56" s="7" t="e">
        <f>#REF!</f>
        <v>#REF!</v>
      </c>
      <c r="G56" s="7" t="e">
        <f>#REF!</f>
        <v>#REF!</v>
      </c>
      <c r="H56" s="7" t="e">
        <f>#REF!</f>
        <v>#REF!</v>
      </c>
      <c r="I56" s="7" t="e">
        <f>#REF!</f>
        <v>#REF!</v>
      </c>
      <c r="J56" s="7" t="e">
        <f t="shared" si="20"/>
        <v>#REF!</v>
      </c>
      <c r="K56" s="7" t="e">
        <f t="shared" si="21"/>
        <v>#REF!</v>
      </c>
      <c r="L56" s="7" t="e">
        <f>IF(D56&lt;&gt;"Valid","",#REF!*0.4+#REF!*0.6)</f>
        <v>#REF!</v>
      </c>
      <c r="M56" s="7"/>
      <c r="N56" s="7" t="e">
        <f>IF(D56&lt;&gt;"Valid","Not Assessed (Insufficient Valid Data)",LOOKUP(L56,tblPerformanceCategory[Min],tblPerformanceCategory[Performance Category]))</f>
        <v>#REF!</v>
      </c>
      <c r="O56" s="7" t="e">
        <f>IF(D56="Valid","Yes","No")</f>
        <v>#REF!</v>
      </c>
    </row>
    <row r="57" spans="1:15" ht="42" customHeight="1">
      <c r="A57" s="7" t="str">
        <f>Derived_Indicators!A57</f>
        <v>Abuja Municipal Area Council</v>
      </c>
      <c r="B57" s="7" t="str">
        <f>Derived_Indicators!B57</f>
        <v>Orozo Ward</v>
      </c>
      <c r="C57" s="7" t="str">
        <f>Derived_Indicators!C57</f>
        <v>Chorin-Bisa Primary Health Centre</v>
      </c>
      <c r="D57" s="7" t="str">
        <f>Derived_Indicators!Q57</f>
        <v>Incomplete</v>
      </c>
      <c r="E57" s="23">
        <f>Derived_Indicators!D57</f>
        <v>0.93181818181818188</v>
      </c>
      <c r="F57" s="23" t="str">
        <f>Derived_Indicators!E57</f>
        <v/>
      </c>
      <c r="G57" s="23">
        <f>Derived_Indicators!K57</f>
        <v>1.153225806451613</v>
      </c>
      <c r="H57" s="23">
        <f>Derived_Indicators!M57</f>
        <v>0.16822429906542055</v>
      </c>
      <c r="I57" s="23" t="str">
        <f>Derived_Indicators!N57</f>
        <v/>
      </c>
      <c r="J57" s="23" t="str">
        <f>IF($D57&lt;&gt;"Valid","",AVERAGE(E57:F57))</f>
        <v/>
      </c>
      <c r="K57" s="23" t="str">
        <f>IF($D57&lt;&gt;"Valid","",AVERAGE(G57:I57))</f>
        <v/>
      </c>
      <c r="L57" s="23" t="str">
        <f>IF($D57&lt;&gt;"Valid","",AVERAGE(J57,K57))</f>
        <v/>
      </c>
      <c r="M57" s="21" t="str">
        <f>IF(AND($D57="Valid",ISNUMBER(L57)),RANK(L57,$L$2:$L$500,0),"")</f>
        <v/>
      </c>
      <c r="N57" s="7" t="str">
        <f>IF(L57="",
"Not Assessed",
IF(L57&gt;=0.85,"Excellent",
IF(L57&gt;=0.7,"Good",
IF(L57&gt;=0.55,"Moderate",
IF(L57&gt;=0.4,"Low",
"Very Low")))))</f>
        <v>Not Assessed</v>
      </c>
      <c r="O57" s="7" t="str">
        <f>IF($D57&lt;&gt;"Valid",
"Failed data validation; excluded from HFSI and requires contextual review in the Health Facility Selection Framework (HFSF).",
"Eligible for contextual assessment using the Health Facility Selection Framework (HFSF).")</f>
        <v>Failed data validation; excluded from HFSI and requires contextual review in the Health Facility Selection Framework (HFSF).</v>
      </c>
    </row>
    <row r="58" spans="1:15" hidden="1">
      <c r="A58" s="7" t="e">
        <f>#REF!</f>
        <v>#REF!</v>
      </c>
      <c r="B58" s="7" t="e">
        <f>#REF!</f>
        <v>#REF!</v>
      </c>
      <c r="C58" s="7" t="e">
        <f>#REF!</f>
        <v>#REF!</v>
      </c>
      <c r="D58" s="7" t="e">
        <f>#REF!</f>
        <v>#REF!</v>
      </c>
      <c r="E58" s="7" t="e">
        <f>#REF!</f>
        <v>#REF!</v>
      </c>
      <c r="F58" s="7" t="e">
        <f>#REF!</f>
        <v>#REF!</v>
      </c>
      <c r="G58" s="7" t="e">
        <f>#REF!</f>
        <v>#REF!</v>
      </c>
      <c r="H58" s="7" t="e">
        <f>#REF!</f>
        <v>#REF!</v>
      </c>
      <c r="I58" s="7" t="e">
        <f>#REF!</f>
        <v>#REF!</v>
      </c>
      <c r="J58" s="7" t="e">
        <f>IF(D58&lt;&gt;"Valid","",SUM(E58:F58))</f>
        <v>#REF!</v>
      </c>
      <c r="K58" s="7" t="e">
        <f>IF(D58&lt;&gt;"Valid","",SUM(G58:I58))</f>
        <v>#REF!</v>
      </c>
      <c r="L58" s="7" t="e">
        <f>IF(D58&lt;&gt;"Valid","",#REF!*0.4+#REF!*0.6)</f>
        <v>#REF!</v>
      </c>
      <c r="M58" s="7"/>
      <c r="N58" s="7" t="e">
        <f>IF(D58&lt;&gt;"Valid","Not Assessed (Insufficient Valid Data)",LOOKUP(L58,tblPerformanceCategory[Min],tblPerformanceCategory[Performance Category]))</f>
        <v>#REF!</v>
      </c>
      <c r="O58" s="7" t="e">
        <f>IF(D58="Valid","Yes","No")</f>
        <v>#REF!</v>
      </c>
    </row>
    <row r="59" spans="1:15" hidden="1">
      <c r="A59" s="7" t="e">
        <f>#REF!</f>
        <v>#REF!</v>
      </c>
      <c r="B59" s="7" t="e">
        <f>#REF!</f>
        <v>#REF!</v>
      </c>
      <c r="C59" s="7" t="e">
        <f>#REF!</f>
        <v>#REF!</v>
      </c>
      <c r="D59" s="7" t="e">
        <f>#REF!</f>
        <v>#REF!</v>
      </c>
      <c r="E59" s="7" t="e">
        <f>#REF!</f>
        <v>#REF!</v>
      </c>
      <c r="F59" s="7" t="e">
        <f>#REF!</f>
        <v>#REF!</v>
      </c>
      <c r="G59" s="7" t="e">
        <f>#REF!</f>
        <v>#REF!</v>
      </c>
      <c r="H59" s="7" t="e">
        <f>#REF!</f>
        <v>#REF!</v>
      </c>
      <c r="I59" s="7" t="e">
        <f>#REF!</f>
        <v>#REF!</v>
      </c>
      <c r="J59" s="7" t="e">
        <f>IF(D59&lt;&gt;"Valid","",SUM(E59:F59))</f>
        <v>#REF!</v>
      </c>
      <c r="K59" s="7" t="e">
        <f>IF(D59&lt;&gt;"Valid","",SUM(G59:I59))</f>
        <v>#REF!</v>
      </c>
      <c r="L59" s="7" t="e">
        <f>IF(D59&lt;&gt;"Valid","",#REF!*0.4+#REF!*0.6)</f>
        <v>#REF!</v>
      </c>
      <c r="M59" s="7"/>
      <c r="N59" s="7" t="e">
        <f>IF(D59&lt;&gt;"Valid","Not Assessed (Insufficient Valid Data)",LOOKUP(L59,tblPerformanceCategory[Min],tblPerformanceCategory[Performance Category]))</f>
        <v>#REF!</v>
      </c>
      <c r="O59" s="7" t="e">
        <f>IF(D59="Valid","Yes","No")</f>
        <v>#REF!</v>
      </c>
    </row>
    <row r="60" spans="1:15" ht="42" hidden="1" customHeight="1">
      <c r="A60" s="7" t="e">
        <f>#REF!</f>
        <v>#REF!</v>
      </c>
      <c r="B60" s="7" t="e">
        <f>#REF!</f>
        <v>#REF!</v>
      </c>
      <c r="C60" s="7" t="e">
        <f>#REF!</f>
        <v>#REF!</v>
      </c>
      <c r="D60" s="7" t="e">
        <f>#REF!</f>
        <v>#REF!</v>
      </c>
      <c r="E60" s="7" t="e">
        <f>#REF!</f>
        <v>#REF!</v>
      </c>
      <c r="F60" s="7" t="e">
        <f>#REF!</f>
        <v>#REF!</v>
      </c>
      <c r="G60" s="7" t="e">
        <f>#REF!</f>
        <v>#REF!</v>
      </c>
      <c r="H60" s="7" t="e">
        <f>#REF!</f>
        <v>#REF!</v>
      </c>
      <c r="I60" s="7" t="e">
        <f>#REF!</f>
        <v>#REF!</v>
      </c>
      <c r="J60" s="7" t="e">
        <f>IF(D60&lt;&gt;"Valid","",SUM(E60:F60))</f>
        <v>#REF!</v>
      </c>
      <c r="K60" s="7" t="e">
        <f>IF(D60&lt;&gt;"Valid","",SUM(G60:I60))</f>
        <v>#REF!</v>
      </c>
      <c r="L60" s="7" t="e">
        <f>IF($D60&lt;&gt;"Valid",0,IFERROR(AVERAGE(#REF!,#REF!),0))</f>
        <v>#REF!</v>
      </c>
      <c r="M60" s="21" t="str">
        <f>IF(ISNUMBER(L60),_xlfn.RANK.EQ(L60,$L$2:$L$500,0),"")</f>
        <v/>
      </c>
      <c r="N60" s="7" t="e">
        <f>IF(L60=0,
"Not Assessed",
IF(L60&gt;=0.85,"Very High Performance",
IF(L60&gt;=0.7,"High Performance",
IF(L60&gt;=0.55,"Moderate Performance",
IF(L60&gt;=0.4,"Low Performance",
"Very Low Performance")))))</f>
        <v>#REF!</v>
      </c>
      <c r="O60" s="7" t="e">
        <f>IF($L60=0,
"Failed minimum data validation; requires contextual review in FSF.",
"Ready for contextual review in FSF.")</f>
        <v>#REF!</v>
      </c>
    </row>
    <row r="61" spans="1:15" ht="42" customHeight="1">
      <c r="A61" s="7" t="str">
        <f>Derived_Indicators!A61</f>
        <v>Abuja Municipal Area Council</v>
      </c>
      <c r="B61" s="7" t="str">
        <f>Derived_Indicators!B61</f>
        <v>Karu Ward</v>
      </c>
      <c r="C61" s="7" t="str">
        <f>Derived_Indicators!C61</f>
        <v>Cornelian Jubilee Hospital (Jikwoyi)</v>
      </c>
      <c r="D61" s="7" t="str">
        <f>Derived_Indicators!Q61</f>
        <v>Invalid</v>
      </c>
      <c r="E61" s="23" t="str">
        <f>Derived_Indicators!D61</f>
        <v/>
      </c>
      <c r="F61" s="23" t="str">
        <f>Derived_Indicators!E61</f>
        <v/>
      </c>
      <c r="G61" s="23">
        <f>Derived_Indicators!K61</f>
        <v>0.81818181818181823</v>
      </c>
      <c r="H61" s="23">
        <f>Derived_Indicators!M61</f>
        <v>1.3333333333333333</v>
      </c>
      <c r="I61" s="23">
        <f>Derived_Indicators!N61</f>
        <v>0.33333333333333331</v>
      </c>
      <c r="J61" s="23" t="str">
        <f>IF($D61&lt;&gt;"Valid","",AVERAGE(E61:F61))</f>
        <v/>
      </c>
      <c r="K61" s="23" t="str">
        <f>IF($D61&lt;&gt;"Valid","",AVERAGE(G61:I61))</f>
        <v/>
      </c>
      <c r="L61" s="23" t="str">
        <f>IF($D61&lt;&gt;"Valid","",AVERAGE(J61,K61))</f>
        <v/>
      </c>
      <c r="M61" s="21" t="str">
        <f>IF(AND($D61="Valid",ISNUMBER(L61)),RANK(L61,$L$2:$L$500,0),"")</f>
        <v/>
      </c>
      <c r="N61" s="7" t="str">
        <f>IF(L61="",
"Not Assessed",
IF(L61&gt;=0.85,"Excellent",
IF(L61&gt;=0.7,"Good",
IF(L61&gt;=0.55,"Moderate",
IF(L61&gt;=0.4,"Low",
"Very Low")))))</f>
        <v>Not Assessed</v>
      </c>
      <c r="O61" s="7" t="str">
        <f>IF($D61&lt;&gt;"Valid",
"Failed data validation; excluded from HFSI and requires contextual review in the Health Facility Selection Framework (HFSF).",
"Eligible for contextual assessment using the Health Facility Selection Framework (HFSF).")</f>
        <v>Failed data validation; excluded from HFSI and requires contextual review in the Health Facility Selection Framework (HFSF).</v>
      </c>
    </row>
    <row r="62" spans="1:15" ht="42" hidden="1" customHeight="1">
      <c r="A62" s="7" t="e">
        <f>#REF!</f>
        <v>#REF!</v>
      </c>
      <c r="B62" s="7" t="e">
        <f>#REF!</f>
        <v>#REF!</v>
      </c>
      <c r="C62" s="7" t="e">
        <f>#REF!</f>
        <v>#REF!</v>
      </c>
      <c r="D62" s="7" t="e">
        <f>#REF!</f>
        <v>#REF!</v>
      </c>
      <c r="E62" s="7" t="e">
        <f>#REF!</f>
        <v>#REF!</v>
      </c>
      <c r="F62" s="7" t="e">
        <f>#REF!</f>
        <v>#REF!</v>
      </c>
      <c r="G62" s="7" t="e">
        <f>#REF!</f>
        <v>#REF!</v>
      </c>
      <c r="H62" s="7" t="e">
        <f>#REF!</f>
        <v>#REF!</v>
      </c>
      <c r="I62" s="7" t="e">
        <f>#REF!</f>
        <v>#REF!</v>
      </c>
      <c r="J62" s="7" t="e">
        <f>IF(D62&lt;&gt;"Valid","",SUM(E62:F62))</f>
        <v>#REF!</v>
      </c>
      <c r="K62" s="7" t="e">
        <f>IF(D62&lt;&gt;"Valid","",SUM(G62:I62))</f>
        <v>#REF!</v>
      </c>
      <c r="L62" s="7" t="e">
        <f>IF($D62&lt;&gt;"Valid",0,IFERROR(AVERAGE(#REF!,#REF!),0))</f>
        <v>#REF!</v>
      </c>
      <c r="M62" s="21" t="str">
        <f>IF(ISNUMBER(L62),_xlfn.RANK.EQ(L62,$L$2:$L$500,0),"")</f>
        <v/>
      </c>
      <c r="N62" s="7" t="e">
        <f>IF(L62=0,
"Not Assessed",
IF(L62&gt;=0.85,"Very High Performance",
IF(L62&gt;=0.7,"High Performance",
IF(L62&gt;=0.55,"Moderate Performance",
IF(L62&gt;=0.4,"Low Performance",
"Very Low Performance")))))</f>
        <v>#REF!</v>
      </c>
      <c r="O62" s="7" t="e">
        <f>IF($L62=0,
"Failed minimum data validation; requires contextual review in FSF.",
"Ready for contextual review in FSF.")</f>
        <v>#REF!</v>
      </c>
    </row>
    <row r="63" spans="1:15" ht="42" customHeight="1">
      <c r="A63" s="7" t="str">
        <f>Derived_Indicators!A63</f>
        <v>Abuja Municipal Area Council</v>
      </c>
      <c r="B63" s="7" t="str">
        <f>Derived_Indicators!B63</f>
        <v>City Centre Ward</v>
      </c>
      <c r="C63" s="7" t="str">
        <f>Derived_Indicators!C63</f>
        <v>Crystal Paediatric Clinic</v>
      </c>
      <c r="D63" s="7" t="str">
        <f>Derived_Indicators!Q63</f>
        <v>No Data</v>
      </c>
      <c r="E63" s="23">
        <f>Derived_Indicators!D63</f>
        <v>1</v>
      </c>
      <c r="F63" s="23" t="str">
        <f>Derived_Indicators!E63</f>
        <v/>
      </c>
      <c r="G63" s="23">
        <f>Derived_Indicators!K63</f>
        <v>0.86956521739130432</v>
      </c>
      <c r="H63" s="23" t="str">
        <f>Derived_Indicators!M63</f>
        <v/>
      </c>
      <c r="I63" s="23" t="str">
        <f>Derived_Indicators!N63</f>
        <v/>
      </c>
      <c r="J63" s="23" t="str">
        <f>IF($D63&lt;&gt;"Valid","",AVERAGE(E63:F63))</f>
        <v/>
      </c>
      <c r="K63" s="23" t="str">
        <f>IF($D63&lt;&gt;"Valid","",AVERAGE(G63:I63))</f>
        <v/>
      </c>
      <c r="L63" s="23" t="str">
        <f>IF($D63&lt;&gt;"Valid","",AVERAGE(J63,K63))</f>
        <v/>
      </c>
      <c r="M63" s="21" t="str">
        <f>IF(AND($D63="Valid",ISNUMBER(L63)),RANK(L63,$L$2:$L$500,0),"")</f>
        <v/>
      </c>
      <c r="N63" s="7" t="str">
        <f>IF(L63="",
"Not Assessed",
IF(L63&gt;=0.85,"Excellent",
IF(L63&gt;=0.7,"Good",
IF(L63&gt;=0.55,"Moderate",
IF(L63&gt;=0.4,"Low",
"Very Low")))))</f>
        <v>Not Assessed</v>
      </c>
      <c r="O63" s="7" t="str">
        <f>IF($D63&lt;&gt;"Valid",
"Failed data validation; excluded from HFSI and requires contextual review in the Health Facility Selection Framework (HFSF).",
"Eligible for contextual assessment using the Health Facility Selection Framework (HFSF).")</f>
        <v>Failed data validation; excluded from HFSI and requires contextual review in the Health Facility Selection Framework (HFSF).</v>
      </c>
    </row>
    <row r="64" spans="1:15" hidden="1">
      <c r="A64" s="7" t="e">
        <f>#REF!</f>
        <v>#REF!</v>
      </c>
      <c r="B64" s="7" t="e">
        <f>#REF!</f>
        <v>#REF!</v>
      </c>
      <c r="C64" s="7" t="e">
        <f>#REF!</f>
        <v>#REF!</v>
      </c>
      <c r="D64" s="7" t="e">
        <f>#REF!</f>
        <v>#REF!</v>
      </c>
      <c r="E64" s="7" t="e">
        <f>#REF!</f>
        <v>#REF!</v>
      </c>
      <c r="F64" s="7" t="e">
        <f>#REF!</f>
        <v>#REF!</v>
      </c>
      <c r="G64" s="7" t="e">
        <f>#REF!</f>
        <v>#REF!</v>
      </c>
      <c r="H64" s="7" t="e">
        <f>#REF!</f>
        <v>#REF!</v>
      </c>
      <c r="I64" s="7" t="e">
        <f>#REF!</f>
        <v>#REF!</v>
      </c>
      <c r="J64" s="7" t="e">
        <f>IF(D64&lt;&gt;"Valid","",SUM(E64:F64))</f>
        <v>#REF!</v>
      </c>
      <c r="K64" s="7" t="e">
        <f>IF(D64&lt;&gt;"Valid","",SUM(G64:I64))</f>
        <v>#REF!</v>
      </c>
      <c r="L64" s="7" t="e">
        <f>IF(D64&lt;&gt;"Valid","",#REF!*0.4+#REF!*0.6)</f>
        <v>#REF!</v>
      </c>
      <c r="M64" s="7"/>
      <c r="N64" s="7" t="e">
        <f>IF(D64&lt;&gt;"Valid","Not Assessed (Insufficient Valid Data)",LOOKUP(L64,tblPerformanceCategory[Min],tblPerformanceCategory[Performance Category]))</f>
        <v>#REF!</v>
      </c>
      <c r="O64" s="7" t="e">
        <f>IF(D64="Valid","Yes","No")</f>
        <v>#REF!</v>
      </c>
    </row>
    <row r="65" spans="1:15" hidden="1">
      <c r="A65" s="7" t="e">
        <f>#REF!</f>
        <v>#REF!</v>
      </c>
      <c r="B65" s="7" t="e">
        <f>#REF!</f>
        <v>#REF!</v>
      </c>
      <c r="C65" s="7" t="e">
        <f>#REF!</f>
        <v>#REF!</v>
      </c>
      <c r="D65" s="7" t="e">
        <f>#REF!</f>
        <v>#REF!</v>
      </c>
      <c r="E65" s="7" t="e">
        <f>#REF!</f>
        <v>#REF!</v>
      </c>
      <c r="F65" s="7" t="e">
        <f>#REF!</f>
        <v>#REF!</v>
      </c>
      <c r="G65" s="7" t="e">
        <f>#REF!</f>
        <v>#REF!</v>
      </c>
      <c r="H65" s="7" t="e">
        <f>#REF!</f>
        <v>#REF!</v>
      </c>
      <c r="I65" s="7" t="e">
        <f>#REF!</f>
        <v>#REF!</v>
      </c>
      <c r="J65" s="7" t="e">
        <f>IF(D65&lt;&gt;"Valid","",SUM(E65:F65))</f>
        <v>#REF!</v>
      </c>
      <c r="K65" s="7" t="e">
        <f>IF(D65&lt;&gt;"Valid","",SUM(G65:I65))</f>
        <v>#REF!</v>
      </c>
      <c r="L65" s="7" t="e">
        <f>IF(D65&lt;&gt;"Valid","",#REF!*0.4+#REF!*0.6)</f>
        <v>#REF!</v>
      </c>
      <c r="M65" s="7"/>
      <c r="N65" s="7" t="e">
        <f>IF(D65&lt;&gt;"Valid","Not Assessed (Insufficient Valid Data)",LOOKUP(L65,tblPerformanceCategory[Min],tblPerformanceCategory[Performance Category]))</f>
        <v>#REF!</v>
      </c>
      <c r="O65" s="7" t="e">
        <f>IF(D65="Valid","Yes","No")</f>
        <v>#REF!</v>
      </c>
    </row>
    <row r="66" spans="1:15" hidden="1">
      <c r="A66" s="7" t="e">
        <f>#REF!</f>
        <v>#REF!</v>
      </c>
      <c r="B66" s="7" t="e">
        <f>#REF!</f>
        <v>#REF!</v>
      </c>
      <c r="C66" s="7" t="e">
        <f>#REF!</f>
        <v>#REF!</v>
      </c>
      <c r="D66" s="7" t="e">
        <f>#REF!</f>
        <v>#REF!</v>
      </c>
      <c r="E66" s="7" t="e">
        <f>#REF!</f>
        <v>#REF!</v>
      </c>
      <c r="F66" s="7" t="e">
        <f>#REF!</f>
        <v>#REF!</v>
      </c>
      <c r="G66" s="7" t="e">
        <f>#REF!</f>
        <v>#REF!</v>
      </c>
      <c r="H66" s="7" t="e">
        <f>#REF!</f>
        <v>#REF!</v>
      </c>
      <c r="I66" s="7" t="e">
        <f>#REF!</f>
        <v>#REF!</v>
      </c>
      <c r="J66" s="7" t="e">
        <f>IF(D66&lt;&gt;"Valid","",SUM(E66:F66))</f>
        <v>#REF!</v>
      </c>
      <c r="K66" s="7" t="e">
        <f>IF(D66&lt;&gt;"Valid","",SUM(G66:I66))</f>
        <v>#REF!</v>
      </c>
      <c r="L66" s="7" t="e">
        <f>IF(D66&lt;&gt;"Valid","",#REF!*0.4+#REF!*0.6)</f>
        <v>#REF!</v>
      </c>
      <c r="M66" s="7"/>
      <c r="N66" s="7" t="e">
        <f>IF(D66&lt;&gt;"Valid","Not Assessed (Insufficient Valid Data)",LOOKUP(L66,tblPerformanceCategory[Min],tblPerformanceCategory[Performance Category]))</f>
        <v>#REF!</v>
      </c>
      <c r="O66" s="7" t="e">
        <f>IF(D66="Valid","Yes","No")</f>
        <v>#REF!</v>
      </c>
    </row>
    <row r="67" spans="1:15" hidden="1">
      <c r="A67" s="7" t="e">
        <f>#REF!</f>
        <v>#REF!</v>
      </c>
      <c r="B67" s="7" t="e">
        <f>#REF!</f>
        <v>#REF!</v>
      </c>
      <c r="C67" s="7" t="e">
        <f>#REF!</f>
        <v>#REF!</v>
      </c>
      <c r="D67" s="7" t="e">
        <f>#REF!</f>
        <v>#REF!</v>
      </c>
      <c r="E67" s="7" t="e">
        <f>#REF!</f>
        <v>#REF!</v>
      </c>
      <c r="F67" s="7" t="e">
        <f>#REF!</f>
        <v>#REF!</v>
      </c>
      <c r="G67" s="7" t="e">
        <f>#REF!</f>
        <v>#REF!</v>
      </c>
      <c r="H67" s="7" t="e">
        <f>#REF!</f>
        <v>#REF!</v>
      </c>
      <c r="I67" s="7" t="e">
        <f>#REF!</f>
        <v>#REF!</v>
      </c>
      <c r="J67" s="7" t="e">
        <f>IF(D67&lt;&gt;"Valid","",SUM(E67:F67))</f>
        <v>#REF!</v>
      </c>
      <c r="K67" s="7" t="e">
        <f>IF(D67&lt;&gt;"Valid","",SUM(G67:I67))</f>
        <v>#REF!</v>
      </c>
      <c r="L67" s="7" t="e">
        <f>IF(D67&lt;&gt;"Valid","",#REF!*0.4+#REF!*0.6)</f>
        <v>#REF!</v>
      </c>
      <c r="M67" s="7"/>
      <c r="N67" s="7" t="e">
        <f>IF(D67&lt;&gt;"Valid","Not Assessed (Insufficient Valid Data)",LOOKUP(L67,tblPerformanceCategory[Min],tblPerformanceCategory[Performance Category]))</f>
        <v>#REF!</v>
      </c>
      <c r="O67" s="7" t="e">
        <f>IF(D67="Valid","Yes","No")</f>
        <v>#REF!</v>
      </c>
    </row>
    <row r="68" spans="1:15" ht="42" customHeight="1">
      <c r="A68" s="7" t="str">
        <f>Derived_Indicators!A68</f>
        <v>Abuja Municipal Area Council</v>
      </c>
      <c r="B68" s="7" t="str">
        <f>Derived_Indicators!B68</f>
        <v>Jiwa Ward</v>
      </c>
      <c r="C68" s="7" t="str">
        <f>Derived_Indicators!C68</f>
        <v>Dakwa Dantata Primary Health Clinic</v>
      </c>
      <c r="D68" s="7" t="str">
        <f>Derived_Indicators!Q68</f>
        <v>Invalid</v>
      </c>
      <c r="E68" s="23">
        <f>Derived_Indicators!D68</f>
        <v>1.0833333333333333</v>
      </c>
      <c r="F68" s="23" t="str">
        <f>Derived_Indicators!E68</f>
        <v/>
      </c>
      <c r="G68" s="23">
        <f>Derived_Indicators!K68</f>
        <v>1.0069686411149825</v>
      </c>
      <c r="H68" s="23">
        <f>Derived_Indicators!M68</f>
        <v>0.22307692307692309</v>
      </c>
      <c r="I68" s="23">
        <f>Derived_Indicators!N68</f>
        <v>7.6923076923076927E-3</v>
      </c>
      <c r="J68" s="23" t="str">
        <f>IF($D68&lt;&gt;"Valid","",AVERAGE(E68:F68))</f>
        <v/>
      </c>
      <c r="K68" s="23" t="str">
        <f>IF($D68&lt;&gt;"Valid","",AVERAGE(G68:I68))</f>
        <v/>
      </c>
      <c r="L68" s="23" t="str">
        <f>IF($D68&lt;&gt;"Valid","",AVERAGE(J68,K68))</f>
        <v/>
      </c>
      <c r="M68" s="21" t="str">
        <f>IF(AND($D68="Valid",ISNUMBER(L68)),RANK(L68,$L$2:$L$500,0),"")</f>
        <v/>
      </c>
      <c r="N68" s="7" t="str">
        <f>IF(L68="",
"Not Assessed",
IF(L68&gt;=0.85,"Excellent",
IF(L68&gt;=0.7,"Good",
IF(L68&gt;=0.55,"Moderate",
IF(L68&gt;=0.4,"Low",
"Very Low")))))</f>
        <v>Not Assessed</v>
      </c>
      <c r="O68" s="7" t="str">
        <f>IF($D68&lt;&gt;"Valid",
"Failed data validation; excluded from HFSI and requires contextual review in the Health Facility Selection Framework (HFSF).",
"Eligible for contextual assessment using the Health Facility Selection Framework (HFSF).")</f>
        <v>Failed data validation; excluded from HFSI and requires contextual review in the Health Facility Selection Framework (HFSF).</v>
      </c>
    </row>
    <row r="69" spans="1:15" ht="42" hidden="1" customHeight="1">
      <c r="A69" s="7" t="e">
        <f>#REF!</f>
        <v>#REF!</v>
      </c>
      <c r="B69" s="7" t="e">
        <f>#REF!</f>
        <v>#REF!</v>
      </c>
      <c r="C69" s="7" t="e">
        <f>#REF!</f>
        <v>#REF!</v>
      </c>
      <c r="D69" s="7" t="e">
        <f>#REF!</f>
        <v>#REF!</v>
      </c>
      <c r="E69" s="7" t="e">
        <f>#REF!</f>
        <v>#REF!</v>
      </c>
      <c r="F69" s="7" t="e">
        <f>#REF!</f>
        <v>#REF!</v>
      </c>
      <c r="G69" s="7" t="e">
        <f>#REF!</f>
        <v>#REF!</v>
      </c>
      <c r="H69" s="7" t="e">
        <f>#REF!</f>
        <v>#REF!</v>
      </c>
      <c r="I69" s="7" t="e">
        <f>#REF!</f>
        <v>#REF!</v>
      </c>
      <c r="J69" s="7" t="e">
        <f t="shared" ref="J69:J74" si="22">IF(D69&lt;&gt;"Valid","",SUM(E69:F69))</f>
        <v>#REF!</v>
      </c>
      <c r="K69" s="7" t="e">
        <f t="shared" ref="K69:K74" si="23">IF(D69&lt;&gt;"Valid","",SUM(G69:I69))</f>
        <v>#REF!</v>
      </c>
      <c r="L69" s="7" t="e">
        <f>IF($D69&lt;&gt;"Valid",0,IFERROR(AVERAGE(#REF!,#REF!),0))</f>
        <v>#REF!</v>
      </c>
      <c r="M69" s="21" t="str">
        <f>IF(ISNUMBER(L69),_xlfn.RANK.EQ(L69,$L$2:$L$500,0),"")</f>
        <v/>
      </c>
      <c r="N69" s="7" t="e">
        <f>IF(L69=0,
"Not Assessed",
IF(L69&gt;=0.85,"Very High Performance",
IF(L69&gt;=0.7,"High Performance",
IF(L69&gt;=0.55,"Moderate Performance",
IF(L69&gt;=0.4,"Low Performance",
"Very Low Performance")))))</f>
        <v>#REF!</v>
      </c>
      <c r="O69" s="7" t="e">
        <f>IF($L69=0,
"Failed minimum data validation; requires contextual review in FSF.",
"Ready for contextual review in FSF.")</f>
        <v>#REF!</v>
      </c>
    </row>
    <row r="70" spans="1:15" ht="42" hidden="1" customHeight="1">
      <c r="A70" s="7" t="e">
        <f>#REF!</f>
        <v>#REF!</v>
      </c>
      <c r="B70" s="7" t="e">
        <f>#REF!</f>
        <v>#REF!</v>
      </c>
      <c r="C70" s="7" t="e">
        <f>#REF!</f>
        <v>#REF!</v>
      </c>
      <c r="D70" s="7" t="e">
        <f>#REF!</f>
        <v>#REF!</v>
      </c>
      <c r="E70" s="7" t="e">
        <f>#REF!</f>
        <v>#REF!</v>
      </c>
      <c r="F70" s="7" t="e">
        <f>#REF!</f>
        <v>#REF!</v>
      </c>
      <c r="G70" s="7" t="e">
        <f>#REF!</f>
        <v>#REF!</v>
      </c>
      <c r="H70" s="7" t="e">
        <f>#REF!</f>
        <v>#REF!</v>
      </c>
      <c r="I70" s="7" t="e">
        <f>#REF!</f>
        <v>#REF!</v>
      </c>
      <c r="J70" s="7" t="e">
        <f t="shared" si="22"/>
        <v>#REF!</v>
      </c>
      <c r="K70" s="7" t="e">
        <f t="shared" si="23"/>
        <v>#REF!</v>
      </c>
      <c r="L70" s="7" t="e">
        <f>IF($D70&lt;&gt;"Valid",0,IFERROR(AVERAGE(#REF!,#REF!),0))</f>
        <v>#REF!</v>
      </c>
      <c r="M70" s="21" t="str">
        <f>IF(ISNUMBER(L70),_xlfn.RANK.EQ(L70,$L$2:$L$500,0),"")</f>
        <v/>
      </c>
      <c r="N70" s="7" t="e">
        <f>IF(L70=0,
"Not Assessed",
IF(L70&gt;=0.85,"Very High Performance",
IF(L70&gt;=0.7,"High Performance",
IF(L70&gt;=0.55,"Moderate Performance",
IF(L70&gt;=0.4,"Low Performance",
"Very Low Performance")))))</f>
        <v>#REF!</v>
      </c>
      <c r="O70" s="7" t="e">
        <f>IF($L70=0,
"Failed minimum data validation; requires contextual review in FSF.",
"Ready for contextual review in FSF.")</f>
        <v>#REF!</v>
      </c>
    </row>
    <row r="71" spans="1:15" hidden="1">
      <c r="A71" s="7" t="e">
        <f>#REF!</f>
        <v>#REF!</v>
      </c>
      <c r="B71" s="7" t="e">
        <f>#REF!</f>
        <v>#REF!</v>
      </c>
      <c r="C71" s="7" t="e">
        <f>#REF!</f>
        <v>#REF!</v>
      </c>
      <c r="D71" s="7" t="e">
        <f>#REF!</f>
        <v>#REF!</v>
      </c>
      <c r="E71" s="7" t="e">
        <f>#REF!</f>
        <v>#REF!</v>
      </c>
      <c r="F71" s="7" t="e">
        <f>#REF!</f>
        <v>#REF!</v>
      </c>
      <c r="G71" s="7" t="e">
        <f>#REF!</f>
        <v>#REF!</v>
      </c>
      <c r="H71" s="7" t="e">
        <f>#REF!</f>
        <v>#REF!</v>
      </c>
      <c r="I71" s="7" t="e">
        <f>#REF!</f>
        <v>#REF!</v>
      </c>
      <c r="J71" s="7" t="e">
        <f t="shared" si="22"/>
        <v>#REF!</v>
      </c>
      <c r="K71" s="7" t="e">
        <f t="shared" si="23"/>
        <v>#REF!</v>
      </c>
      <c r="L71" s="7" t="e">
        <f>IF(D71&lt;&gt;"Valid","",#REF!*0.4+#REF!*0.6)</f>
        <v>#REF!</v>
      </c>
      <c r="M71" s="7"/>
      <c r="N71" s="7" t="e">
        <f>IF(D71&lt;&gt;"Valid","Not Assessed (Insufficient Valid Data)",LOOKUP(L71,tblPerformanceCategory[Min],tblPerformanceCategory[Performance Category]))</f>
        <v>#REF!</v>
      </c>
      <c r="O71" s="7" t="e">
        <f>IF(D71="Valid","Yes","No")</f>
        <v>#REF!</v>
      </c>
    </row>
    <row r="72" spans="1:15" hidden="1">
      <c r="A72" s="7" t="e">
        <f>#REF!</f>
        <v>#REF!</v>
      </c>
      <c r="B72" s="7" t="e">
        <f>#REF!</f>
        <v>#REF!</v>
      </c>
      <c r="C72" s="7" t="e">
        <f>#REF!</f>
        <v>#REF!</v>
      </c>
      <c r="D72" s="7" t="e">
        <f>#REF!</f>
        <v>#REF!</v>
      </c>
      <c r="E72" s="7" t="e">
        <f>#REF!</f>
        <v>#REF!</v>
      </c>
      <c r="F72" s="7" t="e">
        <f>#REF!</f>
        <v>#REF!</v>
      </c>
      <c r="G72" s="7" t="e">
        <f>#REF!</f>
        <v>#REF!</v>
      </c>
      <c r="H72" s="7" t="e">
        <f>#REF!</f>
        <v>#REF!</v>
      </c>
      <c r="I72" s="7" t="e">
        <f>#REF!</f>
        <v>#REF!</v>
      </c>
      <c r="J72" s="7" t="e">
        <f t="shared" si="22"/>
        <v>#REF!</v>
      </c>
      <c r="K72" s="7" t="e">
        <f t="shared" si="23"/>
        <v>#REF!</v>
      </c>
      <c r="L72" s="7" t="e">
        <f>IF(D72&lt;&gt;"Valid","",#REF!*0.4+#REF!*0.6)</f>
        <v>#REF!</v>
      </c>
      <c r="M72" s="7"/>
      <c r="N72" s="7" t="e">
        <f>IF(D72&lt;&gt;"Valid","Not Assessed (Insufficient Valid Data)",LOOKUP(L72,tblPerformanceCategory[Min],tblPerformanceCategory[Performance Category]))</f>
        <v>#REF!</v>
      </c>
      <c r="O72" s="7" t="e">
        <f>IF(D72="Valid","Yes","No")</f>
        <v>#REF!</v>
      </c>
    </row>
    <row r="73" spans="1:15" hidden="1">
      <c r="A73" s="7" t="e">
        <f>#REF!</f>
        <v>#REF!</v>
      </c>
      <c r="B73" s="7" t="e">
        <f>#REF!</f>
        <v>#REF!</v>
      </c>
      <c r="C73" s="7" t="e">
        <f>#REF!</f>
        <v>#REF!</v>
      </c>
      <c r="D73" s="7" t="e">
        <f>#REF!</f>
        <v>#REF!</v>
      </c>
      <c r="E73" s="7" t="e">
        <f>#REF!</f>
        <v>#REF!</v>
      </c>
      <c r="F73" s="7" t="e">
        <f>#REF!</f>
        <v>#REF!</v>
      </c>
      <c r="G73" s="7" t="e">
        <f>#REF!</f>
        <v>#REF!</v>
      </c>
      <c r="H73" s="7" t="e">
        <f>#REF!</f>
        <v>#REF!</v>
      </c>
      <c r="I73" s="7" t="e">
        <f>#REF!</f>
        <v>#REF!</v>
      </c>
      <c r="J73" s="7" t="e">
        <f t="shared" si="22"/>
        <v>#REF!</v>
      </c>
      <c r="K73" s="7" t="e">
        <f t="shared" si="23"/>
        <v>#REF!</v>
      </c>
      <c r="L73" s="7" t="e">
        <f>IF(D73&lt;&gt;"Valid","",#REF!*0.4+#REF!*0.6)</f>
        <v>#REF!</v>
      </c>
      <c r="M73" s="7"/>
      <c r="N73" s="7" t="e">
        <f>IF(D73&lt;&gt;"Valid","Not Assessed (Insufficient Valid Data)",LOOKUP(L73,tblPerformanceCategory[Min],tblPerformanceCategory[Performance Category]))</f>
        <v>#REF!</v>
      </c>
      <c r="O73" s="7" t="e">
        <f>IF(D73="Valid","Yes","No")</f>
        <v>#REF!</v>
      </c>
    </row>
    <row r="74" spans="1:15" hidden="1">
      <c r="A74" s="7" t="e">
        <f>#REF!</f>
        <v>#REF!</v>
      </c>
      <c r="B74" s="7" t="e">
        <f>#REF!</f>
        <v>#REF!</v>
      </c>
      <c r="C74" s="7" t="e">
        <f>#REF!</f>
        <v>#REF!</v>
      </c>
      <c r="D74" s="7" t="e">
        <f>#REF!</f>
        <v>#REF!</v>
      </c>
      <c r="E74" s="7" t="e">
        <f>#REF!</f>
        <v>#REF!</v>
      </c>
      <c r="F74" s="7" t="e">
        <f>#REF!</f>
        <v>#REF!</v>
      </c>
      <c r="G74" s="7" t="e">
        <f>#REF!</f>
        <v>#REF!</v>
      </c>
      <c r="H74" s="7" t="e">
        <f>#REF!</f>
        <v>#REF!</v>
      </c>
      <c r="I74" s="7" t="e">
        <f>#REF!</f>
        <v>#REF!</v>
      </c>
      <c r="J74" s="7" t="e">
        <f t="shared" si="22"/>
        <v>#REF!</v>
      </c>
      <c r="K74" s="7" t="e">
        <f t="shared" si="23"/>
        <v>#REF!</v>
      </c>
      <c r="L74" s="7" t="e">
        <f>IF(D74&lt;&gt;"Valid","",#REF!*0.4+#REF!*0.6)</f>
        <v>#REF!</v>
      </c>
      <c r="M74" s="7"/>
      <c r="N74" s="7" t="e">
        <f>IF(D74&lt;&gt;"Valid","Not Assessed (Insufficient Valid Data)",LOOKUP(L74,tblPerformanceCategory[Min],tblPerformanceCategory[Performance Category]))</f>
        <v>#REF!</v>
      </c>
      <c r="O74" s="7" t="e">
        <f>IF(D74="Valid","Yes","No")</f>
        <v>#REF!</v>
      </c>
    </row>
    <row r="75" spans="1:15" ht="42" customHeight="1">
      <c r="A75" s="7" t="str">
        <f>Derived_Indicators!A75</f>
        <v>Bwari Local Government Area</v>
      </c>
      <c r="B75" s="7" t="str">
        <f>Derived_Indicators!B75</f>
        <v>Usuma Ward</v>
      </c>
      <c r="C75" s="7" t="str">
        <f>Derived_Indicators!C75</f>
        <v>Daughters of Charity St Vincent Hospital</v>
      </c>
      <c r="D75" s="7" t="str">
        <f>Derived_Indicators!Q75</f>
        <v>Valid</v>
      </c>
      <c r="E75" s="23">
        <f>Derived_Indicators!D75</f>
        <v>0.88749999999999996</v>
      </c>
      <c r="F75" s="23" t="str">
        <f>Derived_Indicators!E75</f>
        <v/>
      </c>
      <c r="G75" s="23">
        <f>Derived_Indicators!K75</f>
        <v>0.85197368421052633</v>
      </c>
      <c r="H75" s="23">
        <f>Derived_Indicators!M75</f>
        <v>0.80679785330948117</v>
      </c>
      <c r="I75" s="23">
        <f>Derived_Indicators!N75</f>
        <v>0.51162790697674421</v>
      </c>
      <c r="J75" s="23">
        <f>IF($D75&lt;&gt;"Valid","",AVERAGE(E75:F75))</f>
        <v>0.88749999999999996</v>
      </c>
      <c r="K75" s="23">
        <f>IF($D75&lt;&gt;"Valid","",AVERAGE(G75:I75))</f>
        <v>0.72346648149891724</v>
      </c>
      <c r="L75" s="23">
        <f>IF($D75&lt;&gt;"Valid","",AVERAGE(J75,K75))</f>
        <v>0.80548324074945854</v>
      </c>
      <c r="M75" s="21" t="e">
        <f>IF(AND($D75="Valid",ISNUMBER(L75)),RANK(L75,$L$2:$L$500,0),"")</f>
        <v>#REF!</v>
      </c>
      <c r="N75" s="7" t="str">
        <f>IF(L75="",
"Not Assessed",
IF(L75&gt;=0.85,"Excellent",
IF(L75&gt;=0.7,"Good",
IF(L75&gt;=0.55,"Moderate",
IF(L75&gt;=0.4,"Low",
"Very Low")))))</f>
        <v>Good</v>
      </c>
      <c r="O75" s="7" t="str">
        <f>IF($D75&lt;&gt;"Valid",
"Failed data validation; excluded from HFSI and requires contextual review in the Health Facility Selection Framework (HFSF).",
"Eligible for contextual assessment using the Health Facility Selection Framework (HFSF).")</f>
        <v>Eligible for contextual assessment using the Health Facility Selection Framework (HFSF).</v>
      </c>
    </row>
    <row r="76" spans="1:15" ht="42" hidden="1" customHeight="1">
      <c r="A76" s="7" t="e">
        <f>#REF!</f>
        <v>#REF!</v>
      </c>
      <c r="B76" s="7" t="e">
        <f>#REF!</f>
        <v>#REF!</v>
      </c>
      <c r="C76" s="7" t="e">
        <f>#REF!</f>
        <v>#REF!</v>
      </c>
      <c r="D76" s="7" t="e">
        <f>#REF!</f>
        <v>#REF!</v>
      </c>
      <c r="E76" s="7" t="e">
        <f>#REF!</f>
        <v>#REF!</v>
      </c>
      <c r="F76" s="7" t="e">
        <f>#REF!</f>
        <v>#REF!</v>
      </c>
      <c r="G76" s="7" t="e">
        <f>#REF!</f>
        <v>#REF!</v>
      </c>
      <c r="H76" s="7" t="e">
        <f>#REF!</f>
        <v>#REF!</v>
      </c>
      <c r="I76" s="7" t="e">
        <f>#REF!</f>
        <v>#REF!</v>
      </c>
      <c r="J76" s="7" t="e">
        <f>IF(D76&lt;&gt;"Valid","",SUM(E76:F76))</f>
        <v>#REF!</v>
      </c>
      <c r="K76" s="7" t="e">
        <f>IF(D76&lt;&gt;"Valid","",SUM(G76:I76))</f>
        <v>#REF!</v>
      </c>
      <c r="L76" s="7" t="e">
        <f>IF($D76&lt;&gt;"Valid",0,IFERROR(AVERAGE(#REF!,#REF!),0))</f>
        <v>#REF!</v>
      </c>
      <c r="M76" s="21" t="str">
        <f>IF(ISNUMBER(L76),_xlfn.RANK.EQ(L76,$L$2:$L$500,0),"")</f>
        <v/>
      </c>
      <c r="N76" s="7" t="e">
        <f>IF(L76=0,
"Not Assessed",
IF(L76&gt;=0.85,"Very High Performance",
IF(L76&gt;=0.7,"High Performance",
IF(L76&gt;=0.55,"Moderate Performance",
IF(L76&gt;=0.4,"Low Performance",
"Very Low Performance")))))</f>
        <v>#REF!</v>
      </c>
      <c r="O76" s="7" t="e">
        <f>IF($L76=0,
"Failed minimum data validation; requires contextual review in FSF.",
"Ready for contextual review in FSF.")</f>
        <v>#REF!</v>
      </c>
    </row>
    <row r="77" spans="1:15" ht="42" hidden="1" customHeight="1">
      <c r="A77" s="7" t="e">
        <f>#REF!</f>
        <v>#REF!</v>
      </c>
      <c r="B77" s="7" t="e">
        <f>#REF!</f>
        <v>#REF!</v>
      </c>
      <c r="C77" s="7" t="e">
        <f>#REF!</f>
        <v>#REF!</v>
      </c>
      <c r="D77" s="7" t="e">
        <f>#REF!</f>
        <v>#REF!</v>
      </c>
      <c r="E77" s="7" t="e">
        <f>#REF!</f>
        <v>#REF!</v>
      </c>
      <c r="F77" s="7" t="e">
        <f>#REF!</f>
        <v>#REF!</v>
      </c>
      <c r="G77" s="7" t="e">
        <f>#REF!</f>
        <v>#REF!</v>
      </c>
      <c r="H77" s="7" t="e">
        <f>#REF!</f>
        <v>#REF!</v>
      </c>
      <c r="I77" s="7" t="e">
        <f>#REF!</f>
        <v>#REF!</v>
      </c>
      <c r="J77" s="7" t="e">
        <f>IF(D77&lt;&gt;"Valid","",SUM(E77:F77))</f>
        <v>#REF!</v>
      </c>
      <c r="K77" s="7" t="e">
        <f>IF(D77&lt;&gt;"Valid","",SUM(G77:I77))</f>
        <v>#REF!</v>
      </c>
      <c r="L77" s="7" t="e">
        <f>IF($D77&lt;&gt;"Valid",0,IFERROR(AVERAGE(#REF!,#REF!),0))</f>
        <v>#REF!</v>
      </c>
      <c r="M77" s="21" t="str">
        <f>IF(ISNUMBER(L77),_xlfn.RANK.EQ(L77,$L$2:$L$500,0),"")</f>
        <v/>
      </c>
      <c r="N77" s="7" t="e">
        <f>IF(L77=0,
"Not Assessed",
IF(L77&gt;=0.85,"Very High Performance",
IF(L77&gt;=0.7,"High Performance",
IF(L77&gt;=0.55,"Moderate Performance",
IF(L77&gt;=0.4,"Low Performance",
"Very Low Performance")))))</f>
        <v>#REF!</v>
      </c>
      <c r="O77" s="7" t="e">
        <f>IF($L77=0,
"Failed minimum data validation; requires contextual review in FSF.",
"Ready for contextual review in FSF.")</f>
        <v>#REF!</v>
      </c>
    </row>
    <row r="78" spans="1:15" ht="42" customHeight="1">
      <c r="A78" s="7" t="str">
        <f>Derived_Indicators!A78</f>
        <v>Bwari Local Government Area</v>
      </c>
      <c r="B78" s="7" t="str">
        <f>Derived_Indicators!B78</f>
        <v>Kubwa Ward</v>
      </c>
      <c r="C78" s="7" t="str">
        <f>Derived_Indicators!C78</f>
        <v>Dei Dei Primary Health Care Center</v>
      </c>
      <c r="D78" s="7" t="str">
        <f>Derived_Indicators!Q78</f>
        <v>Valid</v>
      </c>
      <c r="E78" s="23">
        <f>Derived_Indicators!D78</f>
        <v>0.98863636363636365</v>
      </c>
      <c r="F78" s="23">
        <f>Derived_Indicators!E78</f>
        <v>0.66664999999999996</v>
      </c>
      <c r="G78" s="23">
        <f>Derived_Indicators!K78</f>
        <v>0.84341637010676151</v>
      </c>
      <c r="H78" s="23">
        <f>Derived_Indicators!M78</f>
        <v>0.33511586452762926</v>
      </c>
      <c r="I78" s="23">
        <f>Derived_Indicators!N78</f>
        <v>2.6737967914438502E-2</v>
      </c>
      <c r="J78" s="23">
        <f>IF($D78&lt;&gt;"Valid","",AVERAGE(E78:F78))</f>
        <v>0.82764318181818175</v>
      </c>
      <c r="K78" s="23">
        <f>IF($D78&lt;&gt;"Valid","",AVERAGE(G78:I78))</f>
        <v>0.40175673418294311</v>
      </c>
      <c r="L78" s="23">
        <f>IF($D78&lt;&gt;"Valid","",AVERAGE(J78,K78))</f>
        <v>0.61469995800056243</v>
      </c>
      <c r="M78" s="21" t="e">
        <f>IF(AND($D78="Valid",ISNUMBER(L78)),RANK(L78,$L$2:$L$500,0),"")</f>
        <v>#REF!</v>
      </c>
      <c r="N78" s="7" t="str">
        <f>IF(L78="",
"Not Assessed",
IF(L78&gt;=0.85,"Excellent",
IF(L78&gt;=0.7,"Good",
IF(L78&gt;=0.55,"Moderate",
IF(L78&gt;=0.4,"Low",
"Very Low")))))</f>
        <v>Moderate</v>
      </c>
      <c r="O78" s="7" t="str">
        <f>IF($D78&lt;&gt;"Valid",
"Failed data validation; excluded from HFSI and requires contextual review in the Health Facility Selection Framework (HFSF).",
"Eligible for contextual assessment using the Health Facility Selection Framework (HFSF).")</f>
        <v>Eligible for contextual assessment using the Health Facility Selection Framework (HFSF).</v>
      </c>
    </row>
    <row r="79" spans="1:15" ht="42" hidden="1" customHeight="1">
      <c r="A79" s="7" t="e">
        <f>#REF!</f>
        <v>#REF!</v>
      </c>
      <c r="B79" s="7" t="e">
        <f>#REF!</f>
        <v>#REF!</v>
      </c>
      <c r="C79" s="7" t="e">
        <f>#REF!</f>
        <v>#REF!</v>
      </c>
      <c r="D79" s="7" t="e">
        <f>#REF!</f>
        <v>#REF!</v>
      </c>
      <c r="E79" s="7" t="e">
        <f>#REF!</f>
        <v>#REF!</v>
      </c>
      <c r="F79" s="7" t="e">
        <f>#REF!</f>
        <v>#REF!</v>
      </c>
      <c r="G79" s="7" t="e">
        <f>#REF!</f>
        <v>#REF!</v>
      </c>
      <c r="H79" s="7" t="e">
        <f>#REF!</f>
        <v>#REF!</v>
      </c>
      <c r="I79" s="7" t="e">
        <f>#REF!</f>
        <v>#REF!</v>
      </c>
      <c r="J79" s="7" t="e">
        <f>IF(D79&lt;&gt;"Valid","",SUM(E79:F79))</f>
        <v>#REF!</v>
      </c>
      <c r="K79" s="7" t="e">
        <f>IF(D79&lt;&gt;"Valid","",SUM(G79:I79))</f>
        <v>#REF!</v>
      </c>
      <c r="L79" s="7" t="e">
        <f>IF($D79&lt;&gt;"Valid",0,IFERROR(AVERAGE(#REF!,#REF!),0))</f>
        <v>#REF!</v>
      </c>
      <c r="M79" s="21" t="str">
        <f>IF(ISNUMBER(L79),_xlfn.RANK.EQ(L79,$L$2:$L$500,0),"")</f>
        <v/>
      </c>
      <c r="N79" s="7" t="e">
        <f>IF(L79=0,
"Not Assessed",
IF(L79&gt;=0.85,"Very High Performance",
IF(L79&gt;=0.7,"High Performance",
IF(L79&gt;=0.55,"Moderate Performance",
IF(L79&gt;=0.4,"Low Performance",
"Very Low Performance")))))</f>
        <v>#REF!</v>
      </c>
      <c r="O79" s="7" t="e">
        <f>IF($L79=0,
"Failed minimum data validation; requires contextual review in FSF.",
"Ready for contextual review in FSF.")</f>
        <v>#REF!</v>
      </c>
    </row>
    <row r="80" spans="1:15" ht="42" hidden="1" customHeight="1">
      <c r="A80" s="7" t="e">
        <f>#REF!</f>
        <v>#REF!</v>
      </c>
      <c r="B80" s="7" t="e">
        <f>#REF!</f>
        <v>#REF!</v>
      </c>
      <c r="C80" s="7" t="e">
        <f>#REF!</f>
        <v>#REF!</v>
      </c>
      <c r="D80" s="7" t="e">
        <f>#REF!</f>
        <v>#REF!</v>
      </c>
      <c r="E80" s="7" t="e">
        <f>#REF!</f>
        <v>#REF!</v>
      </c>
      <c r="F80" s="7" t="e">
        <f>#REF!</f>
        <v>#REF!</v>
      </c>
      <c r="G80" s="7" t="e">
        <f>#REF!</f>
        <v>#REF!</v>
      </c>
      <c r="H80" s="7" t="e">
        <f>#REF!</f>
        <v>#REF!</v>
      </c>
      <c r="I80" s="7" t="e">
        <f>#REF!</f>
        <v>#REF!</v>
      </c>
      <c r="J80" s="7" t="e">
        <f>IF(D80&lt;&gt;"Valid","",SUM(E80:F80))</f>
        <v>#REF!</v>
      </c>
      <c r="K80" s="7" t="e">
        <f>IF(D80&lt;&gt;"Valid","",SUM(G80:I80))</f>
        <v>#REF!</v>
      </c>
      <c r="L80" s="7" t="e">
        <f>IF($D80&lt;&gt;"Valid",0,IFERROR(AVERAGE(#REF!,#REF!),0))</f>
        <v>#REF!</v>
      </c>
      <c r="M80" s="21" t="str">
        <f>IF(ISNUMBER(L80),_xlfn.RANK.EQ(L80,$L$2:$L$500,0),"")</f>
        <v/>
      </c>
      <c r="N80" s="7" t="e">
        <f>IF(L80=0,
"Not Assessed",
IF(L80&gt;=0.85,"Very High Performance",
IF(L80&gt;=0.7,"High Performance",
IF(L80&gt;=0.55,"Moderate Performance",
IF(L80&gt;=0.4,"Low Performance",
"Very Low Performance")))))</f>
        <v>#REF!</v>
      </c>
      <c r="O80" s="7" t="e">
        <f>IF($L80=0,
"Failed minimum data validation; requires contextual review in FSF.",
"Ready for contextual review in FSF.")</f>
        <v>#REF!</v>
      </c>
    </row>
    <row r="81" spans="1:15" ht="42" customHeight="1">
      <c r="A81" s="7" t="str">
        <f>Derived_Indicators!A81</f>
        <v>Abuja Municipal Area Council</v>
      </c>
      <c r="B81" s="7" t="str">
        <f>Derived_Indicators!B81</f>
        <v>City Centre Ward</v>
      </c>
      <c r="C81" s="7" t="str">
        <f>Derived_Indicators!C81</f>
        <v>Diff Hospital</v>
      </c>
      <c r="D81" s="7" t="str">
        <f>Derived_Indicators!Q81</f>
        <v>Invalid</v>
      </c>
      <c r="E81" s="23">
        <f>Derived_Indicators!D81</f>
        <v>1</v>
      </c>
      <c r="F81" s="23" t="str">
        <f>Derived_Indicators!E81</f>
        <v/>
      </c>
      <c r="G81" s="23">
        <f>Derived_Indicators!K81</f>
        <v>0.78260869565217395</v>
      </c>
      <c r="H81" s="23">
        <f>Derived_Indicators!M81</f>
        <v>0.48348348348348347</v>
      </c>
      <c r="I81" s="23">
        <f>Derived_Indicators!N81</f>
        <v>0.54654654654654655</v>
      </c>
      <c r="J81" s="23" t="str">
        <f>IF($D81&lt;&gt;"Valid","",AVERAGE(E81:F81))</f>
        <v/>
      </c>
      <c r="K81" s="23" t="str">
        <f>IF($D81&lt;&gt;"Valid","",AVERAGE(G81:I81))</f>
        <v/>
      </c>
      <c r="L81" s="23" t="str">
        <f>IF($D81&lt;&gt;"Valid","",AVERAGE(J81,K81))</f>
        <v/>
      </c>
      <c r="M81" s="21" t="str">
        <f>IF(AND($D81="Valid",ISNUMBER(L81)),RANK(L81,$L$2:$L$500,0),"")</f>
        <v/>
      </c>
      <c r="N81" s="7" t="str">
        <f>IF(L81="",
"Not Assessed",
IF(L81&gt;=0.85,"Excellent",
IF(L81&gt;=0.7,"Good",
IF(L81&gt;=0.55,"Moderate",
IF(L81&gt;=0.4,"Low",
"Very Low")))))</f>
        <v>Not Assessed</v>
      </c>
      <c r="O81" s="7" t="str">
        <f>IF($D81&lt;&gt;"Valid",
"Failed data validation; excluded from HFSI and requires contextual review in the Health Facility Selection Framework (HFSF).",
"Eligible for contextual assessment using the Health Facility Selection Framework (HFSF).")</f>
        <v>Failed data validation; excluded from HFSI and requires contextual review in the Health Facility Selection Framework (HFSF).</v>
      </c>
    </row>
    <row r="82" spans="1:15" ht="42" hidden="1" customHeight="1">
      <c r="A82" s="7" t="e">
        <f>#REF!</f>
        <v>#REF!</v>
      </c>
      <c r="B82" s="7" t="e">
        <f>#REF!</f>
        <v>#REF!</v>
      </c>
      <c r="C82" s="7" t="e">
        <f>#REF!</f>
        <v>#REF!</v>
      </c>
      <c r="D82" s="7" t="e">
        <f>#REF!</f>
        <v>#REF!</v>
      </c>
      <c r="E82" s="7" t="e">
        <f>#REF!</f>
        <v>#REF!</v>
      </c>
      <c r="F82" s="7" t="e">
        <f>#REF!</f>
        <v>#REF!</v>
      </c>
      <c r="G82" s="7" t="e">
        <f>#REF!</f>
        <v>#REF!</v>
      </c>
      <c r="H82" s="7" t="e">
        <f>#REF!</f>
        <v>#REF!</v>
      </c>
      <c r="I82" s="7" t="e">
        <f>#REF!</f>
        <v>#REF!</v>
      </c>
      <c r="J82" s="7" t="e">
        <f>IF(D82&lt;&gt;"Valid","",SUM(E82:F82))</f>
        <v>#REF!</v>
      </c>
      <c r="K82" s="7" t="e">
        <f>IF(D82&lt;&gt;"Valid","",SUM(G82:I82))</f>
        <v>#REF!</v>
      </c>
      <c r="L82" s="7" t="e">
        <f>IF($D82&lt;&gt;"Valid",0,IFERROR(AVERAGE(#REF!,#REF!),0))</f>
        <v>#REF!</v>
      </c>
      <c r="M82" s="21" t="str">
        <f>IF(ISNUMBER(L82),_xlfn.RANK.EQ(L82,$L$2:$L$500,0),"")</f>
        <v/>
      </c>
      <c r="N82" s="7" t="e">
        <f>IF(L82=0,
"Not Assessed",
IF(L82&gt;=0.85,"Very High Performance",
IF(L82&gt;=0.7,"High Performance",
IF(L82&gt;=0.55,"Moderate Performance",
IF(L82&gt;=0.4,"Low Performance",
"Very Low Performance")))))</f>
        <v>#REF!</v>
      </c>
      <c r="O82" s="7" t="e">
        <f>IF($L82=0,
"Failed minimum data validation; requires contextual review in FSF.",
"Ready for contextual review in FSF.")</f>
        <v>#REF!</v>
      </c>
    </row>
    <row r="83" spans="1:15" ht="42" hidden="1" customHeight="1">
      <c r="A83" s="7" t="e">
        <f>#REF!</f>
        <v>#REF!</v>
      </c>
      <c r="B83" s="7" t="e">
        <f>#REF!</f>
        <v>#REF!</v>
      </c>
      <c r="C83" s="7" t="e">
        <f>#REF!</f>
        <v>#REF!</v>
      </c>
      <c r="D83" s="7" t="e">
        <f>#REF!</f>
        <v>#REF!</v>
      </c>
      <c r="E83" s="7" t="e">
        <f>#REF!</f>
        <v>#REF!</v>
      </c>
      <c r="F83" s="7" t="e">
        <f>#REF!</f>
        <v>#REF!</v>
      </c>
      <c r="G83" s="7" t="e">
        <f>#REF!</f>
        <v>#REF!</v>
      </c>
      <c r="H83" s="7" t="e">
        <f>#REF!</f>
        <v>#REF!</v>
      </c>
      <c r="I83" s="7" t="e">
        <f>#REF!</f>
        <v>#REF!</v>
      </c>
      <c r="J83" s="7" t="e">
        <f>IF(D83&lt;&gt;"Valid","",SUM(E83:F83))</f>
        <v>#REF!</v>
      </c>
      <c r="K83" s="7" t="e">
        <f>IF(D83&lt;&gt;"Valid","",SUM(G83:I83))</f>
        <v>#REF!</v>
      </c>
      <c r="L83" s="7" t="e">
        <f>IF($D83&lt;&gt;"Valid",0,IFERROR(AVERAGE(#REF!,#REF!),0))</f>
        <v>#REF!</v>
      </c>
      <c r="M83" s="21" t="str">
        <f>IF(ISNUMBER(L83),_xlfn.RANK.EQ(L83,$L$2:$L$500,0),"")</f>
        <v/>
      </c>
      <c r="N83" s="7" t="e">
        <f>IF(L83=0,
"Not Assessed",
IF(L83&gt;=0.85,"Very High Performance",
IF(L83&gt;=0.7,"High Performance",
IF(L83&gt;=0.55,"Moderate Performance",
IF(L83&gt;=0.4,"Low Performance",
"Very Low Performance")))))</f>
        <v>#REF!</v>
      </c>
      <c r="O83" s="7" t="e">
        <f>IF($L83=0,
"Failed minimum data validation; requires contextual review in FSF.",
"Ready for contextual review in FSF.")</f>
        <v>#REF!</v>
      </c>
    </row>
    <row r="84" spans="1:15" ht="42" customHeight="1">
      <c r="A84" s="7" t="str">
        <f>Derived_Indicators!A84</f>
        <v>Abuja Municipal Area Council</v>
      </c>
      <c r="B84" s="7" t="str">
        <f>Derived_Indicators!B84</f>
        <v>Kabusa Ward</v>
      </c>
      <c r="C84" s="7" t="str">
        <f>Derived_Indicators!C84</f>
        <v>Dnakwo Primary Health Clinic</v>
      </c>
      <c r="D84" s="7" t="str">
        <f>Derived_Indicators!Q84</f>
        <v>Incomplete</v>
      </c>
      <c r="E84" s="23">
        <f>Derived_Indicators!D84</f>
        <v>0.90500000000000003</v>
      </c>
      <c r="F84" s="23" t="str">
        <f>Derived_Indicators!E84</f>
        <v/>
      </c>
      <c r="G84" s="23">
        <f>Derived_Indicators!K84</f>
        <v>1.353932584269663</v>
      </c>
      <c r="H84" s="23">
        <f>Derived_Indicators!M84</f>
        <v>0.44117647058823528</v>
      </c>
      <c r="I84" s="23" t="str">
        <f>Derived_Indicators!N84</f>
        <v/>
      </c>
      <c r="J84" s="23" t="str">
        <f>IF($D84&lt;&gt;"Valid","",AVERAGE(E84:F84))</f>
        <v/>
      </c>
      <c r="K84" s="23" t="str">
        <f>IF($D84&lt;&gt;"Valid","",AVERAGE(G84:I84))</f>
        <v/>
      </c>
      <c r="L84" s="23" t="str">
        <f>IF($D84&lt;&gt;"Valid","",AVERAGE(J84,K84))</f>
        <v/>
      </c>
      <c r="M84" s="21" t="str">
        <f>IF(AND($D84="Valid",ISNUMBER(L84)),RANK(L84,$L$2:$L$500,0),"")</f>
        <v/>
      </c>
      <c r="N84" s="7" t="str">
        <f>IF(L84="",
"Not Assessed",
IF(L84&gt;=0.85,"Excellent",
IF(L84&gt;=0.7,"Good",
IF(L84&gt;=0.55,"Moderate",
IF(L84&gt;=0.4,"Low",
"Very Low")))))</f>
        <v>Not Assessed</v>
      </c>
      <c r="O84" s="7" t="str">
        <f>IF($D84&lt;&gt;"Valid",
"Failed data validation; excluded from HFSI and requires contextual review in the Health Facility Selection Framework (HFSF).",
"Eligible for contextual assessment using the Health Facility Selection Framework (HFSF).")</f>
        <v>Failed data validation; excluded from HFSI and requires contextual review in the Health Facility Selection Framework (HFSF).</v>
      </c>
    </row>
    <row r="85" spans="1:15" hidden="1">
      <c r="A85" s="7" t="e">
        <f>#REF!</f>
        <v>#REF!</v>
      </c>
      <c r="B85" s="7" t="e">
        <f>#REF!</f>
        <v>#REF!</v>
      </c>
      <c r="C85" s="7" t="e">
        <f>#REF!</f>
        <v>#REF!</v>
      </c>
      <c r="D85" s="7" t="e">
        <f>#REF!</f>
        <v>#REF!</v>
      </c>
      <c r="E85" s="7" t="e">
        <f>#REF!</f>
        <v>#REF!</v>
      </c>
      <c r="F85" s="7" t="e">
        <f>#REF!</f>
        <v>#REF!</v>
      </c>
      <c r="G85" s="7" t="e">
        <f>#REF!</f>
        <v>#REF!</v>
      </c>
      <c r="H85" s="7" t="e">
        <f>#REF!</f>
        <v>#REF!</v>
      </c>
      <c r="I85" s="7" t="e">
        <f>#REF!</f>
        <v>#REF!</v>
      </c>
      <c r="J85" s="7" t="e">
        <f t="shared" ref="J85:J92" si="24">IF(D85&lt;&gt;"Valid","",SUM(E85:F85))</f>
        <v>#REF!</v>
      </c>
      <c r="K85" s="7" t="e">
        <f t="shared" ref="K85:K92" si="25">IF(D85&lt;&gt;"Valid","",SUM(G85:I85))</f>
        <v>#REF!</v>
      </c>
      <c r="L85" s="7" t="e">
        <f>IF(D85&lt;&gt;"Valid","",#REF!*0.4+#REF!*0.6)</f>
        <v>#REF!</v>
      </c>
      <c r="M85" s="7"/>
      <c r="N85" s="7" t="e">
        <f>IF(D85&lt;&gt;"Valid","Not Assessed (Insufficient Valid Data)",LOOKUP(L85,tblPerformanceCategory[Min],tblPerformanceCategory[Performance Category]))</f>
        <v>#REF!</v>
      </c>
      <c r="O85" s="7" t="e">
        <f>IF(D85="Valid","Yes","No")</f>
        <v>#REF!</v>
      </c>
    </row>
    <row r="86" spans="1:15" hidden="1">
      <c r="A86" s="7" t="e">
        <f>#REF!</f>
        <v>#REF!</v>
      </c>
      <c r="B86" s="7" t="e">
        <f>#REF!</f>
        <v>#REF!</v>
      </c>
      <c r="C86" s="7" t="e">
        <f>#REF!</f>
        <v>#REF!</v>
      </c>
      <c r="D86" s="7" t="e">
        <f>#REF!</f>
        <v>#REF!</v>
      </c>
      <c r="E86" s="7" t="e">
        <f>#REF!</f>
        <v>#REF!</v>
      </c>
      <c r="F86" s="7" t="e">
        <f>#REF!</f>
        <v>#REF!</v>
      </c>
      <c r="G86" s="7" t="e">
        <f>#REF!</f>
        <v>#REF!</v>
      </c>
      <c r="H86" s="7" t="e">
        <f>#REF!</f>
        <v>#REF!</v>
      </c>
      <c r="I86" s="7" t="e">
        <f>#REF!</f>
        <v>#REF!</v>
      </c>
      <c r="J86" s="7" t="e">
        <f t="shared" si="24"/>
        <v>#REF!</v>
      </c>
      <c r="K86" s="7" t="e">
        <f t="shared" si="25"/>
        <v>#REF!</v>
      </c>
      <c r="L86" s="7" t="e">
        <f>IF(D86&lt;&gt;"Valid","",#REF!*0.4+#REF!*0.6)</f>
        <v>#REF!</v>
      </c>
      <c r="M86" s="7"/>
      <c r="N86" s="7" t="e">
        <f>IF(D86&lt;&gt;"Valid","Not Assessed (Insufficient Valid Data)",LOOKUP(L86,tblPerformanceCategory[Min],tblPerformanceCategory[Performance Category]))</f>
        <v>#REF!</v>
      </c>
      <c r="O86" s="7" t="e">
        <f>IF(D86="Valid","Yes","No")</f>
        <v>#REF!</v>
      </c>
    </row>
    <row r="87" spans="1:15" ht="42" hidden="1" customHeight="1">
      <c r="A87" s="7" t="e">
        <f>#REF!</f>
        <v>#REF!</v>
      </c>
      <c r="B87" s="7" t="e">
        <f>#REF!</f>
        <v>#REF!</v>
      </c>
      <c r="C87" s="7" t="e">
        <f>#REF!</f>
        <v>#REF!</v>
      </c>
      <c r="D87" s="7" t="e">
        <f>#REF!</f>
        <v>#REF!</v>
      </c>
      <c r="E87" s="7" t="e">
        <f>#REF!</f>
        <v>#REF!</v>
      </c>
      <c r="F87" s="7" t="e">
        <f>#REF!</f>
        <v>#REF!</v>
      </c>
      <c r="G87" s="7" t="e">
        <f>#REF!</f>
        <v>#REF!</v>
      </c>
      <c r="H87" s="7" t="e">
        <f>#REF!</f>
        <v>#REF!</v>
      </c>
      <c r="I87" s="7" t="e">
        <f>#REF!</f>
        <v>#REF!</v>
      </c>
      <c r="J87" s="7" t="e">
        <f t="shared" si="24"/>
        <v>#REF!</v>
      </c>
      <c r="K87" s="7" t="e">
        <f t="shared" si="25"/>
        <v>#REF!</v>
      </c>
      <c r="L87" s="7" t="e">
        <f>IF($D87&lt;&gt;"Valid",0,IFERROR(AVERAGE(#REF!,#REF!),0))</f>
        <v>#REF!</v>
      </c>
      <c r="M87" s="21" t="str">
        <f>IF(ISNUMBER(L87),_xlfn.RANK.EQ(L87,$L$2:$L$500,0),"")</f>
        <v/>
      </c>
      <c r="N87" s="7" t="e">
        <f>IF(L87=0,
"Not Assessed",
IF(L87&gt;=0.85,"Very High Performance",
IF(L87&gt;=0.7,"High Performance",
IF(L87&gt;=0.55,"Moderate Performance",
IF(L87&gt;=0.4,"Low Performance",
"Very Low Performance")))))</f>
        <v>#REF!</v>
      </c>
      <c r="O87" s="7" t="e">
        <f>IF($L87=0,
"Failed minimum data validation; requires contextual review in FSF.",
"Ready for contextual review in FSF.")</f>
        <v>#REF!</v>
      </c>
    </row>
    <row r="88" spans="1:15" hidden="1">
      <c r="A88" s="7" t="e">
        <f>#REF!</f>
        <v>#REF!</v>
      </c>
      <c r="B88" s="7" t="e">
        <f>#REF!</f>
        <v>#REF!</v>
      </c>
      <c r="C88" s="7" t="e">
        <f>#REF!</f>
        <v>#REF!</v>
      </c>
      <c r="D88" s="7" t="e">
        <f>#REF!</f>
        <v>#REF!</v>
      </c>
      <c r="E88" s="7" t="e">
        <f>#REF!</f>
        <v>#REF!</v>
      </c>
      <c r="F88" s="7" t="e">
        <f>#REF!</f>
        <v>#REF!</v>
      </c>
      <c r="G88" s="7" t="e">
        <f>#REF!</f>
        <v>#REF!</v>
      </c>
      <c r="H88" s="7" t="e">
        <f>#REF!</f>
        <v>#REF!</v>
      </c>
      <c r="I88" s="7" t="e">
        <f>#REF!</f>
        <v>#REF!</v>
      </c>
      <c r="J88" s="7" t="e">
        <f t="shared" si="24"/>
        <v>#REF!</v>
      </c>
      <c r="K88" s="7" t="e">
        <f t="shared" si="25"/>
        <v>#REF!</v>
      </c>
      <c r="L88" s="7" t="e">
        <f>IF(D88&lt;&gt;"Valid","",#REF!*0.4+#REF!*0.6)</f>
        <v>#REF!</v>
      </c>
      <c r="M88" s="7"/>
      <c r="N88" s="7" t="e">
        <f>IF(D88&lt;&gt;"Valid","Not Assessed (Insufficient Valid Data)",LOOKUP(L88,tblPerformanceCategory[Min],tblPerformanceCategory[Performance Category]))</f>
        <v>#REF!</v>
      </c>
      <c r="O88" s="7" t="e">
        <f>IF(D88="Valid","Yes","No")</f>
        <v>#REF!</v>
      </c>
    </row>
    <row r="89" spans="1:15" hidden="1">
      <c r="A89" s="7" t="e">
        <f>#REF!</f>
        <v>#REF!</v>
      </c>
      <c r="B89" s="7" t="e">
        <f>#REF!</f>
        <v>#REF!</v>
      </c>
      <c r="C89" s="7" t="e">
        <f>#REF!</f>
        <v>#REF!</v>
      </c>
      <c r="D89" s="7" t="e">
        <f>#REF!</f>
        <v>#REF!</v>
      </c>
      <c r="E89" s="7" t="e">
        <f>#REF!</f>
        <v>#REF!</v>
      </c>
      <c r="F89" s="7" t="e">
        <f>#REF!</f>
        <v>#REF!</v>
      </c>
      <c r="G89" s="7" t="e">
        <f>#REF!</f>
        <v>#REF!</v>
      </c>
      <c r="H89" s="7" t="e">
        <f>#REF!</f>
        <v>#REF!</v>
      </c>
      <c r="I89" s="7" t="e">
        <f>#REF!</f>
        <v>#REF!</v>
      </c>
      <c r="J89" s="7" t="e">
        <f t="shared" si="24"/>
        <v>#REF!</v>
      </c>
      <c r="K89" s="7" t="e">
        <f t="shared" si="25"/>
        <v>#REF!</v>
      </c>
      <c r="L89" s="7" t="e">
        <f>IF(D89&lt;&gt;"Valid","",#REF!*0.4+#REF!*0.6)</f>
        <v>#REF!</v>
      </c>
      <c r="M89" s="7"/>
      <c r="N89" s="7" t="e">
        <f>IF(D89&lt;&gt;"Valid","Not Assessed (Insufficient Valid Data)",LOOKUP(L89,tblPerformanceCategory[Min],tblPerformanceCategory[Performance Category]))</f>
        <v>#REF!</v>
      </c>
      <c r="O89" s="7" t="e">
        <f>IF(D89="Valid","Yes","No")</f>
        <v>#REF!</v>
      </c>
    </row>
    <row r="90" spans="1:15" ht="42" hidden="1" customHeight="1">
      <c r="A90" s="7" t="e">
        <f>#REF!</f>
        <v>#REF!</v>
      </c>
      <c r="B90" s="7" t="e">
        <f>#REF!</f>
        <v>#REF!</v>
      </c>
      <c r="C90" s="7" t="e">
        <f>#REF!</f>
        <v>#REF!</v>
      </c>
      <c r="D90" s="7" t="e">
        <f>#REF!</f>
        <v>#REF!</v>
      </c>
      <c r="E90" s="7" t="e">
        <f>#REF!</f>
        <v>#REF!</v>
      </c>
      <c r="F90" s="7" t="e">
        <f>#REF!</f>
        <v>#REF!</v>
      </c>
      <c r="G90" s="7" t="e">
        <f>#REF!</f>
        <v>#REF!</v>
      </c>
      <c r="H90" s="7" t="e">
        <f>#REF!</f>
        <v>#REF!</v>
      </c>
      <c r="I90" s="7" t="e">
        <f>#REF!</f>
        <v>#REF!</v>
      </c>
      <c r="J90" s="7" t="e">
        <f t="shared" si="24"/>
        <v>#REF!</v>
      </c>
      <c r="K90" s="7" t="e">
        <f t="shared" si="25"/>
        <v>#REF!</v>
      </c>
      <c r="L90" s="7" t="e">
        <f>IF($D90&lt;&gt;"Valid",0,IFERROR(AVERAGE(#REF!,#REF!),0))</f>
        <v>#REF!</v>
      </c>
      <c r="M90" s="21" t="str">
        <f>IF(ISNUMBER(L90),_xlfn.RANK.EQ(L90,$L$2:$L$500,0),"")</f>
        <v/>
      </c>
      <c r="N90" s="7" t="e">
        <f>IF(L90=0,
"Not Assessed",
IF(L90&gt;=0.85,"Very High Performance",
IF(L90&gt;=0.7,"High Performance",
IF(L90&gt;=0.55,"Moderate Performance",
IF(L90&gt;=0.4,"Low Performance",
"Very Low Performance")))))</f>
        <v>#REF!</v>
      </c>
      <c r="O90" s="7" t="e">
        <f>IF($L90=0,
"Failed minimum data validation; requires contextual review in FSF.",
"Ready for contextual review in FSF.")</f>
        <v>#REF!</v>
      </c>
    </row>
    <row r="91" spans="1:15" ht="42" hidden="1" customHeight="1">
      <c r="A91" s="7" t="e">
        <f>#REF!</f>
        <v>#REF!</v>
      </c>
      <c r="B91" s="7" t="e">
        <f>#REF!</f>
        <v>#REF!</v>
      </c>
      <c r="C91" s="7" t="e">
        <f>#REF!</f>
        <v>#REF!</v>
      </c>
      <c r="D91" s="7" t="e">
        <f>#REF!</f>
        <v>#REF!</v>
      </c>
      <c r="E91" s="7" t="e">
        <f>#REF!</f>
        <v>#REF!</v>
      </c>
      <c r="F91" s="7" t="e">
        <f>#REF!</f>
        <v>#REF!</v>
      </c>
      <c r="G91" s="7" t="e">
        <f>#REF!</f>
        <v>#REF!</v>
      </c>
      <c r="H91" s="7" t="e">
        <f>#REF!</f>
        <v>#REF!</v>
      </c>
      <c r="I91" s="7" t="e">
        <f>#REF!</f>
        <v>#REF!</v>
      </c>
      <c r="J91" s="7" t="e">
        <f t="shared" si="24"/>
        <v>#REF!</v>
      </c>
      <c r="K91" s="7" t="e">
        <f t="shared" si="25"/>
        <v>#REF!</v>
      </c>
      <c r="L91" s="7" t="e">
        <f>IF($D91&lt;&gt;"Valid",0,IFERROR(AVERAGE(#REF!,#REF!),0))</f>
        <v>#REF!</v>
      </c>
      <c r="M91" s="21" t="str">
        <f>IF(ISNUMBER(L91),_xlfn.RANK.EQ(L91,$L$2:$L$500,0),"")</f>
        <v/>
      </c>
      <c r="N91" s="7" t="e">
        <f>IF(L91=0,
"Not Assessed",
IF(L91&gt;=0.85,"Very High Performance",
IF(L91&gt;=0.7,"High Performance",
IF(L91&gt;=0.55,"Moderate Performance",
IF(L91&gt;=0.4,"Low Performance",
"Very Low Performance")))))</f>
        <v>#REF!</v>
      </c>
      <c r="O91" s="7" t="e">
        <f>IF($L91=0,
"Failed minimum data validation; requires contextual review in FSF.",
"Ready for contextual review in FSF.")</f>
        <v>#REF!</v>
      </c>
    </row>
    <row r="92" spans="1:15" ht="42" hidden="1" customHeight="1">
      <c r="A92" s="7" t="e">
        <f>#REF!</f>
        <v>#REF!</v>
      </c>
      <c r="B92" s="7" t="e">
        <f>#REF!</f>
        <v>#REF!</v>
      </c>
      <c r="C92" s="7" t="e">
        <f>#REF!</f>
        <v>#REF!</v>
      </c>
      <c r="D92" s="7" t="e">
        <f>#REF!</f>
        <v>#REF!</v>
      </c>
      <c r="E92" s="7" t="e">
        <f>#REF!</f>
        <v>#REF!</v>
      </c>
      <c r="F92" s="7" t="e">
        <f>#REF!</f>
        <v>#REF!</v>
      </c>
      <c r="G92" s="7" t="e">
        <f>#REF!</f>
        <v>#REF!</v>
      </c>
      <c r="H92" s="7" t="e">
        <f>#REF!</f>
        <v>#REF!</v>
      </c>
      <c r="I92" s="7" t="e">
        <f>#REF!</f>
        <v>#REF!</v>
      </c>
      <c r="J92" s="7" t="e">
        <f t="shared" si="24"/>
        <v>#REF!</v>
      </c>
      <c r="K92" s="7" t="e">
        <f t="shared" si="25"/>
        <v>#REF!</v>
      </c>
      <c r="L92" s="7" t="e">
        <f>IF($D92&lt;&gt;"Valid",0,IFERROR(AVERAGE(#REF!,#REF!),0))</f>
        <v>#REF!</v>
      </c>
      <c r="M92" s="21" t="str">
        <f>IF(ISNUMBER(L92),_xlfn.RANK.EQ(L92,$L$2:$L$500,0),"")</f>
        <v/>
      </c>
      <c r="N92" s="7" t="e">
        <f>IF(L92=0,
"Not Assessed",
IF(L92&gt;=0.85,"Very High Performance",
IF(L92&gt;=0.7,"High Performance",
IF(L92&gt;=0.55,"Moderate Performance",
IF(L92&gt;=0.4,"Low Performance",
"Very Low Performance")))))</f>
        <v>#REF!</v>
      </c>
      <c r="O92" s="7" t="e">
        <f>IF($L92=0,
"Failed minimum data validation; requires contextual review in FSF.",
"Ready for contextual review in FSF.")</f>
        <v>#REF!</v>
      </c>
    </row>
    <row r="93" spans="1:15" ht="42" customHeight="1">
      <c r="A93" s="7" t="str">
        <f>Derived_Indicators!A93</f>
        <v>Bwari Local Government Area</v>
      </c>
      <c r="B93" s="7" t="str">
        <f>Derived_Indicators!B93</f>
        <v>Dutse Ward</v>
      </c>
      <c r="C93" s="7" t="str">
        <f>Derived_Indicators!C93</f>
        <v>Dutse Makaranta Primary Health Centre</v>
      </c>
      <c r="D93" s="7" t="str">
        <f>Derived_Indicators!Q93</f>
        <v>Valid</v>
      </c>
      <c r="E93" s="23">
        <f>Derived_Indicators!D93</f>
        <v>0.98333999999999988</v>
      </c>
      <c r="F93" s="23">
        <f>Derived_Indicators!E93</f>
        <v>0.94444444444444442</v>
      </c>
      <c r="G93" s="23">
        <f>Derived_Indicators!K93</f>
        <v>0.99108978752570254</v>
      </c>
      <c r="H93" s="23">
        <f>Derived_Indicators!M93</f>
        <v>0.47794117647058826</v>
      </c>
      <c r="I93" s="23">
        <f>Derived_Indicators!N93</f>
        <v>2.9411764705882353E-2</v>
      </c>
      <c r="J93" s="23">
        <f>IF($D93&lt;&gt;"Valid","",AVERAGE(E93:F93))</f>
        <v>0.96389222222222215</v>
      </c>
      <c r="K93" s="23">
        <f>IF($D93&lt;&gt;"Valid","",AVERAGE(G93:I93))</f>
        <v>0.49948090956739105</v>
      </c>
      <c r="L93" s="23">
        <f>IF($D93&lt;&gt;"Valid","",AVERAGE(J93,K93))</f>
        <v>0.73168656589480663</v>
      </c>
      <c r="M93" s="21" t="e">
        <f>IF(AND($D93="Valid",ISNUMBER(L93)),RANK(L93,$L$2:$L$500,0),"")</f>
        <v>#REF!</v>
      </c>
      <c r="N93" s="7" t="str">
        <f>IF(L93="",
"Not Assessed",
IF(L93&gt;=0.85,"Excellent",
IF(L93&gt;=0.7,"Good",
IF(L93&gt;=0.55,"Moderate",
IF(L93&gt;=0.4,"Low",
"Very Low")))))</f>
        <v>Good</v>
      </c>
      <c r="O93" s="7" t="str">
        <f>IF($D93&lt;&gt;"Valid",
"Failed data validation; excluded from HFSI and requires contextual review in the Health Facility Selection Framework (HFSF).",
"Eligible for contextual assessment using the Health Facility Selection Framework (HFSF).")</f>
        <v>Eligible for contextual assessment using the Health Facility Selection Framework (HFSF).</v>
      </c>
    </row>
    <row r="94" spans="1:15" ht="42" hidden="1" customHeight="1">
      <c r="A94" s="7" t="e">
        <f>#REF!</f>
        <v>#REF!</v>
      </c>
      <c r="B94" s="7" t="e">
        <f>#REF!</f>
        <v>#REF!</v>
      </c>
      <c r="C94" s="7" t="e">
        <f>#REF!</f>
        <v>#REF!</v>
      </c>
      <c r="D94" s="7" t="e">
        <f>#REF!</f>
        <v>#REF!</v>
      </c>
      <c r="E94" s="7" t="e">
        <f>#REF!</f>
        <v>#REF!</v>
      </c>
      <c r="F94" s="7" t="e">
        <f>#REF!</f>
        <v>#REF!</v>
      </c>
      <c r="G94" s="7" t="e">
        <f>#REF!</f>
        <v>#REF!</v>
      </c>
      <c r="H94" s="7" t="e">
        <f>#REF!</f>
        <v>#REF!</v>
      </c>
      <c r="I94" s="7" t="e">
        <f>#REF!</f>
        <v>#REF!</v>
      </c>
      <c r="J94" s="7" t="e">
        <f t="shared" ref="J94:J99" si="26">IF(D94&lt;&gt;"Valid","",SUM(E94:F94))</f>
        <v>#REF!</v>
      </c>
      <c r="K94" s="7" t="e">
        <f t="shared" ref="K94:K99" si="27">IF(D94&lt;&gt;"Valid","",SUM(G94:I94))</f>
        <v>#REF!</v>
      </c>
      <c r="L94" s="7" t="e">
        <f>IF($D94&lt;&gt;"Valid",0,IFERROR(AVERAGE(#REF!,#REF!),0))</f>
        <v>#REF!</v>
      </c>
      <c r="M94" s="21" t="str">
        <f>IF(ISNUMBER(L94),_xlfn.RANK.EQ(L94,$L$2:$L$500,0),"")</f>
        <v/>
      </c>
      <c r="N94" s="7" t="e">
        <f>IF(L94=0,
"Not Assessed",
IF(L94&gt;=0.85,"Very High Performance",
IF(L94&gt;=0.7,"High Performance",
IF(L94&gt;=0.55,"Moderate Performance",
IF(L94&gt;=0.4,"Low Performance",
"Very Low Performance")))))</f>
        <v>#REF!</v>
      </c>
      <c r="O94" s="7" t="e">
        <f>IF($L94=0,
"Failed minimum data validation; requires contextual review in FSF.",
"Ready for contextual review in FSF.")</f>
        <v>#REF!</v>
      </c>
    </row>
    <row r="95" spans="1:15" hidden="1">
      <c r="A95" s="7" t="e">
        <f>#REF!</f>
        <v>#REF!</v>
      </c>
      <c r="B95" s="7" t="e">
        <f>#REF!</f>
        <v>#REF!</v>
      </c>
      <c r="C95" s="7" t="e">
        <f>#REF!</f>
        <v>#REF!</v>
      </c>
      <c r="D95" s="7" t="e">
        <f>#REF!</f>
        <v>#REF!</v>
      </c>
      <c r="E95" s="7" t="e">
        <f>#REF!</f>
        <v>#REF!</v>
      </c>
      <c r="F95" s="7" t="e">
        <f>#REF!</f>
        <v>#REF!</v>
      </c>
      <c r="G95" s="7" t="e">
        <f>#REF!</f>
        <v>#REF!</v>
      </c>
      <c r="H95" s="7" t="e">
        <f>#REF!</f>
        <v>#REF!</v>
      </c>
      <c r="I95" s="7" t="e">
        <f>#REF!</f>
        <v>#REF!</v>
      </c>
      <c r="J95" s="7" t="e">
        <f t="shared" si="26"/>
        <v>#REF!</v>
      </c>
      <c r="K95" s="7" t="e">
        <f t="shared" si="27"/>
        <v>#REF!</v>
      </c>
      <c r="L95" s="7" t="e">
        <f>IF(D95&lt;&gt;"Valid","",#REF!*0.4+#REF!*0.6)</f>
        <v>#REF!</v>
      </c>
      <c r="M95" s="7"/>
      <c r="N95" s="7" t="e">
        <f>IF(D95&lt;&gt;"Valid","Not Assessed (Insufficient Valid Data)",LOOKUP(L95,tblPerformanceCategory[Min],tblPerformanceCategory[Performance Category]))</f>
        <v>#REF!</v>
      </c>
      <c r="O95" s="7" t="e">
        <f>IF(D95="Valid","Yes","No")</f>
        <v>#REF!</v>
      </c>
    </row>
    <row r="96" spans="1:15" ht="42" hidden="1" customHeight="1">
      <c r="A96" s="7" t="e">
        <f>#REF!</f>
        <v>#REF!</v>
      </c>
      <c r="B96" s="7" t="e">
        <f>#REF!</f>
        <v>#REF!</v>
      </c>
      <c r="C96" s="7" t="e">
        <f>#REF!</f>
        <v>#REF!</v>
      </c>
      <c r="D96" s="7" t="e">
        <f>#REF!</f>
        <v>#REF!</v>
      </c>
      <c r="E96" s="7" t="e">
        <f>#REF!</f>
        <v>#REF!</v>
      </c>
      <c r="F96" s="7" t="e">
        <f>#REF!</f>
        <v>#REF!</v>
      </c>
      <c r="G96" s="7" t="e">
        <f>#REF!</f>
        <v>#REF!</v>
      </c>
      <c r="H96" s="7" t="e">
        <f>#REF!</f>
        <v>#REF!</v>
      </c>
      <c r="I96" s="7" t="e">
        <f>#REF!</f>
        <v>#REF!</v>
      </c>
      <c r="J96" s="7" t="e">
        <f t="shared" si="26"/>
        <v>#REF!</v>
      </c>
      <c r="K96" s="7" t="e">
        <f t="shared" si="27"/>
        <v>#REF!</v>
      </c>
      <c r="L96" s="7" t="e">
        <f>IF($D96&lt;&gt;"Valid",0,IFERROR(AVERAGE(#REF!,#REF!),0))</f>
        <v>#REF!</v>
      </c>
      <c r="M96" s="21" t="str">
        <f>IF(ISNUMBER(L96),_xlfn.RANK.EQ(L96,$L$2:$L$500,0),"")</f>
        <v/>
      </c>
      <c r="N96" s="7" t="e">
        <f>IF(L96=0,
"Not Assessed",
IF(L96&gt;=0.85,"Very High Performance",
IF(L96&gt;=0.7,"High Performance",
IF(L96&gt;=0.55,"Moderate Performance",
IF(L96&gt;=0.4,"Low Performance",
"Very Low Performance")))))</f>
        <v>#REF!</v>
      </c>
      <c r="O96" s="7" t="e">
        <f>IF($L96=0,
"Failed minimum data validation; requires contextual review in FSF.",
"Ready for contextual review in FSF.")</f>
        <v>#REF!</v>
      </c>
    </row>
    <row r="97" spans="1:15" ht="42" hidden="1" customHeight="1">
      <c r="A97" s="7" t="e">
        <f>#REF!</f>
        <v>#REF!</v>
      </c>
      <c r="B97" s="7" t="e">
        <f>#REF!</f>
        <v>#REF!</v>
      </c>
      <c r="C97" s="7" t="e">
        <f>#REF!</f>
        <v>#REF!</v>
      </c>
      <c r="D97" s="7" t="e">
        <f>#REF!</f>
        <v>#REF!</v>
      </c>
      <c r="E97" s="7" t="e">
        <f>#REF!</f>
        <v>#REF!</v>
      </c>
      <c r="F97" s="7" t="e">
        <f>#REF!</f>
        <v>#REF!</v>
      </c>
      <c r="G97" s="7" t="e">
        <f>#REF!</f>
        <v>#REF!</v>
      </c>
      <c r="H97" s="7" t="e">
        <f>#REF!</f>
        <v>#REF!</v>
      </c>
      <c r="I97" s="7" t="e">
        <f>#REF!</f>
        <v>#REF!</v>
      </c>
      <c r="J97" s="7" t="e">
        <f t="shared" si="26"/>
        <v>#REF!</v>
      </c>
      <c r="K97" s="7" t="e">
        <f t="shared" si="27"/>
        <v>#REF!</v>
      </c>
      <c r="L97" s="7" t="e">
        <f>IF($D97&lt;&gt;"Valid",0,IFERROR(AVERAGE(#REF!,#REF!),0))</f>
        <v>#REF!</v>
      </c>
      <c r="M97" s="21" t="str">
        <f>IF(ISNUMBER(L97),_xlfn.RANK.EQ(L97,$L$2:$L$500,0),"")</f>
        <v/>
      </c>
      <c r="N97" s="7" t="e">
        <f>IF(L97=0,
"Not Assessed",
IF(L97&gt;=0.85,"Very High Performance",
IF(L97&gt;=0.7,"High Performance",
IF(L97&gt;=0.55,"Moderate Performance",
IF(L97&gt;=0.4,"Low Performance",
"Very Low Performance")))))</f>
        <v>#REF!</v>
      </c>
      <c r="O97" s="7" t="e">
        <f>IF($L97=0,
"Failed minimum data validation; requires contextual review in FSF.",
"Ready for contextual review in FSF.")</f>
        <v>#REF!</v>
      </c>
    </row>
    <row r="98" spans="1:15" hidden="1">
      <c r="A98" s="7" t="e">
        <f>#REF!</f>
        <v>#REF!</v>
      </c>
      <c r="B98" s="7" t="e">
        <f>#REF!</f>
        <v>#REF!</v>
      </c>
      <c r="C98" s="7" t="e">
        <f>#REF!</f>
        <v>#REF!</v>
      </c>
      <c r="D98" s="7" t="e">
        <f>#REF!</f>
        <v>#REF!</v>
      </c>
      <c r="E98" s="7" t="e">
        <f>#REF!</f>
        <v>#REF!</v>
      </c>
      <c r="F98" s="7" t="e">
        <f>#REF!</f>
        <v>#REF!</v>
      </c>
      <c r="G98" s="7" t="e">
        <f>#REF!</f>
        <v>#REF!</v>
      </c>
      <c r="H98" s="7" t="e">
        <f>#REF!</f>
        <v>#REF!</v>
      </c>
      <c r="I98" s="7" t="e">
        <f>#REF!</f>
        <v>#REF!</v>
      </c>
      <c r="J98" s="7" t="e">
        <f t="shared" si="26"/>
        <v>#REF!</v>
      </c>
      <c r="K98" s="7" t="e">
        <f t="shared" si="27"/>
        <v>#REF!</v>
      </c>
      <c r="L98" s="7" t="e">
        <f>IF(D98&lt;&gt;"Valid","",#REF!*0.4+#REF!*0.6)</f>
        <v>#REF!</v>
      </c>
      <c r="M98" s="7"/>
      <c r="N98" s="7" t="e">
        <f>IF(D98&lt;&gt;"Valid","Not Assessed (Insufficient Valid Data)",LOOKUP(L98,tblPerformanceCategory[Min],tblPerformanceCategory[Performance Category]))</f>
        <v>#REF!</v>
      </c>
      <c r="O98" s="7" t="e">
        <f>IF(D98="Valid","Yes","No")</f>
        <v>#REF!</v>
      </c>
    </row>
    <row r="99" spans="1:15" ht="42" hidden="1" customHeight="1">
      <c r="A99" s="7" t="e">
        <f>#REF!</f>
        <v>#REF!</v>
      </c>
      <c r="B99" s="7" t="e">
        <f>#REF!</f>
        <v>#REF!</v>
      </c>
      <c r="C99" s="7" t="e">
        <f>#REF!</f>
        <v>#REF!</v>
      </c>
      <c r="D99" s="7" t="e">
        <f>#REF!</f>
        <v>#REF!</v>
      </c>
      <c r="E99" s="7" t="e">
        <f>#REF!</f>
        <v>#REF!</v>
      </c>
      <c r="F99" s="7" t="e">
        <f>#REF!</f>
        <v>#REF!</v>
      </c>
      <c r="G99" s="7" t="e">
        <f>#REF!</f>
        <v>#REF!</v>
      </c>
      <c r="H99" s="7" t="e">
        <f>#REF!</f>
        <v>#REF!</v>
      </c>
      <c r="I99" s="7" t="e">
        <f>#REF!</f>
        <v>#REF!</v>
      </c>
      <c r="J99" s="7" t="e">
        <f t="shared" si="26"/>
        <v>#REF!</v>
      </c>
      <c r="K99" s="7" t="e">
        <f t="shared" si="27"/>
        <v>#REF!</v>
      </c>
      <c r="L99" s="7" t="e">
        <f>IF($D99&lt;&gt;"Valid",0,IFERROR(AVERAGE(#REF!,#REF!),0))</f>
        <v>#REF!</v>
      </c>
      <c r="M99" s="21" t="str">
        <f>IF(ISNUMBER(L99),_xlfn.RANK.EQ(L99,$L$2:$L$500,0),"")</f>
        <v/>
      </c>
      <c r="N99" s="7" t="e">
        <f>IF(L99=0,
"Not Assessed",
IF(L99&gt;=0.85,"Very High Performance",
IF(L99&gt;=0.7,"High Performance",
IF(L99&gt;=0.55,"Moderate Performance",
IF(L99&gt;=0.4,"Low Performance",
"Very Low Performance")))))</f>
        <v>#REF!</v>
      </c>
      <c r="O99" s="7" t="e">
        <f>IF($L99=0,
"Failed minimum data validation; requires contextual review in FSF.",
"Ready for contextual review in FSF.")</f>
        <v>#REF!</v>
      </c>
    </row>
    <row r="100" spans="1:15" ht="42" customHeight="1">
      <c r="A100" s="7" t="str">
        <f>Derived_Indicators!A100</f>
        <v>Abuja Municipal Area Council</v>
      </c>
      <c r="B100" s="7" t="str">
        <f>Derived_Indicators!B100</f>
        <v>City Centre Ward</v>
      </c>
      <c r="C100" s="7" t="str">
        <f>Derived_Indicators!C100</f>
        <v>Excel Fertility Centre</v>
      </c>
      <c r="D100" s="7" t="str">
        <f>Derived_Indicators!Q100</f>
        <v>Valid</v>
      </c>
      <c r="E100" s="23">
        <f>Derived_Indicators!D100</f>
        <v>1</v>
      </c>
      <c r="F100" s="23" t="str">
        <f>Derived_Indicators!E100</f>
        <v/>
      </c>
      <c r="G100" s="23">
        <f>Derived_Indicators!K100</f>
        <v>0.79661016949152541</v>
      </c>
      <c r="H100" s="23">
        <f>Derived_Indicators!M100</f>
        <v>0.51219512195121952</v>
      </c>
      <c r="I100" s="23">
        <f>Derived_Indicators!N100</f>
        <v>6.097560975609756E-2</v>
      </c>
      <c r="J100" s="23">
        <f t="shared" ref="J100:J101" si="28">IF($D100&lt;&gt;"Valid","",AVERAGE(E100:F100))</f>
        <v>1</v>
      </c>
      <c r="K100" s="23">
        <f t="shared" ref="K100:K101" si="29">IF($D100&lt;&gt;"Valid","",AVERAGE(G100:I100))</f>
        <v>0.45659363373294753</v>
      </c>
      <c r="L100" s="23">
        <f t="shared" ref="L100:L101" si="30">IF($D100&lt;&gt;"Valid","",AVERAGE(J100,K100))</f>
        <v>0.72829681686647374</v>
      </c>
      <c r="M100" s="21" t="e">
        <f t="shared" ref="M100:M101" si="31">IF(AND($D100="Valid",ISNUMBER(L100)),RANK(L100,$L$2:$L$500,0),"")</f>
        <v>#REF!</v>
      </c>
      <c r="N100" s="7" t="str">
        <f t="shared" ref="N100:N101" si="32">IF(L100="",
"Not Assessed",
IF(L100&gt;=0.85,"Excellent",
IF(L100&gt;=0.7,"Good",
IF(L100&gt;=0.55,"Moderate",
IF(L100&gt;=0.4,"Low",
"Very Low")))))</f>
        <v>Good</v>
      </c>
      <c r="O100" s="7" t="str">
        <f t="shared" ref="O100:O101" si="33">IF($D100&lt;&gt;"Valid",
"Failed data validation; excluded from HFSI and requires contextual review in the Health Facility Selection Framework (HFSF).",
"Eligible for contextual assessment using the Health Facility Selection Framework (HFSF).")</f>
        <v>Eligible for contextual assessment using the Health Facility Selection Framework (HFSF).</v>
      </c>
    </row>
    <row r="101" spans="1:15" ht="42" customHeight="1">
      <c r="A101" s="7" t="str">
        <f>Derived_Indicators!A101</f>
        <v>Bwari Local Government Area</v>
      </c>
      <c r="B101" s="7" t="str">
        <f>Derived_Indicators!B101</f>
        <v>Kubwa Ward</v>
      </c>
      <c r="C101" s="7" t="str">
        <f>Derived_Indicators!C101</f>
        <v>Express Hospital</v>
      </c>
      <c r="D101" s="7" t="str">
        <f>Derived_Indicators!Q101</f>
        <v>No Data</v>
      </c>
      <c r="E101" s="23" t="str">
        <f>Derived_Indicators!D101</f>
        <v/>
      </c>
      <c r="F101" s="23" t="str">
        <f>Derived_Indicators!E101</f>
        <v/>
      </c>
      <c r="G101" s="23" t="str">
        <f>Derived_Indicators!K101</f>
        <v/>
      </c>
      <c r="H101" s="23">
        <f>Derived_Indicators!M101</f>
        <v>0.83333333333333337</v>
      </c>
      <c r="I101" s="23">
        <f>Derived_Indicators!N101</f>
        <v>0.66666666666666663</v>
      </c>
      <c r="J101" s="23" t="str">
        <f t="shared" si="28"/>
        <v/>
      </c>
      <c r="K101" s="23" t="str">
        <f t="shared" si="29"/>
        <v/>
      </c>
      <c r="L101" s="23" t="str">
        <f t="shared" si="30"/>
        <v/>
      </c>
      <c r="M101" s="21" t="str">
        <f t="shared" si="31"/>
        <v/>
      </c>
      <c r="N101" s="7" t="str">
        <f t="shared" si="32"/>
        <v>Not Assessed</v>
      </c>
      <c r="O101" s="7" t="str">
        <f t="shared" si="33"/>
        <v>Failed data validation; excluded from HFSI and requires contextual review in the Health Facility Selection Framework (HFSF).</v>
      </c>
    </row>
    <row r="102" spans="1:15" ht="42" hidden="1" customHeight="1">
      <c r="A102" s="7" t="e">
        <f>#REF!</f>
        <v>#REF!</v>
      </c>
      <c r="B102" s="7" t="e">
        <f>#REF!</f>
        <v>#REF!</v>
      </c>
      <c r="C102" s="7" t="e">
        <f>#REF!</f>
        <v>#REF!</v>
      </c>
      <c r="D102" s="7" t="e">
        <f>#REF!</f>
        <v>#REF!</v>
      </c>
      <c r="E102" s="7" t="e">
        <f>#REF!</f>
        <v>#REF!</v>
      </c>
      <c r="F102" s="7" t="e">
        <f>#REF!</f>
        <v>#REF!</v>
      </c>
      <c r="G102" s="7" t="e">
        <f>#REF!</f>
        <v>#REF!</v>
      </c>
      <c r="H102" s="7" t="e">
        <f>#REF!</f>
        <v>#REF!</v>
      </c>
      <c r="I102" s="7" t="e">
        <f>#REF!</f>
        <v>#REF!</v>
      </c>
      <c r="J102" s="7" t="e">
        <f>IF(D102&lt;&gt;"Valid","",SUM(E102:F102))</f>
        <v>#REF!</v>
      </c>
      <c r="K102" s="7" t="e">
        <f>IF(D102&lt;&gt;"Valid","",SUM(G102:I102))</f>
        <v>#REF!</v>
      </c>
      <c r="L102" s="7" t="e">
        <f>IF($D102&lt;&gt;"Valid",0,IFERROR(AVERAGE(#REF!,#REF!),0))</f>
        <v>#REF!</v>
      </c>
      <c r="M102" s="21" t="str">
        <f>IF(ISNUMBER(L102),_xlfn.RANK.EQ(L102,$L$2:$L$500,0),"")</f>
        <v/>
      </c>
      <c r="N102" s="7" t="e">
        <f>IF(L102=0,
"Not Assessed",
IF(L102&gt;=0.85,"Very High Performance",
IF(L102&gt;=0.7,"High Performance",
IF(L102&gt;=0.55,"Moderate Performance",
IF(L102&gt;=0.4,"Low Performance",
"Very Low Performance")))))</f>
        <v>#REF!</v>
      </c>
      <c r="O102" s="7" t="e">
        <f>IF($L102=0,
"Failed minimum data validation; requires contextual review in FSF.",
"Ready for contextual review in FSF.")</f>
        <v>#REF!</v>
      </c>
    </row>
    <row r="103" spans="1:15" ht="42" customHeight="1">
      <c r="A103" s="7" t="str">
        <f>Derived_Indicators!A103</f>
        <v>Abuja Municipal Area Council</v>
      </c>
      <c r="B103" s="7" t="str">
        <f>Derived_Indicators!B103</f>
        <v>City Centre Ward</v>
      </c>
      <c r="C103" s="7" t="str">
        <f>Derived_Indicators!C103</f>
        <v>Family Care Clinic</v>
      </c>
      <c r="D103" s="7" t="str">
        <f>Derived_Indicators!Q103</f>
        <v>No Data</v>
      </c>
      <c r="E103" s="23">
        <f>Derived_Indicators!D103</f>
        <v>1</v>
      </c>
      <c r="F103" s="23" t="str">
        <f>Derived_Indicators!E103</f>
        <v/>
      </c>
      <c r="G103" s="23" t="str">
        <f>Derived_Indicators!K103</f>
        <v/>
      </c>
      <c r="H103" s="23">
        <f>Derived_Indicators!M103</f>
        <v>2</v>
      </c>
      <c r="I103" s="23">
        <f>Derived_Indicators!N103</f>
        <v>1</v>
      </c>
      <c r="J103" s="23" t="str">
        <f>IF($D103&lt;&gt;"Valid","",AVERAGE(E103:F103))</f>
        <v/>
      </c>
      <c r="K103" s="23" t="str">
        <f>IF($D103&lt;&gt;"Valid","",AVERAGE(G103:I103))</f>
        <v/>
      </c>
      <c r="L103" s="23" t="str">
        <f>IF($D103&lt;&gt;"Valid","",AVERAGE(J103,K103))</f>
        <v/>
      </c>
      <c r="M103" s="21" t="str">
        <f>IF(AND($D103="Valid",ISNUMBER(L103)),RANK(L103,$L$2:$L$500,0),"")</f>
        <v/>
      </c>
      <c r="N103" s="7" t="str">
        <f>IF(L103="",
"Not Assessed",
IF(L103&gt;=0.85,"Excellent",
IF(L103&gt;=0.7,"Good",
IF(L103&gt;=0.55,"Moderate",
IF(L103&gt;=0.4,"Low",
"Very Low")))))</f>
        <v>Not Assessed</v>
      </c>
      <c r="O103" s="7" t="str">
        <f>IF($D103&lt;&gt;"Valid",
"Failed data validation; excluded from HFSI and requires contextual review in the Health Facility Selection Framework (HFSF).",
"Eligible for contextual assessment using the Health Facility Selection Framework (HFSF).")</f>
        <v>Failed data validation; excluded from HFSI and requires contextual review in the Health Facility Selection Framework (HFSF).</v>
      </c>
    </row>
    <row r="104" spans="1:15" ht="42" hidden="1" customHeight="1">
      <c r="A104" s="7" t="e">
        <f>#REF!</f>
        <v>#REF!</v>
      </c>
      <c r="B104" s="7" t="e">
        <f>#REF!</f>
        <v>#REF!</v>
      </c>
      <c r="C104" s="7" t="e">
        <f>#REF!</f>
        <v>#REF!</v>
      </c>
      <c r="D104" s="7" t="e">
        <f>#REF!</f>
        <v>#REF!</v>
      </c>
      <c r="E104" s="7" t="e">
        <f>#REF!</f>
        <v>#REF!</v>
      </c>
      <c r="F104" s="7" t="e">
        <f>#REF!</f>
        <v>#REF!</v>
      </c>
      <c r="G104" s="7" t="e">
        <f>#REF!</f>
        <v>#REF!</v>
      </c>
      <c r="H104" s="7" t="e">
        <f>#REF!</f>
        <v>#REF!</v>
      </c>
      <c r="I104" s="7" t="e">
        <f>#REF!</f>
        <v>#REF!</v>
      </c>
      <c r="J104" s="7" t="e">
        <f t="shared" ref="J104:J135" si="34">IF(D104&lt;&gt;"Valid","",SUM(E104:F104))</f>
        <v>#REF!</v>
      </c>
      <c r="K104" s="7" t="e">
        <f t="shared" ref="K104:K135" si="35">IF(D104&lt;&gt;"Valid","",SUM(G104:I104))</f>
        <v>#REF!</v>
      </c>
      <c r="L104" s="7" t="e">
        <f>IF($D104&lt;&gt;"Valid",0,IFERROR(AVERAGE(#REF!,#REF!),0))</f>
        <v>#REF!</v>
      </c>
      <c r="M104" s="21" t="str">
        <f>IF(ISNUMBER(L104),_xlfn.RANK.EQ(L104,$L$2:$L$500,0),"")</f>
        <v/>
      </c>
      <c r="N104" s="7" t="e">
        <f>IF(L104=0,
"Not Assessed",
IF(L104&gt;=0.85,"Very High Performance",
IF(L104&gt;=0.7,"High Performance",
IF(L104&gt;=0.55,"Moderate Performance",
IF(L104&gt;=0.4,"Low Performance",
"Very Low Performance")))))</f>
        <v>#REF!</v>
      </c>
      <c r="O104" s="7" t="e">
        <f>IF($L104=0,
"Failed minimum data validation; requires contextual review in FSF.",
"Ready for contextual review in FSF.")</f>
        <v>#REF!</v>
      </c>
    </row>
    <row r="105" spans="1:15" hidden="1">
      <c r="A105" s="7" t="e">
        <f>#REF!</f>
        <v>#REF!</v>
      </c>
      <c r="B105" s="7" t="e">
        <f>#REF!</f>
        <v>#REF!</v>
      </c>
      <c r="C105" s="7" t="e">
        <f>#REF!</f>
        <v>#REF!</v>
      </c>
      <c r="D105" s="7" t="e">
        <f>#REF!</f>
        <v>#REF!</v>
      </c>
      <c r="E105" s="7" t="e">
        <f>#REF!</f>
        <v>#REF!</v>
      </c>
      <c r="F105" s="7" t="e">
        <f>#REF!</f>
        <v>#REF!</v>
      </c>
      <c r="G105" s="7" t="e">
        <f>#REF!</f>
        <v>#REF!</v>
      </c>
      <c r="H105" s="7" t="e">
        <f>#REF!</f>
        <v>#REF!</v>
      </c>
      <c r="I105" s="7" t="e">
        <f>#REF!</f>
        <v>#REF!</v>
      </c>
      <c r="J105" s="7" t="e">
        <f t="shared" si="34"/>
        <v>#REF!</v>
      </c>
      <c r="K105" s="7" t="e">
        <f t="shared" si="35"/>
        <v>#REF!</v>
      </c>
      <c r="L105" s="7" t="e">
        <f>IF(D105&lt;&gt;"Valid","",#REF!*0.4+#REF!*0.6)</f>
        <v>#REF!</v>
      </c>
      <c r="M105" s="7"/>
      <c r="N105" s="7" t="e">
        <f>IF(D105&lt;&gt;"Valid","Not Assessed (Insufficient Valid Data)",LOOKUP(L105,tblPerformanceCategory[Min],tblPerformanceCategory[Performance Category]))</f>
        <v>#REF!</v>
      </c>
      <c r="O105" s="7" t="e">
        <f>IF(D105="Valid","Yes","No")</f>
        <v>#REF!</v>
      </c>
    </row>
    <row r="106" spans="1:15" ht="42" hidden="1" customHeight="1">
      <c r="A106" s="7" t="e">
        <f>#REF!</f>
        <v>#REF!</v>
      </c>
      <c r="B106" s="7" t="e">
        <f>#REF!</f>
        <v>#REF!</v>
      </c>
      <c r="C106" s="7" t="e">
        <f>#REF!</f>
        <v>#REF!</v>
      </c>
      <c r="D106" s="7" t="e">
        <f>#REF!</f>
        <v>#REF!</v>
      </c>
      <c r="E106" s="7" t="e">
        <f>#REF!</f>
        <v>#REF!</v>
      </c>
      <c r="F106" s="7" t="e">
        <f>#REF!</f>
        <v>#REF!</v>
      </c>
      <c r="G106" s="7" t="e">
        <f>#REF!</f>
        <v>#REF!</v>
      </c>
      <c r="H106" s="7" t="e">
        <f>#REF!</f>
        <v>#REF!</v>
      </c>
      <c r="I106" s="7" t="e">
        <f>#REF!</f>
        <v>#REF!</v>
      </c>
      <c r="J106" s="7" t="e">
        <f t="shared" si="34"/>
        <v>#REF!</v>
      </c>
      <c r="K106" s="7" t="e">
        <f t="shared" si="35"/>
        <v>#REF!</v>
      </c>
      <c r="L106" s="7" t="e">
        <f>IF($D106&lt;&gt;"Valid",0,IFERROR(AVERAGE(#REF!,#REF!),0))</f>
        <v>#REF!</v>
      </c>
      <c r="M106" s="21" t="str">
        <f>IF(ISNUMBER(L106),_xlfn.RANK.EQ(L106,$L$2:$L$500,0),"")</f>
        <v/>
      </c>
      <c r="N106" s="7" t="e">
        <f>IF(L106=0,
"Not Assessed",
IF(L106&gt;=0.85,"Very High Performance",
IF(L106&gt;=0.7,"High Performance",
IF(L106&gt;=0.55,"Moderate Performance",
IF(L106&gt;=0.4,"Low Performance",
"Very Low Performance")))))</f>
        <v>#REF!</v>
      </c>
      <c r="O106" s="7" t="e">
        <f>IF($L106=0,
"Failed minimum data validation; requires contextual review in FSF.",
"Ready for contextual review in FSF.")</f>
        <v>#REF!</v>
      </c>
    </row>
    <row r="107" spans="1:15" ht="42" hidden="1" customHeight="1">
      <c r="A107" s="7" t="e">
        <f>#REF!</f>
        <v>#REF!</v>
      </c>
      <c r="B107" s="7" t="e">
        <f>#REF!</f>
        <v>#REF!</v>
      </c>
      <c r="C107" s="7" t="e">
        <f>#REF!</f>
        <v>#REF!</v>
      </c>
      <c r="D107" s="7" t="e">
        <f>#REF!</f>
        <v>#REF!</v>
      </c>
      <c r="E107" s="7" t="e">
        <f>#REF!</f>
        <v>#REF!</v>
      </c>
      <c r="F107" s="7" t="e">
        <f>#REF!</f>
        <v>#REF!</v>
      </c>
      <c r="G107" s="7" t="e">
        <f>#REF!</f>
        <v>#REF!</v>
      </c>
      <c r="H107" s="7" t="e">
        <f>#REF!</f>
        <v>#REF!</v>
      </c>
      <c r="I107" s="7" t="e">
        <f>#REF!</f>
        <v>#REF!</v>
      </c>
      <c r="J107" s="7" t="e">
        <f t="shared" si="34"/>
        <v>#REF!</v>
      </c>
      <c r="K107" s="7" t="e">
        <f t="shared" si="35"/>
        <v>#REF!</v>
      </c>
      <c r="L107" s="7" t="e">
        <f>IF($D107&lt;&gt;"Valid",0,IFERROR(AVERAGE(#REF!,#REF!),0))</f>
        <v>#REF!</v>
      </c>
      <c r="M107" s="21" t="str">
        <f>IF(ISNUMBER(L107),_xlfn.RANK.EQ(L107,$L$2:$L$500,0),"")</f>
        <v/>
      </c>
      <c r="N107" s="7" t="e">
        <f>IF(L107=0,
"Not Assessed",
IF(L107&gt;=0.85,"Very High Performance",
IF(L107&gt;=0.7,"High Performance",
IF(L107&gt;=0.55,"Moderate Performance",
IF(L107&gt;=0.4,"Low Performance",
"Very Low Performance")))))</f>
        <v>#REF!</v>
      </c>
      <c r="O107" s="7" t="e">
        <f>IF($L107=0,
"Failed minimum data validation; requires contextual review in FSF.",
"Ready for contextual review in FSF.")</f>
        <v>#REF!</v>
      </c>
    </row>
    <row r="108" spans="1:15" hidden="1">
      <c r="A108" s="7" t="e">
        <f>#REF!</f>
        <v>#REF!</v>
      </c>
      <c r="B108" s="7" t="e">
        <f>#REF!</f>
        <v>#REF!</v>
      </c>
      <c r="C108" s="7" t="e">
        <f>#REF!</f>
        <v>#REF!</v>
      </c>
      <c r="D108" s="7" t="e">
        <f>#REF!</f>
        <v>#REF!</v>
      </c>
      <c r="E108" s="7" t="e">
        <f>#REF!</f>
        <v>#REF!</v>
      </c>
      <c r="F108" s="7" t="e">
        <f>#REF!</f>
        <v>#REF!</v>
      </c>
      <c r="G108" s="7" t="e">
        <f>#REF!</f>
        <v>#REF!</v>
      </c>
      <c r="H108" s="7" t="e">
        <f>#REF!</f>
        <v>#REF!</v>
      </c>
      <c r="I108" s="7" t="e">
        <f>#REF!</f>
        <v>#REF!</v>
      </c>
      <c r="J108" s="7" t="e">
        <f t="shared" si="34"/>
        <v>#REF!</v>
      </c>
      <c r="K108" s="7" t="e">
        <f t="shared" si="35"/>
        <v>#REF!</v>
      </c>
      <c r="L108" s="7" t="e">
        <f>IF(D108&lt;&gt;"Valid","",#REF!*0.4+#REF!*0.6)</f>
        <v>#REF!</v>
      </c>
      <c r="M108" s="7"/>
      <c r="N108" s="7" t="e">
        <f>IF(D108&lt;&gt;"Valid","Not Assessed (Insufficient Valid Data)",LOOKUP(L108,tblPerformanceCategory[Min],tblPerformanceCategory[Performance Category]))</f>
        <v>#REF!</v>
      </c>
      <c r="O108" s="7" t="e">
        <f>IF(D108="Valid","Yes","No")</f>
        <v>#REF!</v>
      </c>
    </row>
    <row r="109" spans="1:15" ht="42" hidden="1" customHeight="1">
      <c r="A109" s="7" t="e">
        <f>#REF!</f>
        <v>#REF!</v>
      </c>
      <c r="B109" s="7" t="e">
        <f>#REF!</f>
        <v>#REF!</v>
      </c>
      <c r="C109" s="7" t="e">
        <f>#REF!</f>
        <v>#REF!</v>
      </c>
      <c r="D109" s="7" t="e">
        <f>#REF!</f>
        <v>#REF!</v>
      </c>
      <c r="E109" s="7" t="e">
        <f>#REF!</f>
        <v>#REF!</v>
      </c>
      <c r="F109" s="7" t="e">
        <f>#REF!</f>
        <v>#REF!</v>
      </c>
      <c r="G109" s="7" t="e">
        <f>#REF!</f>
        <v>#REF!</v>
      </c>
      <c r="H109" s="7" t="e">
        <f>#REF!</f>
        <v>#REF!</v>
      </c>
      <c r="I109" s="7" t="e">
        <f>#REF!</f>
        <v>#REF!</v>
      </c>
      <c r="J109" s="7" t="e">
        <f t="shared" si="34"/>
        <v>#REF!</v>
      </c>
      <c r="K109" s="7" t="e">
        <f t="shared" si="35"/>
        <v>#REF!</v>
      </c>
      <c r="L109" s="7" t="e">
        <f>IF($D109&lt;&gt;"Valid",0,IFERROR(AVERAGE(#REF!,#REF!),0))</f>
        <v>#REF!</v>
      </c>
      <c r="M109" s="21" t="str">
        <f>IF(ISNUMBER(L109),_xlfn.RANK.EQ(L109,$L$2:$L$500,0),"")</f>
        <v/>
      </c>
      <c r="N109" s="7" t="e">
        <f>IF(L109=0,
"Not Assessed",
IF(L109&gt;=0.85,"Very High Performance",
IF(L109&gt;=0.7,"High Performance",
IF(L109&gt;=0.55,"Moderate Performance",
IF(L109&gt;=0.4,"Low Performance",
"Very Low Performance")))))</f>
        <v>#REF!</v>
      </c>
      <c r="O109" s="7" t="e">
        <f>IF($L109=0,
"Failed minimum data validation; requires contextual review in FSF.",
"Ready for contextual review in FSF.")</f>
        <v>#REF!</v>
      </c>
    </row>
    <row r="110" spans="1:15" hidden="1">
      <c r="A110" s="7" t="e">
        <f>#REF!</f>
        <v>#REF!</v>
      </c>
      <c r="B110" s="7" t="e">
        <f>#REF!</f>
        <v>#REF!</v>
      </c>
      <c r="C110" s="7" t="e">
        <f>#REF!</f>
        <v>#REF!</v>
      </c>
      <c r="D110" s="7" t="e">
        <f>#REF!</f>
        <v>#REF!</v>
      </c>
      <c r="E110" s="7" t="e">
        <f>#REF!</f>
        <v>#REF!</v>
      </c>
      <c r="F110" s="7" t="e">
        <f>#REF!</f>
        <v>#REF!</v>
      </c>
      <c r="G110" s="7" t="e">
        <f>#REF!</f>
        <v>#REF!</v>
      </c>
      <c r="H110" s="7" t="e">
        <f>#REF!</f>
        <v>#REF!</v>
      </c>
      <c r="I110" s="7" t="e">
        <f>#REF!</f>
        <v>#REF!</v>
      </c>
      <c r="J110" s="7" t="e">
        <f t="shared" si="34"/>
        <v>#REF!</v>
      </c>
      <c r="K110" s="7" t="e">
        <f t="shared" si="35"/>
        <v>#REF!</v>
      </c>
      <c r="L110" s="7" t="e">
        <f>IF(D110&lt;&gt;"Valid","",#REF!*0.4+#REF!*0.6)</f>
        <v>#REF!</v>
      </c>
      <c r="M110" s="7"/>
      <c r="N110" s="7" t="e">
        <f>IF(D110&lt;&gt;"Valid","Not Assessed (Insufficient Valid Data)",LOOKUP(L110,tblPerformanceCategory[Min],tblPerformanceCategory[Performance Category]))</f>
        <v>#REF!</v>
      </c>
      <c r="O110" s="7" t="e">
        <f>IF(D110="Valid","Yes","No")</f>
        <v>#REF!</v>
      </c>
    </row>
    <row r="111" spans="1:15" ht="42" hidden="1" customHeight="1">
      <c r="A111" s="7" t="e">
        <f>#REF!</f>
        <v>#REF!</v>
      </c>
      <c r="B111" s="7" t="e">
        <f>#REF!</f>
        <v>#REF!</v>
      </c>
      <c r="C111" s="7" t="e">
        <f>#REF!</f>
        <v>#REF!</v>
      </c>
      <c r="D111" s="7" t="e">
        <f>#REF!</f>
        <v>#REF!</v>
      </c>
      <c r="E111" s="7" t="e">
        <f>#REF!</f>
        <v>#REF!</v>
      </c>
      <c r="F111" s="7" t="e">
        <f>#REF!</f>
        <v>#REF!</v>
      </c>
      <c r="G111" s="7" t="e">
        <f>#REF!</f>
        <v>#REF!</v>
      </c>
      <c r="H111" s="7" t="e">
        <f>#REF!</f>
        <v>#REF!</v>
      </c>
      <c r="I111" s="7" t="e">
        <f>#REF!</f>
        <v>#REF!</v>
      </c>
      <c r="J111" s="7" t="e">
        <f t="shared" si="34"/>
        <v>#REF!</v>
      </c>
      <c r="K111" s="7" t="e">
        <f t="shared" si="35"/>
        <v>#REF!</v>
      </c>
      <c r="L111" s="7" t="e">
        <f>IF($D111&lt;&gt;"Valid",0,IFERROR(AVERAGE(#REF!,#REF!),0))</f>
        <v>#REF!</v>
      </c>
      <c r="M111" s="21" t="str">
        <f>IF(ISNUMBER(L111),_xlfn.RANK.EQ(L111,$L$2:$L$500,0),"")</f>
        <v/>
      </c>
      <c r="N111" s="7" t="e">
        <f>IF(L111=0,
"Not Assessed",
IF(L111&gt;=0.85,"Very High Performance",
IF(L111&gt;=0.7,"High Performance",
IF(L111&gt;=0.55,"Moderate Performance",
IF(L111&gt;=0.4,"Low Performance",
"Very Low Performance")))))</f>
        <v>#REF!</v>
      </c>
      <c r="O111" s="7" t="e">
        <f>IF($L111=0,
"Failed minimum data validation; requires contextual review in FSF.",
"Ready for contextual review in FSF.")</f>
        <v>#REF!</v>
      </c>
    </row>
    <row r="112" spans="1:15" ht="42" hidden="1" customHeight="1">
      <c r="A112" s="7" t="e">
        <f>#REF!</f>
        <v>#REF!</v>
      </c>
      <c r="B112" s="7" t="e">
        <f>#REF!</f>
        <v>#REF!</v>
      </c>
      <c r="C112" s="7" t="e">
        <f>#REF!</f>
        <v>#REF!</v>
      </c>
      <c r="D112" s="7" t="e">
        <f>#REF!</f>
        <v>#REF!</v>
      </c>
      <c r="E112" s="7" t="e">
        <f>#REF!</f>
        <v>#REF!</v>
      </c>
      <c r="F112" s="7" t="e">
        <f>#REF!</f>
        <v>#REF!</v>
      </c>
      <c r="G112" s="7" t="e">
        <f>#REF!</f>
        <v>#REF!</v>
      </c>
      <c r="H112" s="7" t="e">
        <f>#REF!</f>
        <v>#REF!</v>
      </c>
      <c r="I112" s="7" t="e">
        <f>#REF!</f>
        <v>#REF!</v>
      </c>
      <c r="J112" s="7" t="e">
        <f t="shared" si="34"/>
        <v>#REF!</v>
      </c>
      <c r="K112" s="7" t="e">
        <f t="shared" si="35"/>
        <v>#REF!</v>
      </c>
      <c r="L112" s="7" t="e">
        <f>IF($D112&lt;&gt;"Valid",0,IFERROR(AVERAGE(#REF!,#REF!),0))</f>
        <v>#REF!</v>
      </c>
      <c r="M112" s="21" t="str">
        <f>IF(ISNUMBER(L112),_xlfn.RANK.EQ(L112,$L$2:$L$500,0),"")</f>
        <v/>
      </c>
      <c r="N112" s="7" t="e">
        <f>IF(L112=0,
"Not Assessed",
IF(L112&gt;=0.85,"Very High Performance",
IF(L112&gt;=0.7,"High Performance",
IF(L112&gt;=0.55,"Moderate Performance",
IF(L112&gt;=0.4,"Low Performance",
"Very Low Performance")))))</f>
        <v>#REF!</v>
      </c>
      <c r="O112" s="7" t="e">
        <f>IF($L112=0,
"Failed minimum data validation; requires contextual review in FSF.",
"Ready for contextual review in FSF.")</f>
        <v>#REF!</v>
      </c>
    </row>
    <row r="113" spans="1:15" hidden="1">
      <c r="A113" s="7" t="e">
        <f>#REF!</f>
        <v>#REF!</v>
      </c>
      <c r="B113" s="7" t="e">
        <f>#REF!</f>
        <v>#REF!</v>
      </c>
      <c r="C113" s="7" t="e">
        <f>#REF!</f>
        <v>#REF!</v>
      </c>
      <c r="D113" s="7" t="e">
        <f>#REF!</f>
        <v>#REF!</v>
      </c>
      <c r="E113" s="7" t="e">
        <f>#REF!</f>
        <v>#REF!</v>
      </c>
      <c r="F113" s="7" t="e">
        <f>#REF!</f>
        <v>#REF!</v>
      </c>
      <c r="G113" s="7" t="e">
        <f>#REF!</f>
        <v>#REF!</v>
      </c>
      <c r="H113" s="7" t="e">
        <f>#REF!</f>
        <v>#REF!</v>
      </c>
      <c r="I113" s="7" t="e">
        <f>#REF!</f>
        <v>#REF!</v>
      </c>
      <c r="J113" s="7" t="e">
        <f t="shared" si="34"/>
        <v>#REF!</v>
      </c>
      <c r="K113" s="7" t="e">
        <f t="shared" si="35"/>
        <v>#REF!</v>
      </c>
      <c r="L113" s="7" t="e">
        <f>IF(D113&lt;&gt;"Valid","",#REF!*0.4+#REF!*0.6)</f>
        <v>#REF!</v>
      </c>
      <c r="M113" s="7"/>
      <c r="N113" s="7" t="e">
        <f>IF(D113&lt;&gt;"Valid","Not Assessed (Insufficient Valid Data)",LOOKUP(L113,tblPerformanceCategory[Min],tblPerformanceCategory[Performance Category]))</f>
        <v>#REF!</v>
      </c>
      <c r="O113" s="7" t="e">
        <f>IF(D113="Valid","Yes","No")</f>
        <v>#REF!</v>
      </c>
    </row>
    <row r="114" spans="1:15" ht="42" hidden="1" customHeight="1">
      <c r="A114" s="7" t="e">
        <f>#REF!</f>
        <v>#REF!</v>
      </c>
      <c r="B114" s="7" t="e">
        <f>#REF!</f>
        <v>#REF!</v>
      </c>
      <c r="C114" s="7" t="e">
        <f>#REF!</f>
        <v>#REF!</v>
      </c>
      <c r="D114" s="7" t="e">
        <f>#REF!</f>
        <v>#REF!</v>
      </c>
      <c r="E114" s="7" t="e">
        <f>#REF!</f>
        <v>#REF!</v>
      </c>
      <c r="F114" s="7" t="e">
        <f>#REF!</f>
        <v>#REF!</v>
      </c>
      <c r="G114" s="7" t="e">
        <f>#REF!</f>
        <v>#REF!</v>
      </c>
      <c r="H114" s="7" t="e">
        <f>#REF!</f>
        <v>#REF!</v>
      </c>
      <c r="I114" s="7" t="e">
        <f>#REF!</f>
        <v>#REF!</v>
      </c>
      <c r="J114" s="7" t="e">
        <f t="shared" si="34"/>
        <v>#REF!</v>
      </c>
      <c r="K114" s="7" t="e">
        <f t="shared" si="35"/>
        <v>#REF!</v>
      </c>
      <c r="L114" s="7" t="e">
        <f>IF($D114&lt;&gt;"Valid",0,IFERROR(AVERAGE(#REF!,#REF!),0))</f>
        <v>#REF!</v>
      </c>
      <c r="M114" s="21" t="str">
        <f>IF(ISNUMBER(L114),_xlfn.RANK.EQ(L114,$L$2:$L$500,0),"")</f>
        <v/>
      </c>
      <c r="N114" s="7" t="e">
        <f>IF(L114=0,
"Not Assessed",
IF(L114&gt;=0.85,"Very High Performance",
IF(L114&gt;=0.7,"High Performance",
IF(L114&gt;=0.55,"Moderate Performance",
IF(L114&gt;=0.4,"Low Performance",
"Very Low Performance")))))</f>
        <v>#REF!</v>
      </c>
      <c r="O114" s="7" t="e">
        <f>IF($L114=0,
"Failed minimum data validation; requires contextual review in FSF.",
"Ready for contextual review in FSF.")</f>
        <v>#REF!</v>
      </c>
    </row>
    <row r="115" spans="1:15" ht="42" hidden="1" customHeight="1">
      <c r="A115" s="7" t="e">
        <f>#REF!</f>
        <v>#REF!</v>
      </c>
      <c r="B115" s="7" t="e">
        <f>#REF!</f>
        <v>#REF!</v>
      </c>
      <c r="C115" s="7" t="e">
        <f>#REF!</f>
        <v>#REF!</v>
      </c>
      <c r="D115" s="7" t="e">
        <f>#REF!</f>
        <v>#REF!</v>
      </c>
      <c r="E115" s="7" t="e">
        <f>#REF!</f>
        <v>#REF!</v>
      </c>
      <c r="F115" s="7" t="e">
        <f>#REF!</f>
        <v>#REF!</v>
      </c>
      <c r="G115" s="7" t="e">
        <f>#REF!</f>
        <v>#REF!</v>
      </c>
      <c r="H115" s="7" t="e">
        <f>#REF!</f>
        <v>#REF!</v>
      </c>
      <c r="I115" s="7" t="e">
        <f>#REF!</f>
        <v>#REF!</v>
      </c>
      <c r="J115" s="7" t="e">
        <f t="shared" si="34"/>
        <v>#REF!</v>
      </c>
      <c r="K115" s="7" t="e">
        <f t="shared" si="35"/>
        <v>#REF!</v>
      </c>
      <c r="L115" s="7" t="e">
        <f>IF($D115&lt;&gt;"Valid",0,IFERROR(AVERAGE(#REF!,#REF!),0))</f>
        <v>#REF!</v>
      </c>
      <c r="M115" s="21" t="str">
        <f>IF(ISNUMBER(L115),_xlfn.RANK.EQ(L115,$L$2:$L$500,0),"")</f>
        <v/>
      </c>
      <c r="N115" s="7" t="e">
        <f>IF(L115=0,
"Not Assessed",
IF(L115&gt;=0.85,"Very High Performance",
IF(L115&gt;=0.7,"High Performance",
IF(L115&gt;=0.55,"Moderate Performance",
IF(L115&gt;=0.4,"Low Performance",
"Very Low Performance")))))</f>
        <v>#REF!</v>
      </c>
      <c r="O115" s="7" t="e">
        <f>IF($L115=0,
"Failed minimum data validation; requires contextual review in FSF.",
"Ready for contextual review in FSF.")</f>
        <v>#REF!</v>
      </c>
    </row>
    <row r="116" spans="1:15" ht="42" hidden="1" customHeight="1">
      <c r="A116" s="7" t="e">
        <f>#REF!</f>
        <v>#REF!</v>
      </c>
      <c r="B116" s="7" t="e">
        <f>#REF!</f>
        <v>#REF!</v>
      </c>
      <c r="C116" s="7" t="e">
        <f>#REF!</f>
        <v>#REF!</v>
      </c>
      <c r="D116" s="7" t="e">
        <f>#REF!</f>
        <v>#REF!</v>
      </c>
      <c r="E116" s="7" t="e">
        <f>#REF!</f>
        <v>#REF!</v>
      </c>
      <c r="F116" s="7" t="e">
        <f>#REF!</f>
        <v>#REF!</v>
      </c>
      <c r="G116" s="7" t="e">
        <f>#REF!</f>
        <v>#REF!</v>
      </c>
      <c r="H116" s="7" t="e">
        <f>#REF!</f>
        <v>#REF!</v>
      </c>
      <c r="I116" s="7" t="e">
        <f>#REF!</f>
        <v>#REF!</v>
      </c>
      <c r="J116" s="7" t="e">
        <f t="shared" si="34"/>
        <v>#REF!</v>
      </c>
      <c r="K116" s="7" t="e">
        <f t="shared" si="35"/>
        <v>#REF!</v>
      </c>
      <c r="L116" s="7" t="e">
        <f>IF($D116&lt;&gt;"Valid",0,IFERROR(AVERAGE(#REF!,#REF!),0))</f>
        <v>#REF!</v>
      </c>
      <c r="M116" s="21" t="str">
        <f>IF(ISNUMBER(L116),_xlfn.RANK.EQ(L116,$L$2:$L$500,0),"")</f>
        <v/>
      </c>
      <c r="N116" s="7" t="e">
        <f>IF(L116=0,
"Not Assessed",
IF(L116&gt;=0.85,"Very High Performance",
IF(L116&gt;=0.7,"High Performance",
IF(L116&gt;=0.55,"Moderate Performance",
IF(L116&gt;=0.4,"Low Performance",
"Very Low Performance")))))</f>
        <v>#REF!</v>
      </c>
      <c r="O116" s="7" t="e">
        <f>IF($L116=0,
"Failed minimum data validation; requires contextual review in FSF.",
"Ready for contextual review in FSF.")</f>
        <v>#REF!</v>
      </c>
    </row>
    <row r="117" spans="1:15" ht="42" hidden="1" customHeight="1">
      <c r="A117" s="7" t="e">
        <f>#REF!</f>
        <v>#REF!</v>
      </c>
      <c r="B117" s="7" t="e">
        <f>#REF!</f>
        <v>#REF!</v>
      </c>
      <c r="C117" s="7" t="e">
        <f>#REF!</f>
        <v>#REF!</v>
      </c>
      <c r="D117" s="7" t="e">
        <f>#REF!</f>
        <v>#REF!</v>
      </c>
      <c r="E117" s="7" t="e">
        <f>#REF!</f>
        <v>#REF!</v>
      </c>
      <c r="F117" s="7" t="e">
        <f>#REF!</f>
        <v>#REF!</v>
      </c>
      <c r="G117" s="7" t="e">
        <f>#REF!</f>
        <v>#REF!</v>
      </c>
      <c r="H117" s="7" t="e">
        <f>#REF!</f>
        <v>#REF!</v>
      </c>
      <c r="I117" s="7" t="e">
        <f>#REF!</f>
        <v>#REF!</v>
      </c>
      <c r="J117" s="7" t="e">
        <f t="shared" si="34"/>
        <v>#REF!</v>
      </c>
      <c r="K117" s="7" t="e">
        <f t="shared" si="35"/>
        <v>#REF!</v>
      </c>
      <c r="L117" s="7" t="e">
        <f>IF($D117&lt;&gt;"Valid",0,IFERROR(AVERAGE(#REF!,#REF!),0))</f>
        <v>#REF!</v>
      </c>
      <c r="M117" s="21" t="str">
        <f>IF(ISNUMBER(L117),_xlfn.RANK.EQ(L117,$L$2:$L$500,0),"")</f>
        <v/>
      </c>
      <c r="N117" s="7" t="e">
        <f>IF(L117=0,
"Not Assessed",
IF(L117&gt;=0.85,"Very High Performance",
IF(L117&gt;=0.7,"High Performance",
IF(L117&gt;=0.55,"Moderate Performance",
IF(L117&gt;=0.4,"Low Performance",
"Very Low Performance")))))</f>
        <v>#REF!</v>
      </c>
      <c r="O117" s="7" t="e">
        <f>IF($L117=0,
"Failed minimum data validation; requires contextual review in FSF.",
"Ready for contextual review in FSF.")</f>
        <v>#REF!</v>
      </c>
    </row>
    <row r="118" spans="1:15" hidden="1">
      <c r="A118" s="7" t="e">
        <f>#REF!</f>
        <v>#REF!</v>
      </c>
      <c r="B118" s="7" t="e">
        <f>#REF!</f>
        <v>#REF!</v>
      </c>
      <c r="C118" s="7" t="e">
        <f>#REF!</f>
        <v>#REF!</v>
      </c>
      <c r="D118" s="7" t="e">
        <f>#REF!</f>
        <v>#REF!</v>
      </c>
      <c r="E118" s="7" t="e">
        <f>#REF!</f>
        <v>#REF!</v>
      </c>
      <c r="F118" s="7" t="e">
        <f>#REF!</f>
        <v>#REF!</v>
      </c>
      <c r="G118" s="7" t="e">
        <f>#REF!</f>
        <v>#REF!</v>
      </c>
      <c r="H118" s="7" t="e">
        <f>#REF!</f>
        <v>#REF!</v>
      </c>
      <c r="I118" s="7" t="e">
        <f>#REF!</f>
        <v>#REF!</v>
      </c>
      <c r="J118" s="7" t="e">
        <f t="shared" si="34"/>
        <v>#REF!</v>
      </c>
      <c r="K118" s="7" t="e">
        <f t="shared" si="35"/>
        <v>#REF!</v>
      </c>
      <c r="L118" s="7" t="e">
        <f>IF(D118&lt;&gt;"Valid","",#REF!*0.4+#REF!*0.6)</f>
        <v>#REF!</v>
      </c>
      <c r="M118" s="7"/>
      <c r="N118" s="7" t="e">
        <f>IF(D118&lt;&gt;"Valid","Not Assessed (Insufficient Valid Data)",LOOKUP(L118,tblPerformanceCategory[Min],tblPerformanceCategory[Performance Category]))</f>
        <v>#REF!</v>
      </c>
      <c r="O118" s="7" t="e">
        <f>IF(D118="Valid","Yes","No")</f>
        <v>#REF!</v>
      </c>
    </row>
    <row r="119" spans="1:15" hidden="1">
      <c r="A119" s="7" t="e">
        <f>#REF!</f>
        <v>#REF!</v>
      </c>
      <c r="B119" s="7" t="e">
        <f>#REF!</f>
        <v>#REF!</v>
      </c>
      <c r="C119" s="7" t="e">
        <f>#REF!</f>
        <v>#REF!</v>
      </c>
      <c r="D119" s="7" t="e">
        <f>#REF!</f>
        <v>#REF!</v>
      </c>
      <c r="E119" s="7" t="e">
        <f>#REF!</f>
        <v>#REF!</v>
      </c>
      <c r="F119" s="7" t="e">
        <f>#REF!</f>
        <v>#REF!</v>
      </c>
      <c r="G119" s="7" t="e">
        <f>#REF!</f>
        <v>#REF!</v>
      </c>
      <c r="H119" s="7" t="e">
        <f>#REF!</f>
        <v>#REF!</v>
      </c>
      <c r="I119" s="7" t="e">
        <f>#REF!</f>
        <v>#REF!</v>
      </c>
      <c r="J119" s="7" t="e">
        <f t="shared" si="34"/>
        <v>#REF!</v>
      </c>
      <c r="K119" s="7" t="e">
        <f t="shared" si="35"/>
        <v>#REF!</v>
      </c>
      <c r="L119" s="7" t="e">
        <f>IF(D119&lt;&gt;"Valid","",#REF!*0.4+#REF!*0.6)</f>
        <v>#REF!</v>
      </c>
      <c r="M119" s="7"/>
      <c r="N119" s="7" t="e">
        <f>IF(D119&lt;&gt;"Valid","Not Assessed (Insufficient Valid Data)",LOOKUP(L119,tblPerformanceCategory[Min],tblPerformanceCategory[Performance Category]))</f>
        <v>#REF!</v>
      </c>
      <c r="O119" s="7" t="e">
        <f>IF(D119="Valid","Yes","No")</f>
        <v>#REF!</v>
      </c>
    </row>
    <row r="120" spans="1:15" hidden="1">
      <c r="A120" s="7" t="e">
        <f>#REF!</f>
        <v>#REF!</v>
      </c>
      <c r="B120" s="7" t="e">
        <f>#REF!</f>
        <v>#REF!</v>
      </c>
      <c r="C120" s="7" t="e">
        <f>#REF!</f>
        <v>#REF!</v>
      </c>
      <c r="D120" s="7" t="e">
        <f>#REF!</f>
        <v>#REF!</v>
      </c>
      <c r="E120" s="7" t="e">
        <f>#REF!</f>
        <v>#REF!</v>
      </c>
      <c r="F120" s="7" t="e">
        <f>#REF!</f>
        <v>#REF!</v>
      </c>
      <c r="G120" s="7" t="e">
        <f>#REF!</f>
        <v>#REF!</v>
      </c>
      <c r="H120" s="7" t="e">
        <f>#REF!</f>
        <v>#REF!</v>
      </c>
      <c r="I120" s="7" t="e">
        <f>#REF!</f>
        <v>#REF!</v>
      </c>
      <c r="J120" s="7" t="e">
        <f t="shared" si="34"/>
        <v>#REF!</v>
      </c>
      <c r="K120" s="7" t="e">
        <f t="shared" si="35"/>
        <v>#REF!</v>
      </c>
      <c r="L120" s="7" t="e">
        <f>IF(D120&lt;&gt;"Valid","",#REF!*0.4+#REF!*0.6)</f>
        <v>#REF!</v>
      </c>
      <c r="M120" s="7"/>
      <c r="N120" s="7" t="e">
        <f>IF(D120&lt;&gt;"Valid","Not Assessed (Insufficient Valid Data)",LOOKUP(L120,tblPerformanceCategory[Min],tblPerformanceCategory[Performance Category]))</f>
        <v>#REF!</v>
      </c>
      <c r="O120" s="7" t="e">
        <f>IF(D120="Valid","Yes","No")</f>
        <v>#REF!</v>
      </c>
    </row>
    <row r="121" spans="1:15" hidden="1">
      <c r="A121" s="7" t="e">
        <f>#REF!</f>
        <v>#REF!</v>
      </c>
      <c r="B121" s="7" t="e">
        <f>#REF!</f>
        <v>#REF!</v>
      </c>
      <c r="C121" s="7" t="e">
        <f>#REF!</f>
        <v>#REF!</v>
      </c>
      <c r="D121" s="7" t="e">
        <f>#REF!</f>
        <v>#REF!</v>
      </c>
      <c r="E121" s="7" t="e">
        <f>#REF!</f>
        <v>#REF!</v>
      </c>
      <c r="F121" s="7" t="e">
        <f>#REF!</f>
        <v>#REF!</v>
      </c>
      <c r="G121" s="7" t="e">
        <f>#REF!</f>
        <v>#REF!</v>
      </c>
      <c r="H121" s="7" t="e">
        <f>#REF!</f>
        <v>#REF!</v>
      </c>
      <c r="I121" s="7" t="e">
        <f>#REF!</f>
        <v>#REF!</v>
      </c>
      <c r="J121" s="7" t="e">
        <f t="shared" si="34"/>
        <v>#REF!</v>
      </c>
      <c r="K121" s="7" t="e">
        <f t="shared" si="35"/>
        <v>#REF!</v>
      </c>
      <c r="L121" s="7" t="e">
        <f>IF(D121&lt;&gt;"Valid","",#REF!*0.4+#REF!*0.6)</f>
        <v>#REF!</v>
      </c>
      <c r="M121" s="7"/>
      <c r="N121" s="7" t="e">
        <f>IF(D121&lt;&gt;"Valid","Not Assessed (Insufficient Valid Data)",LOOKUP(L121,tblPerformanceCategory[Min],tblPerformanceCategory[Performance Category]))</f>
        <v>#REF!</v>
      </c>
      <c r="O121" s="7" t="e">
        <f>IF(D121="Valid","Yes","No")</f>
        <v>#REF!</v>
      </c>
    </row>
    <row r="122" spans="1:15" ht="42" hidden="1" customHeight="1">
      <c r="A122" s="7" t="e">
        <f>#REF!</f>
        <v>#REF!</v>
      </c>
      <c r="B122" s="7" t="e">
        <f>#REF!</f>
        <v>#REF!</v>
      </c>
      <c r="C122" s="7" t="e">
        <f>#REF!</f>
        <v>#REF!</v>
      </c>
      <c r="D122" s="7" t="e">
        <f>#REF!</f>
        <v>#REF!</v>
      </c>
      <c r="E122" s="7" t="e">
        <f>#REF!</f>
        <v>#REF!</v>
      </c>
      <c r="F122" s="7" t="e">
        <f>#REF!</f>
        <v>#REF!</v>
      </c>
      <c r="G122" s="7" t="e">
        <f>#REF!</f>
        <v>#REF!</v>
      </c>
      <c r="H122" s="7" t="e">
        <f>#REF!</f>
        <v>#REF!</v>
      </c>
      <c r="I122" s="7" t="e">
        <f>#REF!</f>
        <v>#REF!</v>
      </c>
      <c r="J122" s="7" t="e">
        <f t="shared" si="34"/>
        <v>#REF!</v>
      </c>
      <c r="K122" s="7" t="e">
        <f t="shared" si="35"/>
        <v>#REF!</v>
      </c>
      <c r="L122" s="7" t="e">
        <f>IF($D122&lt;&gt;"Valid",0,IFERROR(AVERAGE(#REF!,#REF!),0))</f>
        <v>#REF!</v>
      </c>
      <c r="M122" s="21" t="str">
        <f>IF(ISNUMBER(L122),_xlfn.RANK.EQ(L122,$L$2:$L$500,0),"")</f>
        <v/>
      </c>
      <c r="N122" s="7" t="e">
        <f>IF(L122=0,
"Not Assessed",
IF(L122&gt;=0.85,"Very High Performance",
IF(L122&gt;=0.7,"High Performance",
IF(L122&gt;=0.55,"Moderate Performance",
IF(L122&gt;=0.4,"Low Performance",
"Very Low Performance")))))</f>
        <v>#REF!</v>
      </c>
      <c r="O122" s="7" t="e">
        <f>IF($L122=0,
"Failed minimum data validation; requires contextual review in FSF.",
"Ready for contextual review in FSF.")</f>
        <v>#REF!</v>
      </c>
    </row>
    <row r="123" spans="1:15" hidden="1">
      <c r="A123" s="7" t="e">
        <f>#REF!</f>
        <v>#REF!</v>
      </c>
      <c r="B123" s="7" t="e">
        <f>#REF!</f>
        <v>#REF!</v>
      </c>
      <c r="C123" s="7" t="e">
        <f>#REF!</f>
        <v>#REF!</v>
      </c>
      <c r="D123" s="7" t="e">
        <f>#REF!</f>
        <v>#REF!</v>
      </c>
      <c r="E123" s="7" t="e">
        <f>#REF!</f>
        <v>#REF!</v>
      </c>
      <c r="F123" s="7" t="e">
        <f>#REF!</f>
        <v>#REF!</v>
      </c>
      <c r="G123" s="7" t="e">
        <f>#REF!</f>
        <v>#REF!</v>
      </c>
      <c r="H123" s="7" t="e">
        <f>#REF!</f>
        <v>#REF!</v>
      </c>
      <c r="I123" s="7" t="e">
        <f>#REF!</f>
        <v>#REF!</v>
      </c>
      <c r="J123" s="7" t="e">
        <f t="shared" si="34"/>
        <v>#REF!</v>
      </c>
      <c r="K123" s="7" t="e">
        <f t="shared" si="35"/>
        <v>#REF!</v>
      </c>
      <c r="L123" s="7" t="e">
        <f>IF(D123&lt;&gt;"Valid","",#REF!*0.4+#REF!*0.6)</f>
        <v>#REF!</v>
      </c>
      <c r="M123" s="7"/>
      <c r="N123" s="7" t="e">
        <f>IF(D123&lt;&gt;"Valid","Not Assessed (Insufficient Valid Data)",LOOKUP(L123,tblPerformanceCategory[Min],tblPerformanceCategory[Performance Category]))</f>
        <v>#REF!</v>
      </c>
      <c r="O123" s="7" t="e">
        <f>IF(D123="Valid","Yes","No")</f>
        <v>#REF!</v>
      </c>
    </row>
    <row r="124" spans="1:15" hidden="1">
      <c r="A124" s="7" t="e">
        <f>#REF!</f>
        <v>#REF!</v>
      </c>
      <c r="B124" s="7" t="e">
        <f>#REF!</f>
        <v>#REF!</v>
      </c>
      <c r="C124" s="7" t="e">
        <f>#REF!</f>
        <v>#REF!</v>
      </c>
      <c r="D124" s="7" t="e">
        <f>#REF!</f>
        <v>#REF!</v>
      </c>
      <c r="E124" s="7" t="e">
        <f>#REF!</f>
        <v>#REF!</v>
      </c>
      <c r="F124" s="7" t="e">
        <f>#REF!</f>
        <v>#REF!</v>
      </c>
      <c r="G124" s="7" t="e">
        <f>#REF!</f>
        <v>#REF!</v>
      </c>
      <c r="H124" s="7" t="e">
        <f>#REF!</f>
        <v>#REF!</v>
      </c>
      <c r="I124" s="7" t="e">
        <f>#REF!</f>
        <v>#REF!</v>
      </c>
      <c r="J124" s="7" t="e">
        <f t="shared" si="34"/>
        <v>#REF!</v>
      </c>
      <c r="K124" s="7" t="e">
        <f t="shared" si="35"/>
        <v>#REF!</v>
      </c>
      <c r="L124" s="7" t="e">
        <f>IF(D124&lt;&gt;"Valid","",#REF!*0.4+#REF!*0.6)</f>
        <v>#REF!</v>
      </c>
      <c r="M124" s="7"/>
      <c r="N124" s="7" t="e">
        <f>IF(D124&lt;&gt;"Valid","Not Assessed (Insufficient Valid Data)",LOOKUP(L124,tblPerformanceCategory[Min],tblPerformanceCategory[Performance Category]))</f>
        <v>#REF!</v>
      </c>
      <c r="O124" s="7" t="e">
        <f>IF(D124="Valid","Yes","No")</f>
        <v>#REF!</v>
      </c>
    </row>
    <row r="125" spans="1:15" ht="42" hidden="1" customHeight="1">
      <c r="A125" s="7" t="e">
        <f>#REF!</f>
        <v>#REF!</v>
      </c>
      <c r="B125" s="7" t="e">
        <f>#REF!</f>
        <v>#REF!</v>
      </c>
      <c r="C125" s="7" t="e">
        <f>#REF!</f>
        <v>#REF!</v>
      </c>
      <c r="D125" s="7" t="e">
        <f>#REF!</f>
        <v>#REF!</v>
      </c>
      <c r="E125" s="7" t="e">
        <f>#REF!</f>
        <v>#REF!</v>
      </c>
      <c r="F125" s="7" t="e">
        <f>#REF!</f>
        <v>#REF!</v>
      </c>
      <c r="G125" s="7" t="e">
        <f>#REF!</f>
        <v>#REF!</v>
      </c>
      <c r="H125" s="7" t="e">
        <f>#REF!</f>
        <v>#REF!</v>
      </c>
      <c r="I125" s="7" t="e">
        <f>#REF!</f>
        <v>#REF!</v>
      </c>
      <c r="J125" s="7" t="e">
        <f t="shared" si="34"/>
        <v>#REF!</v>
      </c>
      <c r="K125" s="7" t="e">
        <f t="shared" si="35"/>
        <v>#REF!</v>
      </c>
      <c r="L125" s="7" t="e">
        <f>IF($D125&lt;&gt;"Valid",0,IFERROR(AVERAGE(#REF!,#REF!),0))</f>
        <v>#REF!</v>
      </c>
      <c r="M125" s="21" t="str">
        <f>IF(ISNUMBER(L125),_xlfn.RANK.EQ(L125,$L$2:$L$500,0),"")</f>
        <v/>
      </c>
      <c r="N125" s="7" t="e">
        <f>IF(L125=0,
"Not Assessed",
IF(L125&gt;=0.85,"Very High Performance",
IF(L125&gt;=0.7,"High Performance",
IF(L125&gt;=0.55,"Moderate Performance",
IF(L125&gt;=0.4,"Low Performance",
"Very Low Performance")))))</f>
        <v>#REF!</v>
      </c>
      <c r="O125" s="7" t="e">
        <f>IF($L125=0,
"Failed minimum data validation; requires contextual review in FSF.",
"Ready for contextual review in FSF.")</f>
        <v>#REF!</v>
      </c>
    </row>
    <row r="126" spans="1:15" ht="42" hidden="1" customHeight="1">
      <c r="A126" s="7" t="e">
        <f>#REF!</f>
        <v>#REF!</v>
      </c>
      <c r="B126" s="7" t="e">
        <f>#REF!</f>
        <v>#REF!</v>
      </c>
      <c r="C126" s="7" t="e">
        <f>#REF!</f>
        <v>#REF!</v>
      </c>
      <c r="D126" s="7" t="e">
        <f>#REF!</f>
        <v>#REF!</v>
      </c>
      <c r="E126" s="7" t="e">
        <f>#REF!</f>
        <v>#REF!</v>
      </c>
      <c r="F126" s="7" t="e">
        <f>#REF!</f>
        <v>#REF!</v>
      </c>
      <c r="G126" s="7" t="e">
        <f>#REF!</f>
        <v>#REF!</v>
      </c>
      <c r="H126" s="7" t="e">
        <f>#REF!</f>
        <v>#REF!</v>
      </c>
      <c r="I126" s="7" t="e">
        <f>#REF!</f>
        <v>#REF!</v>
      </c>
      <c r="J126" s="7" t="e">
        <f t="shared" si="34"/>
        <v>#REF!</v>
      </c>
      <c r="K126" s="7" t="e">
        <f t="shared" si="35"/>
        <v>#REF!</v>
      </c>
      <c r="L126" s="7" t="e">
        <f>IF($D126&lt;&gt;"Valid",0,IFERROR(AVERAGE(#REF!,#REF!),0))</f>
        <v>#REF!</v>
      </c>
      <c r="M126" s="21" t="str">
        <f>IF(ISNUMBER(L126),_xlfn.RANK.EQ(L126,$L$2:$L$500,0),"")</f>
        <v/>
      </c>
      <c r="N126" s="7" t="e">
        <f>IF(L126=0,
"Not Assessed",
IF(L126&gt;=0.85,"Very High Performance",
IF(L126&gt;=0.7,"High Performance",
IF(L126&gt;=0.55,"Moderate Performance",
IF(L126&gt;=0.4,"Low Performance",
"Very Low Performance")))))</f>
        <v>#REF!</v>
      </c>
      <c r="O126" s="7" t="e">
        <f>IF($L126=0,
"Failed minimum data validation; requires contextual review in FSF.",
"Ready for contextual review in FSF.")</f>
        <v>#REF!</v>
      </c>
    </row>
    <row r="127" spans="1:15" hidden="1">
      <c r="A127" s="7" t="e">
        <f>#REF!</f>
        <v>#REF!</v>
      </c>
      <c r="B127" s="7" t="e">
        <f>#REF!</f>
        <v>#REF!</v>
      </c>
      <c r="C127" s="7" t="e">
        <f>#REF!</f>
        <v>#REF!</v>
      </c>
      <c r="D127" s="7" t="e">
        <f>#REF!</f>
        <v>#REF!</v>
      </c>
      <c r="E127" s="7" t="e">
        <f>#REF!</f>
        <v>#REF!</v>
      </c>
      <c r="F127" s="7" t="e">
        <f>#REF!</f>
        <v>#REF!</v>
      </c>
      <c r="G127" s="7" t="e">
        <f>#REF!</f>
        <v>#REF!</v>
      </c>
      <c r="H127" s="7" t="e">
        <f>#REF!</f>
        <v>#REF!</v>
      </c>
      <c r="I127" s="7" t="e">
        <f>#REF!</f>
        <v>#REF!</v>
      </c>
      <c r="J127" s="7" t="e">
        <f t="shared" si="34"/>
        <v>#REF!</v>
      </c>
      <c r="K127" s="7" t="e">
        <f t="shared" si="35"/>
        <v>#REF!</v>
      </c>
      <c r="L127" s="7" t="e">
        <f>IF(D127&lt;&gt;"Valid","",#REF!*0.4+#REF!*0.6)</f>
        <v>#REF!</v>
      </c>
      <c r="M127" s="7"/>
      <c r="N127" s="7" t="e">
        <f>IF(D127&lt;&gt;"Valid","Not Assessed (Insufficient Valid Data)",LOOKUP(L127,tblPerformanceCategory[Min],tblPerformanceCategory[Performance Category]))</f>
        <v>#REF!</v>
      </c>
      <c r="O127" s="7" t="e">
        <f>IF(D127="Valid","Yes","No")</f>
        <v>#REF!</v>
      </c>
    </row>
    <row r="128" spans="1:15" hidden="1">
      <c r="A128" s="7" t="e">
        <f>#REF!</f>
        <v>#REF!</v>
      </c>
      <c r="B128" s="7" t="e">
        <f>#REF!</f>
        <v>#REF!</v>
      </c>
      <c r="C128" s="7" t="e">
        <f>#REF!</f>
        <v>#REF!</v>
      </c>
      <c r="D128" s="7" t="e">
        <f>#REF!</f>
        <v>#REF!</v>
      </c>
      <c r="E128" s="7" t="e">
        <f>#REF!</f>
        <v>#REF!</v>
      </c>
      <c r="F128" s="7" t="e">
        <f>#REF!</f>
        <v>#REF!</v>
      </c>
      <c r="G128" s="7" t="e">
        <f>#REF!</f>
        <v>#REF!</v>
      </c>
      <c r="H128" s="7" t="e">
        <f>#REF!</f>
        <v>#REF!</v>
      </c>
      <c r="I128" s="7" t="e">
        <f>#REF!</f>
        <v>#REF!</v>
      </c>
      <c r="J128" s="7" t="e">
        <f t="shared" si="34"/>
        <v>#REF!</v>
      </c>
      <c r="K128" s="7" t="e">
        <f t="shared" si="35"/>
        <v>#REF!</v>
      </c>
      <c r="L128" s="7" t="e">
        <f>IF(D128&lt;&gt;"Valid","",#REF!*0.4+#REF!*0.6)</f>
        <v>#REF!</v>
      </c>
      <c r="M128" s="7"/>
      <c r="N128" s="7" t="e">
        <f>IF(D128&lt;&gt;"Valid","Not Assessed (Insufficient Valid Data)",LOOKUP(L128,tblPerformanceCategory[Min],tblPerformanceCategory[Performance Category]))</f>
        <v>#REF!</v>
      </c>
      <c r="O128" s="7" t="e">
        <f>IF(D128="Valid","Yes","No")</f>
        <v>#REF!</v>
      </c>
    </row>
    <row r="129" spans="1:15" hidden="1">
      <c r="A129" s="7" t="e">
        <f>#REF!</f>
        <v>#REF!</v>
      </c>
      <c r="B129" s="7" t="e">
        <f>#REF!</f>
        <v>#REF!</v>
      </c>
      <c r="C129" s="7" t="e">
        <f>#REF!</f>
        <v>#REF!</v>
      </c>
      <c r="D129" s="7" t="e">
        <f>#REF!</f>
        <v>#REF!</v>
      </c>
      <c r="E129" s="7" t="e">
        <f>#REF!</f>
        <v>#REF!</v>
      </c>
      <c r="F129" s="7" t="e">
        <f>#REF!</f>
        <v>#REF!</v>
      </c>
      <c r="G129" s="7" t="e">
        <f>#REF!</f>
        <v>#REF!</v>
      </c>
      <c r="H129" s="7" t="e">
        <f>#REF!</f>
        <v>#REF!</v>
      </c>
      <c r="I129" s="7" t="e">
        <f>#REF!</f>
        <v>#REF!</v>
      </c>
      <c r="J129" s="7" t="e">
        <f t="shared" si="34"/>
        <v>#REF!</v>
      </c>
      <c r="K129" s="7" t="e">
        <f t="shared" si="35"/>
        <v>#REF!</v>
      </c>
      <c r="L129" s="7" t="e">
        <f>IF(D129&lt;&gt;"Valid","",#REF!*0.4+#REF!*0.6)</f>
        <v>#REF!</v>
      </c>
      <c r="M129" s="7"/>
      <c r="N129" s="7" t="e">
        <f>IF(D129&lt;&gt;"Valid","Not Assessed (Insufficient Valid Data)",LOOKUP(L129,tblPerformanceCategory[Min],tblPerformanceCategory[Performance Category]))</f>
        <v>#REF!</v>
      </c>
      <c r="O129" s="7" t="e">
        <f>IF(D129="Valid","Yes","No")</f>
        <v>#REF!</v>
      </c>
    </row>
    <row r="130" spans="1:15" ht="42" hidden="1" customHeight="1">
      <c r="A130" s="7" t="e">
        <f>#REF!</f>
        <v>#REF!</v>
      </c>
      <c r="B130" s="7" t="e">
        <f>#REF!</f>
        <v>#REF!</v>
      </c>
      <c r="C130" s="7" t="e">
        <f>#REF!</f>
        <v>#REF!</v>
      </c>
      <c r="D130" s="7" t="e">
        <f>#REF!</f>
        <v>#REF!</v>
      </c>
      <c r="E130" s="7" t="e">
        <f>#REF!</f>
        <v>#REF!</v>
      </c>
      <c r="F130" s="7" t="e">
        <f>#REF!</f>
        <v>#REF!</v>
      </c>
      <c r="G130" s="7" t="e">
        <f>#REF!</f>
        <v>#REF!</v>
      </c>
      <c r="H130" s="7" t="e">
        <f>#REF!</f>
        <v>#REF!</v>
      </c>
      <c r="I130" s="7" t="e">
        <f>#REF!</f>
        <v>#REF!</v>
      </c>
      <c r="J130" s="7" t="e">
        <f t="shared" si="34"/>
        <v>#REF!</v>
      </c>
      <c r="K130" s="7" t="e">
        <f t="shared" si="35"/>
        <v>#REF!</v>
      </c>
      <c r="L130" s="7" t="e">
        <f>IF($D130&lt;&gt;"Valid",0,IFERROR(AVERAGE(#REF!,#REF!),0))</f>
        <v>#REF!</v>
      </c>
      <c r="M130" s="21" t="str">
        <f>IF(ISNUMBER(L130),_xlfn.RANK.EQ(L130,$L$2:$L$500,0),"")</f>
        <v/>
      </c>
      <c r="N130" s="7" t="e">
        <f>IF(L130=0,
"Not Assessed",
IF(L130&gt;=0.85,"Very High Performance",
IF(L130&gt;=0.7,"High Performance",
IF(L130&gt;=0.55,"Moderate Performance",
IF(L130&gt;=0.4,"Low Performance",
"Very Low Performance")))))</f>
        <v>#REF!</v>
      </c>
      <c r="O130" s="7" t="e">
        <f>IF($L130=0,
"Failed minimum data validation; requires contextual review in FSF.",
"Ready for contextual review in FSF.")</f>
        <v>#REF!</v>
      </c>
    </row>
    <row r="131" spans="1:15" ht="42" hidden="1" customHeight="1">
      <c r="A131" s="7" t="e">
        <f>#REF!</f>
        <v>#REF!</v>
      </c>
      <c r="B131" s="7" t="e">
        <f>#REF!</f>
        <v>#REF!</v>
      </c>
      <c r="C131" s="7" t="e">
        <f>#REF!</f>
        <v>#REF!</v>
      </c>
      <c r="D131" s="7" t="e">
        <f>#REF!</f>
        <v>#REF!</v>
      </c>
      <c r="E131" s="7" t="e">
        <f>#REF!</f>
        <v>#REF!</v>
      </c>
      <c r="F131" s="7" t="e">
        <f>#REF!</f>
        <v>#REF!</v>
      </c>
      <c r="G131" s="7" t="e">
        <f>#REF!</f>
        <v>#REF!</v>
      </c>
      <c r="H131" s="7" t="e">
        <f>#REF!</f>
        <v>#REF!</v>
      </c>
      <c r="I131" s="7" t="e">
        <f>#REF!</f>
        <v>#REF!</v>
      </c>
      <c r="J131" s="7" t="e">
        <f t="shared" si="34"/>
        <v>#REF!</v>
      </c>
      <c r="K131" s="7" t="e">
        <f t="shared" si="35"/>
        <v>#REF!</v>
      </c>
      <c r="L131" s="7" t="e">
        <f>IF($D131&lt;&gt;"Valid",0,IFERROR(AVERAGE(#REF!,#REF!),0))</f>
        <v>#REF!</v>
      </c>
      <c r="M131" s="21" t="str">
        <f>IF(ISNUMBER(L131),_xlfn.RANK.EQ(L131,$L$2:$L$500,0),"")</f>
        <v/>
      </c>
      <c r="N131" s="7" t="e">
        <f>IF(L131=0,
"Not Assessed",
IF(L131&gt;=0.85,"Very High Performance",
IF(L131&gt;=0.7,"High Performance",
IF(L131&gt;=0.55,"Moderate Performance",
IF(L131&gt;=0.4,"Low Performance",
"Very Low Performance")))))</f>
        <v>#REF!</v>
      </c>
      <c r="O131" s="7" t="e">
        <f>IF($L131=0,
"Failed minimum data validation; requires contextual review in FSF.",
"Ready for contextual review in FSF.")</f>
        <v>#REF!</v>
      </c>
    </row>
    <row r="132" spans="1:15" hidden="1">
      <c r="A132" s="7" t="e">
        <f>#REF!</f>
        <v>#REF!</v>
      </c>
      <c r="B132" s="7" t="e">
        <f>#REF!</f>
        <v>#REF!</v>
      </c>
      <c r="C132" s="7" t="e">
        <f>#REF!</f>
        <v>#REF!</v>
      </c>
      <c r="D132" s="7" t="e">
        <f>#REF!</f>
        <v>#REF!</v>
      </c>
      <c r="E132" s="7" t="e">
        <f>#REF!</f>
        <v>#REF!</v>
      </c>
      <c r="F132" s="7" t="e">
        <f>#REF!</f>
        <v>#REF!</v>
      </c>
      <c r="G132" s="7" t="e">
        <f>#REF!</f>
        <v>#REF!</v>
      </c>
      <c r="H132" s="7" t="e">
        <f>#REF!</f>
        <v>#REF!</v>
      </c>
      <c r="I132" s="7" t="e">
        <f>#REF!</f>
        <v>#REF!</v>
      </c>
      <c r="J132" s="7" t="e">
        <f t="shared" si="34"/>
        <v>#REF!</v>
      </c>
      <c r="K132" s="7" t="e">
        <f t="shared" si="35"/>
        <v>#REF!</v>
      </c>
      <c r="L132" s="7" t="e">
        <f>IF(D132&lt;&gt;"Valid","",#REF!*0.4+#REF!*0.6)</f>
        <v>#REF!</v>
      </c>
      <c r="M132" s="7"/>
      <c r="N132" s="7" t="e">
        <f>IF(D132&lt;&gt;"Valid","Not Assessed (Insufficient Valid Data)",LOOKUP(L132,tblPerformanceCategory[Min],tblPerformanceCategory[Performance Category]))</f>
        <v>#REF!</v>
      </c>
      <c r="O132" s="7" t="e">
        <f>IF(D132="Valid","Yes","No")</f>
        <v>#REF!</v>
      </c>
    </row>
    <row r="133" spans="1:15" hidden="1">
      <c r="A133" s="7" t="e">
        <f>#REF!</f>
        <v>#REF!</v>
      </c>
      <c r="B133" s="7" t="e">
        <f>#REF!</f>
        <v>#REF!</v>
      </c>
      <c r="C133" s="7" t="e">
        <f>#REF!</f>
        <v>#REF!</v>
      </c>
      <c r="D133" s="7" t="e">
        <f>#REF!</f>
        <v>#REF!</v>
      </c>
      <c r="E133" s="7" t="e">
        <f>#REF!</f>
        <v>#REF!</v>
      </c>
      <c r="F133" s="7" t="e">
        <f>#REF!</f>
        <v>#REF!</v>
      </c>
      <c r="G133" s="7" t="e">
        <f>#REF!</f>
        <v>#REF!</v>
      </c>
      <c r="H133" s="7" t="e">
        <f>#REF!</f>
        <v>#REF!</v>
      </c>
      <c r="I133" s="7" t="e">
        <f>#REF!</f>
        <v>#REF!</v>
      </c>
      <c r="J133" s="7" t="e">
        <f t="shared" si="34"/>
        <v>#REF!</v>
      </c>
      <c r="K133" s="7" t="e">
        <f t="shared" si="35"/>
        <v>#REF!</v>
      </c>
      <c r="L133" s="7" t="e">
        <f>IF(D133&lt;&gt;"Valid","",#REF!*0.4+#REF!*0.6)</f>
        <v>#REF!</v>
      </c>
      <c r="M133" s="7"/>
      <c r="N133" s="7" t="e">
        <f>IF(D133&lt;&gt;"Valid","Not Assessed (Insufficient Valid Data)",LOOKUP(L133,tblPerformanceCategory[Min],tblPerformanceCategory[Performance Category]))</f>
        <v>#REF!</v>
      </c>
      <c r="O133" s="7" t="e">
        <f>IF(D133="Valid","Yes","No")</f>
        <v>#REF!</v>
      </c>
    </row>
    <row r="134" spans="1:15" hidden="1">
      <c r="A134" s="7" t="e">
        <f>#REF!</f>
        <v>#REF!</v>
      </c>
      <c r="B134" s="7" t="e">
        <f>#REF!</f>
        <v>#REF!</v>
      </c>
      <c r="C134" s="7" t="e">
        <f>#REF!</f>
        <v>#REF!</v>
      </c>
      <c r="D134" s="7" t="e">
        <f>#REF!</f>
        <v>#REF!</v>
      </c>
      <c r="E134" s="7" t="e">
        <f>#REF!</f>
        <v>#REF!</v>
      </c>
      <c r="F134" s="7" t="e">
        <f>#REF!</f>
        <v>#REF!</v>
      </c>
      <c r="G134" s="7" t="e">
        <f>#REF!</f>
        <v>#REF!</v>
      </c>
      <c r="H134" s="7" t="e">
        <f>#REF!</f>
        <v>#REF!</v>
      </c>
      <c r="I134" s="7" t="e">
        <f>#REF!</f>
        <v>#REF!</v>
      </c>
      <c r="J134" s="7" t="e">
        <f t="shared" si="34"/>
        <v>#REF!</v>
      </c>
      <c r="K134" s="7" t="e">
        <f t="shared" si="35"/>
        <v>#REF!</v>
      </c>
      <c r="L134" s="7" t="e">
        <f>IF(D134&lt;&gt;"Valid","",#REF!*0.4+#REF!*0.6)</f>
        <v>#REF!</v>
      </c>
      <c r="M134" s="7"/>
      <c r="N134" s="7" t="e">
        <f>IF(D134&lt;&gt;"Valid","Not Assessed (Insufficient Valid Data)",LOOKUP(L134,tblPerformanceCategory[Min],tblPerformanceCategory[Performance Category]))</f>
        <v>#REF!</v>
      </c>
      <c r="O134" s="7" t="e">
        <f>IF(D134="Valid","Yes","No")</f>
        <v>#REF!</v>
      </c>
    </row>
    <row r="135" spans="1:15" hidden="1">
      <c r="A135" s="7" t="e">
        <f>#REF!</f>
        <v>#REF!</v>
      </c>
      <c r="B135" s="7" t="e">
        <f>#REF!</f>
        <v>#REF!</v>
      </c>
      <c r="C135" s="7" t="e">
        <f>#REF!</f>
        <v>#REF!</v>
      </c>
      <c r="D135" s="7" t="e">
        <f>#REF!</f>
        <v>#REF!</v>
      </c>
      <c r="E135" s="7" t="e">
        <f>#REF!</f>
        <v>#REF!</v>
      </c>
      <c r="F135" s="7" t="e">
        <f>#REF!</f>
        <v>#REF!</v>
      </c>
      <c r="G135" s="7" t="e">
        <f>#REF!</f>
        <v>#REF!</v>
      </c>
      <c r="H135" s="7" t="e">
        <f>#REF!</f>
        <v>#REF!</v>
      </c>
      <c r="I135" s="7" t="e">
        <f>#REF!</f>
        <v>#REF!</v>
      </c>
      <c r="J135" s="7" t="e">
        <f t="shared" si="34"/>
        <v>#REF!</v>
      </c>
      <c r="K135" s="7" t="e">
        <f t="shared" si="35"/>
        <v>#REF!</v>
      </c>
      <c r="L135" s="7" t="e">
        <f>IF(D135&lt;&gt;"Valid","",#REF!*0.4+#REF!*0.6)</f>
        <v>#REF!</v>
      </c>
      <c r="M135" s="7"/>
      <c r="N135" s="7" t="e">
        <f>IF(D135&lt;&gt;"Valid","Not Assessed (Insufficient Valid Data)",LOOKUP(L135,tblPerformanceCategory[Min],tblPerformanceCategory[Performance Category]))</f>
        <v>#REF!</v>
      </c>
      <c r="O135" s="7" t="e">
        <f>IF(D135="Valid","Yes","No")</f>
        <v>#REF!</v>
      </c>
    </row>
    <row r="136" spans="1:15" ht="42" customHeight="1">
      <c r="A136" s="7" t="str">
        <f>Derived_Indicators!A136</f>
        <v>Abuja Municipal Area Council</v>
      </c>
      <c r="B136" s="7" t="str">
        <f>Derived_Indicators!B136</f>
        <v>Gui Ward</v>
      </c>
      <c r="C136" s="7" t="str">
        <f>Derived_Indicators!C136</f>
        <v>Gosa Primary Health Care Centre</v>
      </c>
      <c r="D136" s="7" t="str">
        <f>Derived_Indicators!Q136</f>
        <v>Valid</v>
      </c>
      <c r="E136" s="23">
        <f>Derived_Indicators!D136</f>
        <v>1</v>
      </c>
      <c r="F136" s="23" t="str">
        <f>Derived_Indicators!E136</f>
        <v/>
      </c>
      <c r="G136" s="23">
        <f>Derived_Indicators!K136</f>
        <v>0.98130841121495327</v>
      </c>
      <c r="H136" s="23">
        <f>Derived_Indicators!M136</f>
        <v>0.43013698630136987</v>
      </c>
      <c r="I136" s="23">
        <f>Derived_Indicators!N136</f>
        <v>4.9315068493150684E-2</v>
      </c>
      <c r="J136" s="23">
        <f>IF($D136&lt;&gt;"Valid","",AVERAGE(E136:F136))</f>
        <v>1</v>
      </c>
      <c r="K136" s="23">
        <f>IF($D136&lt;&gt;"Valid","",AVERAGE(G136:I136))</f>
        <v>0.48692015533649124</v>
      </c>
      <c r="L136" s="23">
        <f>IF($D136&lt;&gt;"Valid","",AVERAGE(J136,K136))</f>
        <v>0.74346007766824562</v>
      </c>
      <c r="M136" s="21" t="e">
        <f>IF(AND($D136="Valid",ISNUMBER(L136)),RANK(L136,$L$2:$L$500,0),"")</f>
        <v>#REF!</v>
      </c>
      <c r="N136" s="7" t="str">
        <f>IF(L136="",
"Not Assessed",
IF(L136&gt;=0.85,"Excellent",
IF(L136&gt;=0.7,"Good",
IF(L136&gt;=0.55,"Moderate",
IF(L136&gt;=0.4,"Low",
"Very Low")))))</f>
        <v>Good</v>
      </c>
      <c r="O136" s="7" t="str">
        <f>IF($D136&lt;&gt;"Valid",
"Failed data validation; excluded from HFSI and requires contextual review in the Health Facility Selection Framework (HFSF).",
"Eligible for contextual assessment using the Health Facility Selection Framework (HFSF).")</f>
        <v>Eligible for contextual assessment using the Health Facility Selection Framework (HFSF).</v>
      </c>
    </row>
    <row r="137" spans="1:15" hidden="1">
      <c r="A137" s="7" t="e">
        <f>#REF!</f>
        <v>#REF!</v>
      </c>
      <c r="B137" s="7" t="e">
        <f>#REF!</f>
        <v>#REF!</v>
      </c>
      <c r="C137" s="7" t="e">
        <f>#REF!</f>
        <v>#REF!</v>
      </c>
      <c r="D137" s="7" t="e">
        <f>#REF!</f>
        <v>#REF!</v>
      </c>
      <c r="E137" s="7" t="e">
        <f>#REF!</f>
        <v>#REF!</v>
      </c>
      <c r="F137" s="7" t="e">
        <f>#REF!</f>
        <v>#REF!</v>
      </c>
      <c r="G137" s="7" t="e">
        <f>#REF!</f>
        <v>#REF!</v>
      </c>
      <c r="H137" s="7" t="e">
        <f>#REF!</f>
        <v>#REF!</v>
      </c>
      <c r="I137" s="7" t="e">
        <f>#REF!</f>
        <v>#REF!</v>
      </c>
      <c r="J137" s="7" t="e">
        <f>IF(D137&lt;&gt;"Valid","",SUM(E137:F137))</f>
        <v>#REF!</v>
      </c>
      <c r="K137" s="7" t="e">
        <f>IF(D137&lt;&gt;"Valid","",SUM(G137:I137))</f>
        <v>#REF!</v>
      </c>
      <c r="L137" s="7" t="e">
        <f>IF(D137&lt;&gt;"Valid","",#REF!*0.4+#REF!*0.6)</f>
        <v>#REF!</v>
      </c>
      <c r="M137" s="7"/>
      <c r="N137" s="7" t="e">
        <f>IF(D137&lt;&gt;"Valid","Not Assessed (Insufficient Valid Data)",LOOKUP(L137,tblPerformanceCategory[Min],tblPerformanceCategory[Performance Category]))</f>
        <v>#REF!</v>
      </c>
      <c r="O137" s="7" t="e">
        <f>IF(D137="Valid","Yes","No")</f>
        <v>#REF!</v>
      </c>
    </row>
    <row r="138" spans="1:15" hidden="1">
      <c r="A138" s="7" t="e">
        <f>#REF!</f>
        <v>#REF!</v>
      </c>
      <c r="B138" s="7" t="e">
        <f>#REF!</f>
        <v>#REF!</v>
      </c>
      <c r="C138" s="7" t="e">
        <f>#REF!</f>
        <v>#REF!</v>
      </c>
      <c r="D138" s="7" t="e">
        <f>#REF!</f>
        <v>#REF!</v>
      </c>
      <c r="E138" s="7" t="e">
        <f>#REF!</f>
        <v>#REF!</v>
      </c>
      <c r="F138" s="7" t="e">
        <f>#REF!</f>
        <v>#REF!</v>
      </c>
      <c r="G138" s="7" t="e">
        <f>#REF!</f>
        <v>#REF!</v>
      </c>
      <c r="H138" s="7" t="e">
        <f>#REF!</f>
        <v>#REF!</v>
      </c>
      <c r="I138" s="7" t="e">
        <f>#REF!</f>
        <v>#REF!</v>
      </c>
      <c r="J138" s="7" t="e">
        <f>IF(D138&lt;&gt;"Valid","",SUM(E138:F138))</f>
        <v>#REF!</v>
      </c>
      <c r="K138" s="7" t="e">
        <f>IF(D138&lt;&gt;"Valid","",SUM(G138:I138))</f>
        <v>#REF!</v>
      </c>
      <c r="L138" s="7" t="e">
        <f>IF(D138&lt;&gt;"Valid","",#REF!*0.4+#REF!*0.6)</f>
        <v>#REF!</v>
      </c>
      <c r="M138" s="7"/>
      <c r="N138" s="7" t="e">
        <f>IF(D138&lt;&gt;"Valid","Not Assessed (Insufficient Valid Data)",LOOKUP(L138,tblPerformanceCategory[Min],tblPerformanceCategory[Performance Category]))</f>
        <v>#REF!</v>
      </c>
      <c r="O138" s="7" t="e">
        <f>IF(D138="Valid","Yes","No")</f>
        <v>#REF!</v>
      </c>
    </row>
    <row r="139" spans="1:15" ht="42" customHeight="1">
      <c r="A139" s="7" t="str">
        <f>Derived_Indicators!A139</f>
        <v>Bwari Local Government Area</v>
      </c>
      <c r="B139" s="7" t="str">
        <f>Derived_Indicators!B139</f>
        <v>Shere Ward</v>
      </c>
      <c r="C139" s="7" t="str">
        <f>Derived_Indicators!C139</f>
        <v>Gudupe Primary Health Clinic</v>
      </c>
      <c r="D139" s="7" t="str">
        <f>Derived_Indicators!Q139</f>
        <v>Invalid</v>
      </c>
      <c r="E139" s="23">
        <f>Derived_Indicators!D139</f>
        <v>1</v>
      </c>
      <c r="F139" s="23">
        <f>Derived_Indicators!E139</f>
        <v>1</v>
      </c>
      <c r="G139" s="23">
        <f>Derived_Indicators!K139</f>
        <v>1.7555555555555555</v>
      </c>
      <c r="H139" s="23">
        <f>Derived_Indicators!M139</f>
        <v>0.71052631578947367</v>
      </c>
      <c r="I139" s="23">
        <f>Derived_Indicators!N139</f>
        <v>0.36842105263157893</v>
      </c>
      <c r="J139" s="23" t="str">
        <f>IF($D139&lt;&gt;"Valid","",AVERAGE(E139:F139))</f>
        <v/>
      </c>
      <c r="K139" s="23" t="str">
        <f>IF($D139&lt;&gt;"Valid","",AVERAGE(G139:I139))</f>
        <v/>
      </c>
      <c r="L139" s="23" t="str">
        <f>IF($D139&lt;&gt;"Valid","",AVERAGE(J139,K139))</f>
        <v/>
      </c>
      <c r="M139" s="21" t="str">
        <f>IF(AND($D139="Valid",ISNUMBER(L139)),RANK(L139,$L$2:$L$500,0),"")</f>
        <v/>
      </c>
      <c r="N139" s="7" t="str">
        <f>IF(L139="",
"Not Assessed",
IF(L139&gt;=0.85,"Excellent",
IF(L139&gt;=0.7,"Good",
IF(L139&gt;=0.55,"Moderate",
IF(L139&gt;=0.4,"Low",
"Very Low")))))</f>
        <v>Not Assessed</v>
      </c>
      <c r="O139" s="7" t="str">
        <f>IF($D139&lt;&gt;"Valid",
"Failed data validation; excluded from HFSI and requires contextual review in the Health Facility Selection Framework (HFSF).",
"Eligible for contextual assessment using the Health Facility Selection Framework (HFSF).")</f>
        <v>Failed data validation; excluded from HFSI and requires contextual review in the Health Facility Selection Framework (HFSF).</v>
      </c>
    </row>
    <row r="140" spans="1:15" ht="42" hidden="1" customHeight="1">
      <c r="A140" s="7" t="e">
        <f>#REF!</f>
        <v>#REF!</v>
      </c>
      <c r="B140" s="7" t="e">
        <f>#REF!</f>
        <v>#REF!</v>
      </c>
      <c r="C140" s="7" t="e">
        <f>#REF!</f>
        <v>#REF!</v>
      </c>
      <c r="D140" s="7" t="e">
        <f>#REF!</f>
        <v>#REF!</v>
      </c>
      <c r="E140" s="7" t="e">
        <f>#REF!</f>
        <v>#REF!</v>
      </c>
      <c r="F140" s="7" t="e">
        <f>#REF!</f>
        <v>#REF!</v>
      </c>
      <c r="G140" s="7" t="e">
        <f>#REF!</f>
        <v>#REF!</v>
      </c>
      <c r="H140" s="7" t="e">
        <f>#REF!</f>
        <v>#REF!</v>
      </c>
      <c r="I140" s="7" t="e">
        <f>#REF!</f>
        <v>#REF!</v>
      </c>
      <c r="J140" s="7" t="e">
        <f t="shared" ref="J140:J150" si="36">IF(D140&lt;&gt;"Valid","",SUM(E140:F140))</f>
        <v>#REF!</v>
      </c>
      <c r="K140" s="7" t="e">
        <f t="shared" ref="K140:K150" si="37">IF(D140&lt;&gt;"Valid","",SUM(G140:I140))</f>
        <v>#REF!</v>
      </c>
      <c r="L140" s="7" t="e">
        <f>IF($D140&lt;&gt;"Valid",0,IFERROR(AVERAGE(#REF!,#REF!),0))</f>
        <v>#REF!</v>
      </c>
      <c r="M140" s="21" t="str">
        <f>IF(ISNUMBER(L140),_xlfn.RANK.EQ(L140,$L$2:$L$500,0),"")</f>
        <v/>
      </c>
      <c r="N140" s="7" t="e">
        <f>IF(L140=0,
"Not Assessed",
IF(L140&gt;=0.85,"Very High Performance",
IF(L140&gt;=0.7,"High Performance",
IF(L140&gt;=0.55,"Moderate Performance",
IF(L140&gt;=0.4,"Low Performance",
"Very Low Performance")))))</f>
        <v>#REF!</v>
      </c>
      <c r="O140" s="7" t="e">
        <f>IF($L140=0,
"Failed minimum data validation; requires contextual review in FSF.",
"Ready for contextual review in FSF.")</f>
        <v>#REF!</v>
      </c>
    </row>
    <row r="141" spans="1:15" ht="42" hidden="1" customHeight="1">
      <c r="A141" s="7" t="e">
        <f>#REF!</f>
        <v>#REF!</v>
      </c>
      <c r="B141" s="7" t="e">
        <f>#REF!</f>
        <v>#REF!</v>
      </c>
      <c r="C141" s="7" t="e">
        <f>#REF!</f>
        <v>#REF!</v>
      </c>
      <c r="D141" s="7" t="e">
        <f>#REF!</f>
        <v>#REF!</v>
      </c>
      <c r="E141" s="7" t="e">
        <f>#REF!</f>
        <v>#REF!</v>
      </c>
      <c r="F141" s="7" t="e">
        <f>#REF!</f>
        <v>#REF!</v>
      </c>
      <c r="G141" s="7" t="e">
        <f>#REF!</f>
        <v>#REF!</v>
      </c>
      <c r="H141" s="7" t="e">
        <f>#REF!</f>
        <v>#REF!</v>
      </c>
      <c r="I141" s="7" t="e">
        <f>#REF!</f>
        <v>#REF!</v>
      </c>
      <c r="J141" s="7" t="e">
        <f t="shared" si="36"/>
        <v>#REF!</v>
      </c>
      <c r="K141" s="7" t="e">
        <f t="shared" si="37"/>
        <v>#REF!</v>
      </c>
      <c r="L141" s="7" t="e">
        <f>IF($D141&lt;&gt;"Valid",0,IFERROR(AVERAGE(#REF!,#REF!),0))</f>
        <v>#REF!</v>
      </c>
      <c r="M141" s="21" t="str">
        <f>IF(ISNUMBER(L141),_xlfn.RANK.EQ(L141,$L$2:$L$500,0),"")</f>
        <v/>
      </c>
      <c r="N141" s="7" t="e">
        <f>IF(L141=0,
"Not Assessed",
IF(L141&gt;=0.85,"Very High Performance",
IF(L141&gt;=0.7,"High Performance",
IF(L141&gt;=0.55,"Moderate Performance",
IF(L141&gt;=0.4,"Low Performance",
"Very Low Performance")))))</f>
        <v>#REF!</v>
      </c>
      <c r="O141" s="7" t="e">
        <f>IF($L141=0,
"Failed minimum data validation; requires contextual review in FSF.",
"Ready for contextual review in FSF.")</f>
        <v>#REF!</v>
      </c>
    </row>
    <row r="142" spans="1:15" hidden="1">
      <c r="A142" s="7" t="e">
        <f>#REF!</f>
        <v>#REF!</v>
      </c>
      <c r="B142" s="7" t="e">
        <f>#REF!</f>
        <v>#REF!</v>
      </c>
      <c r="C142" s="7" t="e">
        <f>#REF!</f>
        <v>#REF!</v>
      </c>
      <c r="D142" s="7" t="e">
        <f>#REF!</f>
        <v>#REF!</v>
      </c>
      <c r="E142" s="7" t="e">
        <f>#REF!</f>
        <v>#REF!</v>
      </c>
      <c r="F142" s="7" t="e">
        <f>#REF!</f>
        <v>#REF!</v>
      </c>
      <c r="G142" s="7" t="e">
        <f>#REF!</f>
        <v>#REF!</v>
      </c>
      <c r="H142" s="7" t="e">
        <f>#REF!</f>
        <v>#REF!</v>
      </c>
      <c r="I142" s="7" t="e">
        <f>#REF!</f>
        <v>#REF!</v>
      </c>
      <c r="J142" s="7" t="e">
        <f t="shared" si="36"/>
        <v>#REF!</v>
      </c>
      <c r="K142" s="7" t="e">
        <f t="shared" si="37"/>
        <v>#REF!</v>
      </c>
      <c r="L142" s="7" t="e">
        <f>IF(D142&lt;&gt;"Valid","",#REF!*0.4+#REF!*0.6)</f>
        <v>#REF!</v>
      </c>
      <c r="M142" s="7"/>
      <c r="N142" s="7" t="e">
        <f>IF(D142&lt;&gt;"Valid","Not Assessed (Insufficient Valid Data)",LOOKUP(L142,tblPerformanceCategory[Min],tblPerformanceCategory[Performance Category]))</f>
        <v>#REF!</v>
      </c>
      <c r="O142" s="7" t="e">
        <f>IF(D142="Valid","Yes","No")</f>
        <v>#REF!</v>
      </c>
    </row>
    <row r="143" spans="1:15" hidden="1">
      <c r="A143" s="7" t="e">
        <f>#REF!</f>
        <v>#REF!</v>
      </c>
      <c r="B143" s="7" t="e">
        <f>#REF!</f>
        <v>#REF!</v>
      </c>
      <c r="C143" s="7" t="e">
        <f>#REF!</f>
        <v>#REF!</v>
      </c>
      <c r="D143" s="7" t="e">
        <f>#REF!</f>
        <v>#REF!</v>
      </c>
      <c r="E143" s="7" t="e">
        <f>#REF!</f>
        <v>#REF!</v>
      </c>
      <c r="F143" s="7" t="e">
        <f>#REF!</f>
        <v>#REF!</v>
      </c>
      <c r="G143" s="7" t="e">
        <f>#REF!</f>
        <v>#REF!</v>
      </c>
      <c r="H143" s="7" t="e">
        <f>#REF!</f>
        <v>#REF!</v>
      </c>
      <c r="I143" s="7" t="e">
        <f>#REF!</f>
        <v>#REF!</v>
      </c>
      <c r="J143" s="7" t="e">
        <f t="shared" si="36"/>
        <v>#REF!</v>
      </c>
      <c r="K143" s="7" t="e">
        <f t="shared" si="37"/>
        <v>#REF!</v>
      </c>
      <c r="L143" s="7" t="e">
        <f>IF(D143&lt;&gt;"Valid","",#REF!*0.4+#REF!*0.6)</f>
        <v>#REF!</v>
      </c>
      <c r="M143" s="7"/>
      <c r="N143" s="7" t="e">
        <f>IF(D143&lt;&gt;"Valid","Not Assessed (Insufficient Valid Data)",LOOKUP(L143,tblPerformanceCategory[Min],tblPerformanceCategory[Performance Category]))</f>
        <v>#REF!</v>
      </c>
      <c r="O143" s="7" t="e">
        <f>IF(D143="Valid","Yes","No")</f>
        <v>#REF!</v>
      </c>
    </row>
    <row r="144" spans="1:15" hidden="1">
      <c r="A144" s="7" t="e">
        <f>#REF!</f>
        <v>#REF!</v>
      </c>
      <c r="B144" s="7" t="e">
        <f>#REF!</f>
        <v>#REF!</v>
      </c>
      <c r="C144" s="7" t="e">
        <f>#REF!</f>
        <v>#REF!</v>
      </c>
      <c r="D144" s="7" t="e">
        <f>#REF!</f>
        <v>#REF!</v>
      </c>
      <c r="E144" s="7" t="e">
        <f>#REF!</f>
        <v>#REF!</v>
      </c>
      <c r="F144" s="7" t="e">
        <f>#REF!</f>
        <v>#REF!</v>
      </c>
      <c r="G144" s="7" t="e">
        <f>#REF!</f>
        <v>#REF!</v>
      </c>
      <c r="H144" s="7" t="e">
        <f>#REF!</f>
        <v>#REF!</v>
      </c>
      <c r="I144" s="7" t="e">
        <f>#REF!</f>
        <v>#REF!</v>
      </c>
      <c r="J144" s="7" t="e">
        <f t="shared" si="36"/>
        <v>#REF!</v>
      </c>
      <c r="K144" s="7" t="e">
        <f t="shared" si="37"/>
        <v>#REF!</v>
      </c>
      <c r="L144" s="7" t="e">
        <f>IF(D144&lt;&gt;"Valid","",#REF!*0.4+#REF!*0.6)</f>
        <v>#REF!</v>
      </c>
      <c r="M144" s="7"/>
      <c r="N144" s="7" t="e">
        <f>IF(D144&lt;&gt;"Valid","Not Assessed (Insufficient Valid Data)",LOOKUP(L144,tblPerformanceCategory[Min],tblPerformanceCategory[Performance Category]))</f>
        <v>#REF!</v>
      </c>
      <c r="O144" s="7" t="e">
        <f>IF(D144="Valid","Yes","No")</f>
        <v>#REF!</v>
      </c>
    </row>
    <row r="145" spans="1:15" hidden="1">
      <c r="A145" s="7" t="e">
        <f>#REF!</f>
        <v>#REF!</v>
      </c>
      <c r="B145" s="7" t="e">
        <f>#REF!</f>
        <v>#REF!</v>
      </c>
      <c r="C145" s="7" t="e">
        <f>#REF!</f>
        <v>#REF!</v>
      </c>
      <c r="D145" s="7" t="e">
        <f>#REF!</f>
        <v>#REF!</v>
      </c>
      <c r="E145" s="7" t="e">
        <f>#REF!</f>
        <v>#REF!</v>
      </c>
      <c r="F145" s="7" t="e">
        <f>#REF!</f>
        <v>#REF!</v>
      </c>
      <c r="G145" s="7" t="e">
        <f>#REF!</f>
        <v>#REF!</v>
      </c>
      <c r="H145" s="7" t="e">
        <f>#REF!</f>
        <v>#REF!</v>
      </c>
      <c r="I145" s="7" t="e">
        <f>#REF!</f>
        <v>#REF!</v>
      </c>
      <c r="J145" s="7" t="e">
        <f t="shared" si="36"/>
        <v>#REF!</v>
      </c>
      <c r="K145" s="7" t="e">
        <f t="shared" si="37"/>
        <v>#REF!</v>
      </c>
      <c r="L145" s="7" t="e">
        <f>IF(D145&lt;&gt;"Valid","",#REF!*0.4+#REF!*0.6)</f>
        <v>#REF!</v>
      </c>
      <c r="M145" s="7"/>
      <c r="N145" s="7" t="e">
        <f>IF(D145&lt;&gt;"Valid","Not Assessed (Insufficient Valid Data)",LOOKUP(L145,tblPerformanceCategory[Min],tblPerformanceCategory[Performance Category]))</f>
        <v>#REF!</v>
      </c>
      <c r="O145" s="7" t="e">
        <f>IF(D145="Valid","Yes","No")</f>
        <v>#REF!</v>
      </c>
    </row>
    <row r="146" spans="1:15" ht="42" hidden="1" customHeight="1">
      <c r="A146" s="7" t="e">
        <f>#REF!</f>
        <v>#REF!</v>
      </c>
      <c r="B146" s="7" t="e">
        <f>#REF!</f>
        <v>#REF!</v>
      </c>
      <c r="C146" s="7" t="e">
        <f>#REF!</f>
        <v>#REF!</v>
      </c>
      <c r="D146" s="7" t="e">
        <f>#REF!</f>
        <v>#REF!</v>
      </c>
      <c r="E146" s="7" t="e">
        <f>#REF!</f>
        <v>#REF!</v>
      </c>
      <c r="F146" s="7" t="e">
        <f>#REF!</f>
        <v>#REF!</v>
      </c>
      <c r="G146" s="7" t="e">
        <f>#REF!</f>
        <v>#REF!</v>
      </c>
      <c r="H146" s="7" t="e">
        <f>#REF!</f>
        <v>#REF!</v>
      </c>
      <c r="I146" s="7" t="e">
        <f>#REF!</f>
        <v>#REF!</v>
      </c>
      <c r="J146" s="7" t="e">
        <f t="shared" si="36"/>
        <v>#REF!</v>
      </c>
      <c r="K146" s="7" t="e">
        <f t="shared" si="37"/>
        <v>#REF!</v>
      </c>
      <c r="L146" s="7" t="e">
        <f>IF($D146&lt;&gt;"Valid",0,IFERROR(AVERAGE(#REF!,#REF!),0))</f>
        <v>#REF!</v>
      </c>
      <c r="M146" s="21" t="str">
        <f>IF(ISNUMBER(L146),_xlfn.RANK.EQ(L146,$L$2:$L$500,0),"")</f>
        <v/>
      </c>
      <c r="N146" s="7" t="e">
        <f>IF(L146=0,
"Not Assessed",
IF(L146&gt;=0.85,"Very High Performance",
IF(L146&gt;=0.7,"High Performance",
IF(L146&gt;=0.55,"Moderate Performance",
IF(L146&gt;=0.4,"Low Performance",
"Very Low Performance")))))</f>
        <v>#REF!</v>
      </c>
      <c r="O146" s="7" t="e">
        <f>IF($L146=0,
"Failed minimum data validation; requires contextual review in FSF.",
"Ready for contextual review in FSF.")</f>
        <v>#REF!</v>
      </c>
    </row>
    <row r="147" spans="1:15" hidden="1">
      <c r="A147" s="7" t="e">
        <f>#REF!</f>
        <v>#REF!</v>
      </c>
      <c r="B147" s="7" t="e">
        <f>#REF!</f>
        <v>#REF!</v>
      </c>
      <c r="C147" s="7" t="e">
        <f>#REF!</f>
        <v>#REF!</v>
      </c>
      <c r="D147" s="7" t="e">
        <f>#REF!</f>
        <v>#REF!</v>
      </c>
      <c r="E147" s="7" t="e">
        <f>#REF!</f>
        <v>#REF!</v>
      </c>
      <c r="F147" s="7" t="e">
        <f>#REF!</f>
        <v>#REF!</v>
      </c>
      <c r="G147" s="7" t="e">
        <f>#REF!</f>
        <v>#REF!</v>
      </c>
      <c r="H147" s="7" t="e">
        <f>#REF!</f>
        <v>#REF!</v>
      </c>
      <c r="I147" s="7" t="e">
        <f>#REF!</f>
        <v>#REF!</v>
      </c>
      <c r="J147" s="7" t="e">
        <f t="shared" si="36"/>
        <v>#REF!</v>
      </c>
      <c r="K147" s="7" t="e">
        <f t="shared" si="37"/>
        <v>#REF!</v>
      </c>
      <c r="L147" s="7" t="e">
        <f>IF(D147&lt;&gt;"Valid","",#REF!*0.4+#REF!*0.6)</f>
        <v>#REF!</v>
      </c>
      <c r="M147" s="7"/>
      <c r="N147" s="7" t="e">
        <f>IF(D147&lt;&gt;"Valid","Not Assessed (Insufficient Valid Data)",LOOKUP(L147,tblPerformanceCategory[Min],tblPerformanceCategory[Performance Category]))</f>
        <v>#REF!</v>
      </c>
      <c r="O147" s="7" t="e">
        <f>IF(D147="Valid","Yes","No")</f>
        <v>#REF!</v>
      </c>
    </row>
    <row r="148" spans="1:15" hidden="1">
      <c r="A148" s="7" t="e">
        <f>#REF!</f>
        <v>#REF!</v>
      </c>
      <c r="B148" s="7" t="e">
        <f>#REF!</f>
        <v>#REF!</v>
      </c>
      <c r="C148" s="7" t="e">
        <f>#REF!</f>
        <v>#REF!</v>
      </c>
      <c r="D148" s="7" t="e">
        <f>#REF!</f>
        <v>#REF!</v>
      </c>
      <c r="E148" s="7" t="e">
        <f>#REF!</f>
        <v>#REF!</v>
      </c>
      <c r="F148" s="7" t="e">
        <f>#REF!</f>
        <v>#REF!</v>
      </c>
      <c r="G148" s="7" t="e">
        <f>#REF!</f>
        <v>#REF!</v>
      </c>
      <c r="H148" s="7" t="e">
        <f>#REF!</f>
        <v>#REF!</v>
      </c>
      <c r="I148" s="7" t="e">
        <f>#REF!</f>
        <v>#REF!</v>
      </c>
      <c r="J148" s="7" t="e">
        <f t="shared" si="36"/>
        <v>#REF!</v>
      </c>
      <c r="K148" s="7" t="e">
        <f t="shared" si="37"/>
        <v>#REF!</v>
      </c>
      <c r="L148" s="7" t="e">
        <f>IF(D148&lt;&gt;"Valid","",#REF!*0.4+#REF!*0.6)</f>
        <v>#REF!</v>
      </c>
      <c r="M148" s="7"/>
      <c r="N148" s="7" t="e">
        <f>IF(D148&lt;&gt;"Valid","Not Assessed (Insufficient Valid Data)",LOOKUP(L148,tblPerformanceCategory[Min],tblPerformanceCategory[Performance Category]))</f>
        <v>#REF!</v>
      </c>
      <c r="O148" s="7" t="e">
        <f>IF(D148="Valid","Yes","No")</f>
        <v>#REF!</v>
      </c>
    </row>
    <row r="149" spans="1:15" hidden="1">
      <c r="A149" s="7" t="e">
        <f>#REF!</f>
        <v>#REF!</v>
      </c>
      <c r="B149" s="7" t="e">
        <f>#REF!</f>
        <v>#REF!</v>
      </c>
      <c r="C149" s="7" t="e">
        <f>#REF!</f>
        <v>#REF!</v>
      </c>
      <c r="D149" s="7" t="e">
        <f>#REF!</f>
        <v>#REF!</v>
      </c>
      <c r="E149" s="7" t="e">
        <f>#REF!</f>
        <v>#REF!</v>
      </c>
      <c r="F149" s="7" t="e">
        <f>#REF!</f>
        <v>#REF!</v>
      </c>
      <c r="G149" s="7" t="e">
        <f>#REF!</f>
        <v>#REF!</v>
      </c>
      <c r="H149" s="7" t="e">
        <f>#REF!</f>
        <v>#REF!</v>
      </c>
      <c r="I149" s="7" t="e">
        <f>#REF!</f>
        <v>#REF!</v>
      </c>
      <c r="J149" s="7" t="e">
        <f t="shared" si="36"/>
        <v>#REF!</v>
      </c>
      <c r="K149" s="7" t="e">
        <f t="shared" si="37"/>
        <v>#REF!</v>
      </c>
      <c r="L149" s="7" t="e">
        <f>IF(D149&lt;&gt;"Valid","",#REF!*0.4+#REF!*0.6)</f>
        <v>#REF!</v>
      </c>
      <c r="M149" s="7"/>
      <c r="N149" s="7" t="e">
        <f>IF(D149&lt;&gt;"Valid","Not Assessed (Insufficient Valid Data)",LOOKUP(L149,tblPerformanceCategory[Min],tblPerformanceCategory[Performance Category]))</f>
        <v>#REF!</v>
      </c>
      <c r="O149" s="7" t="e">
        <f>IF(D149="Valid","Yes","No")</f>
        <v>#REF!</v>
      </c>
    </row>
    <row r="150" spans="1:15" hidden="1">
      <c r="A150" s="7" t="e">
        <f>#REF!</f>
        <v>#REF!</v>
      </c>
      <c r="B150" s="7" t="e">
        <f>#REF!</f>
        <v>#REF!</v>
      </c>
      <c r="C150" s="7" t="e">
        <f>#REF!</f>
        <v>#REF!</v>
      </c>
      <c r="D150" s="7" t="e">
        <f>#REF!</f>
        <v>#REF!</v>
      </c>
      <c r="E150" s="7" t="e">
        <f>#REF!</f>
        <v>#REF!</v>
      </c>
      <c r="F150" s="7" t="e">
        <f>#REF!</f>
        <v>#REF!</v>
      </c>
      <c r="G150" s="7" t="e">
        <f>#REF!</f>
        <v>#REF!</v>
      </c>
      <c r="H150" s="7" t="e">
        <f>#REF!</f>
        <v>#REF!</v>
      </c>
      <c r="I150" s="7" t="e">
        <f>#REF!</f>
        <v>#REF!</v>
      </c>
      <c r="J150" s="7" t="e">
        <f t="shared" si="36"/>
        <v>#REF!</v>
      </c>
      <c r="K150" s="7" t="e">
        <f t="shared" si="37"/>
        <v>#REF!</v>
      </c>
      <c r="L150" s="7" t="e">
        <f>IF(D150&lt;&gt;"Valid","",#REF!*0.4+#REF!*0.6)</f>
        <v>#REF!</v>
      </c>
      <c r="M150" s="7"/>
      <c r="N150" s="7" t="e">
        <f>IF(D150&lt;&gt;"Valid","Not Assessed (Insufficient Valid Data)",LOOKUP(L150,tblPerformanceCategory[Min],tblPerformanceCategory[Performance Category]))</f>
        <v>#REF!</v>
      </c>
      <c r="O150" s="7" t="e">
        <f>IF(D150="Valid","Yes","No")</f>
        <v>#REF!</v>
      </c>
    </row>
    <row r="151" spans="1:15" ht="42" customHeight="1">
      <c r="A151" s="7" t="str">
        <f>Derived_Indicators!A151</f>
        <v>Abuja Municipal Area Council</v>
      </c>
      <c r="B151" s="7" t="str">
        <f>Derived_Indicators!B151</f>
        <v>Gwarimpa Ward</v>
      </c>
      <c r="C151" s="7" t="str">
        <f>Derived_Indicators!C151</f>
        <v>Gwarimpa General Hospital</v>
      </c>
      <c r="D151" s="7" t="str">
        <f>Derived_Indicators!Q151</f>
        <v>Valid</v>
      </c>
      <c r="E151" s="23">
        <f>Derived_Indicators!D151</f>
        <v>0.94157499999999994</v>
      </c>
      <c r="F151" s="23">
        <f>Derived_Indicators!E151</f>
        <v>1</v>
      </c>
      <c r="G151" s="23">
        <f>Derived_Indicators!K151</f>
        <v>0.95858895705521474</v>
      </c>
      <c r="H151" s="23">
        <f>Derived_Indicators!M151</f>
        <v>0.88536155202821865</v>
      </c>
      <c r="I151" s="23">
        <f>Derived_Indicators!N151</f>
        <v>0.13051146384479717</v>
      </c>
      <c r="J151" s="23">
        <f t="shared" ref="J151:J152" si="38">IF($D151&lt;&gt;"Valid","",AVERAGE(E151:F151))</f>
        <v>0.97078749999999991</v>
      </c>
      <c r="K151" s="23">
        <f t="shared" ref="K151:K152" si="39">IF($D151&lt;&gt;"Valid","",AVERAGE(G151:I151))</f>
        <v>0.65815399097607685</v>
      </c>
      <c r="L151" s="23">
        <f t="shared" ref="L151:L152" si="40">IF($D151&lt;&gt;"Valid","",AVERAGE(J151,K151))</f>
        <v>0.81447074548803844</v>
      </c>
      <c r="M151" s="21" t="e">
        <f t="shared" ref="M151:M152" si="41">IF(AND($D151="Valid",ISNUMBER(L151)),RANK(L151,$L$2:$L$500,0),"")</f>
        <v>#REF!</v>
      </c>
      <c r="N151" s="7" t="str">
        <f t="shared" ref="N151:N152" si="42">IF(L151="",
"Not Assessed",
IF(L151&gt;=0.85,"Excellent",
IF(L151&gt;=0.7,"Good",
IF(L151&gt;=0.55,"Moderate",
IF(L151&gt;=0.4,"Low",
"Very Low")))))</f>
        <v>Good</v>
      </c>
      <c r="O151" s="7" t="str">
        <f t="shared" ref="O151:O152" si="43">IF($D151&lt;&gt;"Valid",
"Failed data validation; excluded from HFSI and requires contextual review in the Health Facility Selection Framework (HFSF).",
"Eligible for contextual assessment using the Health Facility Selection Framework (HFSF).")</f>
        <v>Eligible for contextual assessment using the Health Facility Selection Framework (HFSF).</v>
      </c>
    </row>
    <row r="152" spans="1:15" ht="42" customHeight="1">
      <c r="A152" s="7" t="str">
        <f>Derived_Indicators!A152</f>
        <v>Abuja Municipal Area Council</v>
      </c>
      <c r="B152" s="7" t="str">
        <f>Derived_Indicators!B152</f>
        <v>Gwarimpa Ward</v>
      </c>
      <c r="C152" s="7" t="str">
        <f>Derived_Indicators!C152</f>
        <v>Gwarimpa Primary Health Clinic</v>
      </c>
      <c r="D152" s="7" t="str">
        <f>Derived_Indicators!Q152</f>
        <v>Incomplete</v>
      </c>
      <c r="E152" s="23">
        <f>Derived_Indicators!D152</f>
        <v>0.95</v>
      </c>
      <c r="F152" s="23" t="str">
        <f>Derived_Indicators!E152</f>
        <v/>
      </c>
      <c r="G152" s="23">
        <f>Derived_Indicators!K152</f>
        <v>1.1310344827586207</v>
      </c>
      <c r="H152" s="23">
        <f>Derived_Indicators!M152</f>
        <v>0.25165562913907286</v>
      </c>
      <c r="I152" s="23" t="str">
        <f>Derived_Indicators!N152</f>
        <v/>
      </c>
      <c r="J152" s="23" t="str">
        <f t="shared" si="38"/>
        <v/>
      </c>
      <c r="K152" s="23" t="str">
        <f t="shared" si="39"/>
        <v/>
      </c>
      <c r="L152" s="23" t="str">
        <f t="shared" si="40"/>
        <v/>
      </c>
      <c r="M152" s="21" t="str">
        <f t="shared" si="41"/>
        <v/>
      </c>
      <c r="N152" s="7" t="str">
        <f t="shared" si="42"/>
        <v>Not Assessed</v>
      </c>
      <c r="O152" s="7" t="str">
        <f t="shared" si="43"/>
        <v>Failed data validation; excluded from HFSI and requires contextual review in the Health Facility Selection Framework (HFSF).</v>
      </c>
    </row>
    <row r="153" spans="1:15" hidden="1">
      <c r="A153" s="7" t="e">
        <f>#REF!</f>
        <v>#REF!</v>
      </c>
      <c r="B153" s="7" t="e">
        <f>#REF!</f>
        <v>#REF!</v>
      </c>
      <c r="C153" s="7" t="e">
        <f>#REF!</f>
        <v>#REF!</v>
      </c>
      <c r="D153" s="7" t="e">
        <f>#REF!</f>
        <v>#REF!</v>
      </c>
      <c r="E153" s="7" t="e">
        <f>#REF!</f>
        <v>#REF!</v>
      </c>
      <c r="F153" s="7" t="e">
        <f>#REF!</f>
        <v>#REF!</v>
      </c>
      <c r="G153" s="7" t="e">
        <f>#REF!</f>
        <v>#REF!</v>
      </c>
      <c r="H153" s="7" t="e">
        <f>#REF!</f>
        <v>#REF!</v>
      </c>
      <c r="I153" s="7" t="e">
        <f>#REF!</f>
        <v>#REF!</v>
      </c>
      <c r="J153" s="7" t="e">
        <f>IF(D153&lt;&gt;"Valid","",SUM(E153:F153))</f>
        <v>#REF!</v>
      </c>
      <c r="K153" s="7" t="e">
        <f>IF(D153&lt;&gt;"Valid","",SUM(G153:I153))</f>
        <v>#REF!</v>
      </c>
      <c r="L153" s="7" t="e">
        <f>IF(D153&lt;&gt;"Valid","",#REF!*0.4+#REF!*0.6)</f>
        <v>#REF!</v>
      </c>
      <c r="M153" s="7"/>
      <c r="N153" s="7" t="e">
        <f>IF(D153&lt;&gt;"Valid","Not Assessed (Insufficient Valid Data)",LOOKUP(L153,tblPerformanceCategory[Min],tblPerformanceCategory[Performance Category]))</f>
        <v>#REF!</v>
      </c>
      <c r="O153" s="7" t="e">
        <f>IF(D153="Valid","Yes","No")</f>
        <v>#REF!</v>
      </c>
    </row>
    <row r="154" spans="1:15" ht="42" hidden="1" customHeight="1">
      <c r="A154" s="7" t="e">
        <f>#REF!</f>
        <v>#REF!</v>
      </c>
      <c r="B154" s="7" t="e">
        <f>#REF!</f>
        <v>#REF!</v>
      </c>
      <c r="C154" s="7" t="e">
        <f>#REF!</f>
        <v>#REF!</v>
      </c>
      <c r="D154" s="7" t="e">
        <f>#REF!</f>
        <v>#REF!</v>
      </c>
      <c r="E154" s="7" t="e">
        <f>#REF!</f>
        <v>#REF!</v>
      </c>
      <c r="F154" s="7" t="e">
        <f>#REF!</f>
        <v>#REF!</v>
      </c>
      <c r="G154" s="7" t="e">
        <f>#REF!</f>
        <v>#REF!</v>
      </c>
      <c r="H154" s="7" t="e">
        <f>#REF!</f>
        <v>#REF!</v>
      </c>
      <c r="I154" s="7" t="e">
        <f>#REF!</f>
        <v>#REF!</v>
      </c>
      <c r="J154" s="7" t="e">
        <f>IF(D154&lt;&gt;"Valid","",SUM(E154:F154))</f>
        <v>#REF!</v>
      </c>
      <c r="K154" s="7" t="e">
        <f>IF(D154&lt;&gt;"Valid","",SUM(G154:I154))</f>
        <v>#REF!</v>
      </c>
      <c r="L154" s="7" t="e">
        <f>IF($D154&lt;&gt;"Valid",0,IFERROR(AVERAGE(#REF!,#REF!),0))</f>
        <v>#REF!</v>
      </c>
      <c r="M154" s="21" t="str">
        <f>IF(ISNUMBER(L154),_xlfn.RANK.EQ(L154,$L$2:$L$500,0),"")</f>
        <v/>
      </c>
      <c r="N154" s="7" t="e">
        <f>IF(L154=0,
"Not Assessed",
IF(L154&gt;=0.85,"Very High Performance",
IF(L154&gt;=0.7,"High Performance",
IF(L154&gt;=0.55,"Moderate Performance",
IF(L154&gt;=0.4,"Low Performance",
"Very Low Performance")))))</f>
        <v>#REF!</v>
      </c>
      <c r="O154" s="7" t="e">
        <f>IF($L154=0,
"Failed minimum data validation; requires contextual review in FSF.",
"Ready for contextual review in FSF.")</f>
        <v>#REF!</v>
      </c>
    </row>
    <row r="155" spans="1:15" hidden="1">
      <c r="A155" s="7" t="e">
        <f>#REF!</f>
        <v>#REF!</v>
      </c>
      <c r="B155" s="7" t="e">
        <f>#REF!</f>
        <v>#REF!</v>
      </c>
      <c r="C155" s="7" t="e">
        <f>#REF!</f>
        <v>#REF!</v>
      </c>
      <c r="D155" s="7" t="e">
        <f>#REF!</f>
        <v>#REF!</v>
      </c>
      <c r="E155" s="7" t="e">
        <f>#REF!</f>
        <v>#REF!</v>
      </c>
      <c r="F155" s="7" t="e">
        <f>#REF!</f>
        <v>#REF!</v>
      </c>
      <c r="G155" s="7" t="e">
        <f>#REF!</f>
        <v>#REF!</v>
      </c>
      <c r="H155" s="7" t="e">
        <f>#REF!</f>
        <v>#REF!</v>
      </c>
      <c r="I155" s="7" t="e">
        <f>#REF!</f>
        <v>#REF!</v>
      </c>
      <c r="J155" s="7" t="e">
        <f>IF(D155&lt;&gt;"Valid","",SUM(E155:F155))</f>
        <v>#REF!</v>
      </c>
      <c r="K155" s="7" t="e">
        <f>IF(D155&lt;&gt;"Valid","",SUM(G155:I155))</f>
        <v>#REF!</v>
      </c>
      <c r="L155" s="7" t="e">
        <f>IF(D155&lt;&gt;"Valid","",#REF!*0.4+#REF!*0.6)</f>
        <v>#REF!</v>
      </c>
      <c r="M155" s="7"/>
      <c r="N155" s="7" t="e">
        <f>IF(D155&lt;&gt;"Valid","Not Assessed (Insufficient Valid Data)",LOOKUP(L155,tblPerformanceCategory[Min],tblPerformanceCategory[Performance Category]))</f>
        <v>#REF!</v>
      </c>
      <c r="O155" s="7" t="e">
        <f>IF(D155="Valid","Yes","No")</f>
        <v>#REF!</v>
      </c>
    </row>
    <row r="156" spans="1:15" hidden="1">
      <c r="A156" s="7" t="e">
        <f>#REF!</f>
        <v>#REF!</v>
      </c>
      <c r="B156" s="7" t="e">
        <f>#REF!</f>
        <v>#REF!</v>
      </c>
      <c r="C156" s="7" t="e">
        <f>#REF!</f>
        <v>#REF!</v>
      </c>
      <c r="D156" s="7" t="e">
        <f>#REF!</f>
        <v>#REF!</v>
      </c>
      <c r="E156" s="7" t="e">
        <f>#REF!</f>
        <v>#REF!</v>
      </c>
      <c r="F156" s="7" t="e">
        <f>#REF!</f>
        <v>#REF!</v>
      </c>
      <c r="G156" s="7" t="e">
        <f>#REF!</f>
        <v>#REF!</v>
      </c>
      <c r="H156" s="7" t="e">
        <f>#REF!</f>
        <v>#REF!</v>
      </c>
      <c r="I156" s="7" t="e">
        <f>#REF!</f>
        <v>#REF!</v>
      </c>
      <c r="J156" s="7" t="e">
        <f>IF(D156&lt;&gt;"Valid","",SUM(E156:F156))</f>
        <v>#REF!</v>
      </c>
      <c r="K156" s="7" t="e">
        <f>IF(D156&lt;&gt;"Valid","",SUM(G156:I156))</f>
        <v>#REF!</v>
      </c>
      <c r="L156" s="7" t="e">
        <f>IF(D156&lt;&gt;"Valid","",#REF!*0.4+#REF!*0.6)</f>
        <v>#REF!</v>
      </c>
      <c r="M156" s="7"/>
      <c r="N156" s="7" t="e">
        <f>IF(D156&lt;&gt;"Valid","Not Assessed (Insufficient Valid Data)",LOOKUP(L156,tblPerformanceCategory[Min],tblPerformanceCategory[Performance Category]))</f>
        <v>#REF!</v>
      </c>
      <c r="O156" s="7" t="e">
        <f>IF(D156="Valid","Yes","No")</f>
        <v>#REF!</v>
      </c>
    </row>
    <row r="157" spans="1:15" hidden="1">
      <c r="A157" s="7" t="e">
        <f>#REF!</f>
        <v>#REF!</v>
      </c>
      <c r="B157" s="7" t="e">
        <f>#REF!</f>
        <v>#REF!</v>
      </c>
      <c r="C157" s="7" t="e">
        <f>#REF!</f>
        <v>#REF!</v>
      </c>
      <c r="D157" s="7" t="e">
        <f>#REF!</f>
        <v>#REF!</v>
      </c>
      <c r="E157" s="7" t="e">
        <f>#REF!</f>
        <v>#REF!</v>
      </c>
      <c r="F157" s="7" t="e">
        <f>#REF!</f>
        <v>#REF!</v>
      </c>
      <c r="G157" s="7" t="e">
        <f>#REF!</f>
        <v>#REF!</v>
      </c>
      <c r="H157" s="7" t="e">
        <f>#REF!</f>
        <v>#REF!</v>
      </c>
      <c r="I157" s="7" t="e">
        <f>#REF!</f>
        <v>#REF!</v>
      </c>
      <c r="J157" s="7" t="e">
        <f>IF(D157&lt;&gt;"Valid","",SUM(E157:F157))</f>
        <v>#REF!</v>
      </c>
      <c r="K157" s="7" t="e">
        <f>IF(D157&lt;&gt;"Valid","",SUM(G157:I157))</f>
        <v>#REF!</v>
      </c>
      <c r="L157" s="7" t="e">
        <f>IF(D157&lt;&gt;"Valid","",#REF!*0.4+#REF!*0.6)</f>
        <v>#REF!</v>
      </c>
      <c r="M157" s="7"/>
      <c r="N157" s="7" t="e">
        <f>IF(D157&lt;&gt;"Valid","Not Assessed (Insufficient Valid Data)",LOOKUP(L157,tblPerformanceCategory[Min],tblPerformanceCategory[Performance Category]))</f>
        <v>#REF!</v>
      </c>
      <c r="O157" s="7" t="e">
        <f>IF(D157="Valid","Yes","No")</f>
        <v>#REF!</v>
      </c>
    </row>
    <row r="158" spans="1:15" ht="42" customHeight="1">
      <c r="A158" s="7" t="str">
        <f>Derived_Indicators!A158</f>
        <v>Abuja Municipal Area Council</v>
      </c>
      <c r="B158" s="7" t="str">
        <f>Derived_Indicators!B158</f>
        <v>Gui Ward</v>
      </c>
      <c r="C158" s="7" t="str">
        <f>Derived_Indicators!C158</f>
        <v>Iddo Pada Primary Health Care Centre</v>
      </c>
      <c r="D158" s="7" t="str">
        <f>Derived_Indicators!Q158</f>
        <v>Invalid</v>
      </c>
      <c r="E158" s="23">
        <f>Derived_Indicators!D158</f>
        <v>0.97499999999999998</v>
      </c>
      <c r="F158" s="23">
        <f>Derived_Indicators!E158</f>
        <v>0.9</v>
      </c>
      <c r="G158" s="23">
        <f>Derived_Indicators!K158</f>
        <v>1.0984555984555984</v>
      </c>
      <c r="H158" s="23">
        <f>Derived_Indicators!M158</f>
        <v>0.53198653198653201</v>
      </c>
      <c r="I158" s="23">
        <f>Derived_Indicators!N158</f>
        <v>0.13468013468013468</v>
      </c>
      <c r="J158" s="23" t="str">
        <f>IF($D158&lt;&gt;"Valid","",AVERAGE(E158:F158))</f>
        <v/>
      </c>
      <c r="K158" s="23" t="str">
        <f>IF($D158&lt;&gt;"Valid","",AVERAGE(G158:I158))</f>
        <v/>
      </c>
      <c r="L158" s="23" t="str">
        <f>IF($D158&lt;&gt;"Valid","",AVERAGE(J158,K158))</f>
        <v/>
      </c>
      <c r="M158" s="21" t="str">
        <f>IF(AND($D158="Valid",ISNUMBER(L158)),RANK(L158,$L$2:$L$500,0),"")</f>
        <v/>
      </c>
      <c r="N158" s="7" t="str">
        <f>IF(L158="",
"Not Assessed",
IF(L158&gt;=0.85,"Excellent",
IF(L158&gt;=0.7,"Good",
IF(L158&gt;=0.55,"Moderate",
IF(L158&gt;=0.4,"Low",
"Very Low")))))</f>
        <v>Not Assessed</v>
      </c>
      <c r="O158" s="7" t="str">
        <f>IF($D158&lt;&gt;"Valid",
"Failed data validation; excluded from HFSI and requires contextual review in the Health Facility Selection Framework (HFSF).",
"Eligible for contextual assessment using the Health Facility Selection Framework (HFSF).")</f>
        <v>Failed data validation; excluded from HFSI and requires contextual review in the Health Facility Selection Framework (HFSF).</v>
      </c>
    </row>
    <row r="159" spans="1:15" ht="42" hidden="1" customHeight="1">
      <c r="A159" s="7" t="e">
        <f>#REF!</f>
        <v>#REF!</v>
      </c>
      <c r="B159" s="7" t="e">
        <f>#REF!</f>
        <v>#REF!</v>
      </c>
      <c r="C159" s="7" t="e">
        <f>#REF!</f>
        <v>#REF!</v>
      </c>
      <c r="D159" s="7" t="e">
        <f>#REF!</f>
        <v>#REF!</v>
      </c>
      <c r="E159" s="7" t="e">
        <f>#REF!</f>
        <v>#REF!</v>
      </c>
      <c r="F159" s="7" t="e">
        <f>#REF!</f>
        <v>#REF!</v>
      </c>
      <c r="G159" s="7" t="e">
        <f>#REF!</f>
        <v>#REF!</v>
      </c>
      <c r="H159" s="7" t="e">
        <f>#REF!</f>
        <v>#REF!</v>
      </c>
      <c r="I159" s="7" t="e">
        <f>#REF!</f>
        <v>#REF!</v>
      </c>
      <c r="J159" s="7" t="e">
        <f t="shared" ref="J159:J171" si="44">IF(D159&lt;&gt;"Valid","",SUM(E159:F159))</f>
        <v>#REF!</v>
      </c>
      <c r="K159" s="7" t="e">
        <f t="shared" ref="K159:K171" si="45">IF(D159&lt;&gt;"Valid","",SUM(G159:I159))</f>
        <v>#REF!</v>
      </c>
      <c r="L159" s="7" t="e">
        <f>IF($D159&lt;&gt;"Valid",0,IFERROR(AVERAGE(#REF!,#REF!),0))</f>
        <v>#REF!</v>
      </c>
      <c r="M159" s="21" t="str">
        <f>IF(ISNUMBER(L159),_xlfn.RANK.EQ(L159,$L$2:$L$500,0),"")</f>
        <v/>
      </c>
      <c r="N159" s="7" t="e">
        <f>IF(L159=0,
"Not Assessed",
IF(L159&gt;=0.85,"Very High Performance",
IF(L159&gt;=0.7,"High Performance",
IF(L159&gt;=0.55,"Moderate Performance",
IF(L159&gt;=0.4,"Low Performance",
"Very Low Performance")))))</f>
        <v>#REF!</v>
      </c>
      <c r="O159" s="7" t="e">
        <f>IF($L159=0,
"Failed minimum data validation; requires contextual review in FSF.",
"Ready for contextual review in FSF.")</f>
        <v>#REF!</v>
      </c>
    </row>
    <row r="160" spans="1:15" ht="42" hidden="1" customHeight="1">
      <c r="A160" s="7" t="e">
        <f>#REF!</f>
        <v>#REF!</v>
      </c>
      <c r="B160" s="7" t="e">
        <f>#REF!</f>
        <v>#REF!</v>
      </c>
      <c r="C160" s="7" t="e">
        <f>#REF!</f>
        <v>#REF!</v>
      </c>
      <c r="D160" s="7" t="e">
        <f>#REF!</f>
        <v>#REF!</v>
      </c>
      <c r="E160" s="7" t="e">
        <f>#REF!</f>
        <v>#REF!</v>
      </c>
      <c r="F160" s="7" t="e">
        <f>#REF!</f>
        <v>#REF!</v>
      </c>
      <c r="G160" s="7" t="e">
        <f>#REF!</f>
        <v>#REF!</v>
      </c>
      <c r="H160" s="7" t="e">
        <f>#REF!</f>
        <v>#REF!</v>
      </c>
      <c r="I160" s="7" t="e">
        <f>#REF!</f>
        <v>#REF!</v>
      </c>
      <c r="J160" s="7" t="e">
        <f t="shared" si="44"/>
        <v>#REF!</v>
      </c>
      <c r="K160" s="7" t="e">
        <f t="shared" si="45"/>
        <v>#REF!</v>
      </c>
      <c r="L160" s="7" t="e">
        <f>IF($D160&lt;&gt;"Valid",0,IFERROR(AVERAGE(#REF!,#REF!),0))</f>
        <v>#REF!</v>
      </c>
      <c r="M160" s="21" t="str">
        <f>IF(ISNUMBER(L160),_xlfn.RANK.EQ(L160,$L$2:$L$500,0),"")</f>
        <v/>
      </c>
      <c r="N160" s="7" t="e">
        <f>IF(L160=0,
"Not Assessed",
IF(L160&gt;=0.85,"Very High Performance",
IF(L160&gt;=0.7,"High Performance",
IF(L160&gt;=0.55,"Moderate Performance",
IF(L160&gt;=0.4,"Low Performance",
"Very Low Performance")))))</f>
        <v>#REF!</v>
      </c>
      <c r="O160" s="7" t="e">
        <f>IF($L160=0,
"Failed minimum data validation; requires contextual review in FSF.",
"Ready for contextual review in FSF.")</f>
        <v>#REF!</v>
      </c>
    </row>
    <row r="161" spans="1:15" hidden="1">
      <c r="A161" s="7" t="e">
        <f>#REF!</f>
        <v>#REF!</v>
      </c>
      <c r="B161" s="7" t="e">
        <f>#REF!</f>
        <v>#REF!</v>
      </c>
      <c r="C161" s="7" t="e">
        <f>#REF!</f>
        <v>#REF!</v>
      </c>
      <c r="D161" s="7" t="e">
        <f>#REF!</f>
        <v>#REF!</v>
      </c>
      <c r="E161" s="7" t="e">
        <f>#REF!</f>
        <v>#REF!</v>
      </c>
      <c r="F161" s="7" t="e">
        <f>#REF!</f>
        <v>#REF!</v>
      </c>
      <c r="G161" s="7" t="e">
        <f>#REF!</f>
        <v>#REF!</v>
      </c>
      <c r="H161" s="7" t="e">
        <f>#REF!</f>
        <v>#REF!</v>
      </c>
      <c r="I161" s="7" t="e">
        <f>#REF!</f>
        <v>#REF!</v>
      </c>
      <c r="J161" s="7" t="e">
        <f t="shared" si="44"/>
        <v>#REF!</v>
      </c>
      <c r="K161" s="7" t="e">
        <f t="shared" si="45"/>
        <v>#REF!</v>
      </c>
      <c r="L161" s="7" t="e">
        <f>IF(D161&lt;&gt;"Valid","",#REF!*0.4+#REF!*0.6)</f>
        <v>#REF!</v>
      </c>
      <c r="M161" s="7"/>
      <c r="N161" s="7" t="e">
        <f>IF(D161&lt;&gt;"Valid","Not Assessed (Insufficient Valid Data)",LOOKUP(L161,tblPerformanceCategory[Min],tblPerformanceCategory[Performance Category]))</f>
        <v>#REF!</v>
      </c>
      <c r="O161" s="7" t="e">
        <f>IF(D161="Valid","Yes","No")</f>
        <v>#REF!</v>
      </c>
    </row>
    <row r="162" spans="1:15" hidden="1">
      <c r="A162" s="7" t="e">
        <f>#REF!</f>
        <v>#REF!</v>
      </c>
      <c r="B162" s="7" t="e">
        <f>#REF!</f>
        <v>#REF!</v>
      </c>
      <c r="C162" s="7" t="e">
        <f>#REF!</f>
        <v>#REF!</v>
      </c>
      <c r="D162" s="7" t="e">
        <f>#REF!</f>
        <v>#REF!</v>
      </c>
      <c r="E162" s="7" t="e">
        <f>#REF!</f>
        <v>#REF!</v>
      </c>
      <c r="F162" s="7" t="e">
        <f>#REF!</f>
        <v>#REF!</v>
      </c>
      <c r="G162" s="7" t="e">
        <f>#REF!</f>
        <v>#REF!</v>
      </c>
      <c r="H162" s="7" t="e">
        <f>#REF!</f>
        <v>#REF!</v>
      </c>
      <c r="I162" s="7" t="e">
        <f>#REF!</f>
        <v>#REF!</v>
      </c>
      <c r="J162" s="7" t="e">
        <f t="shared" si="44"/>
        <v>#REF!</v>
      </c>
      <c r="K162" s="7" t="e">
        <f t="shared" si="45"/>
        <v>#REF!</v>
      </c>
      <c r="L162" s="7" t="e">
        <f>IF(D162&lt;&gt;"Valid","",#REF!*0.4+#REF!*0.6)</f>
        <v>#REF!</v>
      </c>
      <c r="M162" s="7"/>
      <c r="N162" s="7" t="e">
        <f>IF(D162&lt;&gt;"Valid","Not Assessed (Insufficient Valid Data)",LOOKUP(L162,tblPerformanceCategory[Min],tblPerformanceCategory[Performance Category]))</f>
        <v>#REF!</v>
      </c>
      <c r="O162" s="7" t="e">
        <f>IF(D162="Valid","Yes","No")</f>
        <v>#REF!</v>
      </c>
    </row>
    <row r="163" spans="1:15" hidden="1">
      <c r="A163" s="7" t="e">
        <f>#REF!</f>
        <v>#REF!</v>
      </c>
      <c r="B163" s="7" t="e">
        <f>#REF!</f>
        <v>#REF!</v>
      </c>
      <c r="C163" s="7" t="e">
        <f>#REF!</f>
        <v>#REF!</v>
      </c>
      <c r="D163" s="7" t="e">
        <f>#REF!</f>
        <v>#REF!</v>
      </c>
      <c r="E163" s="7" t="e">
        <f>#REF!</f>
        <v>#REF!</v>
      </c>
      <c r="F163" s="7" t="e">
        <f>#REF!</f>
        <v>#REF!</v>
      </c>
      <c r="G163" s="7" t="e">
        <f>#REF!</f>
        <v>#REF!</v>
      </c>
      <c r="H163" s="7" t="e">
        <f>#REF!</f>
        <v>#REF!</v>
      </c>
      <c r="I163" s="7" t="e">
        <f>#REF!</f>
        <v>#REF!</v>
      </c>
      <c r="J163" s="7" t="e">
        <f t="shared" si="44"/>
        <v>#REF!</v>
      </c>
      <c r="K163" s="7" t="e">
        <f t="shared" si="45"/>
        <v>#REF!</v>
      </c>
      <c r="L163" s="7" t="e">
        <f>IF(D163&lt;&gt;"Valid","",#REF!*0.4+#REF!*0.6)</f>
        <v>#REF!</v>
      </c>
      <c r="M163" s="7"/>
      <c r="N163" s="7" t="e">
        <f>IF(D163&lt;&gt;"Valid","Not Assessed (Insufficient Valid Data)",LOOKUP(L163,tblPerformanceCategory[Min],tblPerformanceCategory[Performance Category]))</f>
        <v>#REF!</v>
      </c>
      <c r="O163" s="7" t="e">
        <f>IF(D163="Valid","Yes","No")</f>
        <v>#REF!</v>
      </c>
    </row>
    <row r="164" spans="1:15" hidden="1">
      <c r="A164" s="7" t="e">
        <f>#REF!</f>
        <v>#REF!</v>
      </c>
      <c r="B164" s="7" t="e">
        <f>#REF!</f>
        <v>#REF!</v>
      </c>
      <c r="C164" s="7" t="e">
        <f>#REF!</f>
        <v>#REF!</v>
      </c>
      <c r="D164" s="7" t="e">
        <f>#REF!</f>
        <v>#REF!</v>
      </c>
      <c r="E164" s="7" t="e">
        <f>#REF!</f>
        <v>#REF!</v>
      </c>
      <c r="F164" s="7" t="e">
        <f>#REF!</f>
        <v>#REF!</v>
      </c>
      <c r="G164" s="7" t="e">
        <f>#REF!</f>
        <v>#REF!</v>
      </c>
      <c r="H164" s="7" t="e">
        <f>#REF!</f>
        <v>#REF!</v>
      </c>
      <c r="I164" s="7" t="e">
        <f>#REF!</f>
        <v>#REF!</v>
      </c>
      <c r="J164" s="7" t="e">
        <f t="shared" si="44"/>
        <v>#REF!</v>
      </c>
      <c r="K164" s="7" t="e">
        <f t="shared" si="45"/>
        <v>#REF!</v>
      </c>
      <c r="L164" s="7" t="e">
        <f>IF(D164&lt;&gt;"Valid","",#REF!*0.4+#REF!*0.6)</f>
        <v>#REF!</v>
      </c>
      <c r="M164" s="7"/>
      <c r="N164" s="7" t="e">
        <f>IF(D164&lt;&gt;"Valid","Not Assessed (Insufficient Valid Data)",LOOKUP(L164,tblPerformanceCategory[Min],tblPerformanceCategory[Performance Category]))</f>
        <v>#REF!</v>
      </c>
      <c r="O164" s="7" t="e">
        <f>IF(D164="Valid","Yes","No")</f>
        <v>#REF!</v>
      </c>
    </row>
    <row r="165" spans="1:15" ht="42" hidden="1" customHeight="1">
      <c r="A165" s="7" t="e">
        <f>#REF!</f>
        <v>#REF!</v>
      </c>
      <c r="B165" s="7" t="e">
        <f>#REF!</f>
        <v>#REF!</v>
      </c>
      <c r="C165" s="7" t="e">
        <f>#REF!</f>
        <v>#REF!</v>
      </c>
      <c r="D165" s="7" t="e">
        <f>#REF!</f>
        <v>#REF!</v>
      </c>
      <c r="E165" s="7" t="e">
        <f>#REF!</f>
        <v>#REF!</v>
      </c>
      <c r="F165" s="7" t="e">
        <f>#REF!</f>
        <v>#REF!</v>
      </c>
      <c r="G165" s="7" t="e">
        <f>#REF!</f>
        <v>#REF!</v>
      </c>
      <c r="H165" s="7" t="e">
        <f>#REF!</f>
        <v>#REF!</v>
      </c>
      <c r="I165" s="7" t="e">
        <f>#REF!</f>
        <v>#REF!</v>
      </c>
      <c r="J165" s="7" t="e">
        <f t="shared" si="44"/>
        <v>#REF!</v>
      </c>
      <c r="K165" s="7" t="e">
        <f t="shared" si="45"/>
        <v>#REF!</v>
      </c>
      <c r="L165" s="7" t="e">
        <f>IF($D165&lt;&gt;"Valid",0,IFERROR(AVERAGE(#REF!,#REF!),0))</f>
        <v>#REF!</v>
      </c>
      <c r="M165" s="21" t="str">
        <f>IF(ISNUMBER(L165),_xlfn.RANK.EQ(L165,$L$2:$L$500,0),"")</f>
        <v/>
      </c>
      <c r="N165" s="7" t="e">
        <f>IF(L165=0,
"Not Assessed",
IF(L165&gt;=0.85,"Very High Performance",
IF(L165&gt;=0.7,"High Performance",
IF(L165&gt;=0.55,"Moderate Performance",
IF(L165&gt;=0.4,"Low Performance",
"Very Low Performance")))))</f>
        <v>#REF!</v>
      </c>
      <c r="O165" s="7" t="e">
        <f>IF($L165=0,
"Failed minimum data validation; requires contextual review in FSF.",
"Ready for contextual review in FSF.")</f>
        <v>#REF!</v>
      </c>
    </row>
    <row r="166" spans="1:15" ht="42" hidden="1" customHeight="1">
      <c r="A166" s="7" t="e">
        <f>#REF!</f>
        <v>#REF!</v>
      </c>
      <c r="B166" s="7" t="e">
        <f>#REF!</f>
        <v>#REF!</v>
      </c>
      <c r="C166" s="7" t="e">
        <f>#REF!</f>
        <v>#REF!</v>
      </c>
      <c r="D166" s="7" t="e">
        <f>#REF!</f>
        <v>#REF!</v>
      </c>
      <c r="E166" s="7" t="e">
        <f>#REF!</f>
        <v>#REF!</v>
      </c>
      <c r="F166" s="7" t="e">
        <f>#REF!</f>
        <v>#REF!</v>
      </c>
      <c r="G166" s="7" t="e">
        <f>#REF!</f>
        <v>#REF!</v>
      </c>
      <c r="H166" s="7" t="e">
        <f>#REF!</f>
        <v>#REF!</v>
      </c>
      <c r="I166" s="7" t="e">
        <f>#REF!</f>
        <v>#REF!</v>
      </c>
      <c r="J166" s="7" t="e">
        <f t="shared" si="44"/>
        <v>#REF!</v>
      </c>
      <c r="K166" s="7" t="e">
        <f t="shared" si="45"/>
        <v>#REF!</v>
      </c>
      <c r="L166" s="7" t="e">
        <f>IF($D166&lt;&gt;"Valid",0,IFERROR(AVERAGE(#REF!,#REF!),0))</f>
        <v>#REF!</v>
      </c>
      <c r="M166" s="21" t="str">
        <f>IF(ISNUMBER(L166),_xlfn.RANK.EQ(L166,$L$2:$L$500,0),"")</f>
        <v/>
      </c>
      <c r="N166" s="7" t="e">
        <f>IF(L166=0,
"Not Assessed",
IF(L166&gt;=0.85,"Very High Performance",
IF(L166&gt;=0.7,"High Performance",
IF(L166&gt;=0.55,"Moderate Performance",
IF(L166&gt;=0.4,"Low Performance",
"Very Low Performance")))))</f>
        <v>#REF!</v>
      </c>
      <c r="O166" s="7" t="e">
        <f>IF($L166=0,
"Failed minimum data validation; requires contextual review in FSF.",
"Ready for contextual review in FSF.")</f>
        <v>#REF!</v>
      </c>
    </row>
    <row r="167" spans="1:15" ht="42" hidden="1" customHeight="1">
      <c r="A167" s="7" t="e">
        <f>#REF!</f>
        <v>#REF!</v>
      </c>
      <c r="B167" s="7" t="e">
        <f>#REF!</f>
        <v>#REF!</v>
      </c>
      <c r="C167" s="7" t="e">
        <f>#REF!</f>
        <v>#REF!</v>
      </c>
      <c r="D167" s="7" t="e">
        <f>#REF!</f>
        <v>#REF!</v>
      </c>
      <c r="E167" s="7" t="e">
        <f>#REF!</f>
        <v>#REF!</v>
      </c>
      <c r="F167" s="7" t="e">
        <f>#REF!</f>
        <v>#REF!</v>
      </c>
      <c r="G167" s="7" t="e">
        <f>#REF!</f>
        <v>#REF!</v>
      </c>
      <c r="H167" s="7" t="e">
        <f>#REF!</f>
        <v>#REF!</v>
      </c>
      <c r="I167" s="7" t="e">
        <f>#REF!</f>
        <v>#REF!</v>
      </c>
      <c r="J167" s="7" t="e">
        <f t="shared" si="44"/>
        <v>#REF!</v>
      </c>
      <c r="K167" s="7" t="e">
        <f t="shared" si="45"/>
        <v>#REF!</v>
      </c>
      <c r="L167" s="7" t="e">
        <f>IF($D167&lt;&gt;"Valid",0,IFERROR(AVERAGE(#REF!,#REF!),0))</f>
        <v>#REF!</v>
      </c>
      <c r="M167" s="21" t="str">
        <f>IF(ISNUMBER(L167),_xlfn.RANK.EQ(L167,$L$2:$L$500,0),"")</f>
        <v/>
      </c>
      <c r="N167" s="7" t="e">
        <f>IF(L167=0,
"Not Assessed",
IF(L167&gt;=0.85,"Very High Performance",
IF(L167&gt;=0.7,"High Performance",
IF(L167&gt;=0.55,"Moderate Performance",
IF(L167&gt;=0.4,"Low Performance",
"Very Low Performance")))))</f>
        <v>#REF!</v>
      </c>
      <c r="O167" s="7" t="e">
        <f>IF($L167=0,
"Failed minimum data validation; requires contextual review in FSF.",
"Ready for contextual review in FSF.")</f>
        <v>#REF!</v>
      </c>
    </row>
    <row r="168" spans="1:15" hidden="1">
      <c r="A168" s="7" t="e">
        <f>#REF!</f>
        <v>#REF!</v>
      </c>
      <c r="B168" s="7" t="e">
        <f>#REF!</f>
        <v>#REF!</v>
      </c>
      <c r="C168" s="7" t="e">
        <f>#REF!</f>
        <v>#REF!</v>
      </c>
      <c r="D168" s="7" t="e">
        <f>#REF!</f>
        <v>#REF!</v>
      </c>
      <c r="E168" s="7" t="e">
        <f>#REF!</f>
        <v>#REF!</v>
      </c>
      <c r="F168" s="7" t="e">
        <f>#REF!</f>
        <v>#REF!</v>
      </c>
      <c r="G168" s="7" t="e">
        <f>#REF!</f>
        <v>#REF!</v>
      </c>
      <c r="H168" s="7" t="e">
        <f>#REF!</f>
        <v>#REF!</v>
      </c>
      <c r="I168" s="7" t="e">
        <f>#REF!</f>
        <v>#REF!</v>
      </c>
      <c r="J168" s="7" t="e">
        <f t="shared" si="44"/>
        <v>#REF!</v>
      </c>
      <c r="K168" s="7" t="e">
        <f t="shared" si="45"/>
        <v>#REF!</v>
      </c>
      <c r="L168" s="7" t="e">
        <f>IF(D168&lt;&gt;"Valid","",#REF!*0.4+#REF!*0.6)</f>
        <v>#REF!</v>
      </c>
      <c r="M168" s="7"/>
      <c r="N168" s="7" t="e">
        <f>IF(D168&lt;&gt;"Valid","Not Assessed (Insufficient Valid Data)",LOOKUP(L168,tblPerformanceCategory[Min],tblPerformanceCategory[Performance Category]))</f>
        <v>#REF!</v>
      </c>
      <c r="O168" s="7" t="e">
        <f>IF(D168="Valid","Yes","No")</f>
        <v>#REF!</v>
      </c>
    </row>
    <row r="169" spans="1:15" hidden="1">
      <c r="A169" s="7" t="e">
        <f>#REF!</f>
        <v>#REF!</v>
      </c>
      <c r="B169" s="7" t="e">
        <f>#REF!</f>
        <v>#REF!</v>
      </c>
      <c r="C169" s="7" t="e">
        <f>#REF!</f>
        <v>#REF!</v>
      </c>
      <c r="D169" s="7" t="e">
        <f>#REF!</f>
        <v>#REF!</v>
      </c>
      <c r="E169" s="7" t="e">
        <f>#REF!</f>
        <v>#REF!</v>
      </c>
      <c r="F169" s="7" t="e">
        <f>#REF!</f>
        <v>#REF!</v>
      </c>
      <c r="G169" s="7" t="e">
        <f>#REF!</f>
        <v>#REF!</v>
      </c>
      <c r="H169" s="7" t="e">
        <f>#REF!</f>
        <v>#REF!</v>
      </c>
      <c r="I169" s="7" t="e">
        <f>#REF!</f>
        <v>#REF!</v>
      </c>
      <c r="J169" s="7" t="e">
        <f t="shared" si="44"/>
        <v>#REF!</v>
      </c>
      <c r="K169" s="7" t="e">
        <f t="shared" si="45"/>
        <v>#REF!</v>
      </c>
      <c r="L169" s="7" t="e">
        <f>IF(D169&lt;&gt;"Valid","",#REF!*0.4+#REF!*0.6)</f>
        <v>#REF!</v>
      </c>
      <c r="M169" s="7"/>
      <c r="N169" s="7" t="e">
        <f>IF(D169&lt;&gt;"Valid","Not Assessed (Insufficient Valid Data)",LOOKUP(L169,tblPerformanceCategory[Min],tblPerformanceCategory[Performance Category]))</f>
        <v>#REF!</v>
      </c>
      <c r="O169" s="7" t="e">
        <f>IF(D169="Valid","Yes","No")</f>
        <v>#REF!</v>
      </c>
    </row>
    <row r="170" spans="1:15" ht="42" hidden="1" customHeight="1">
      <c r="A170" s="7" t="e">
        <f>#REF!</f>
        <v>#REF!</v>
      </c>
      <c r="B170" s="7" t="e">
        <f>#REF!</f>
        <v>#REF!</v>
      </c>
      <c r="C170" s="7" t="e">
        <f>#REF!</f>
        <v>#REF!</v>
      </c>
      <c r="D170" s="7" t="e">
        <f>#REF!</f>
        <v>#REF!</v>
      </c>
      <c r="E170" s="7" t="e">
        <f>#REF!</f>
        <v>#REF!</v>
      </c>
      <c r="F170" s="7" t="e">
        <f>#REF!</f>
        <v>#REF!</v>
      </c>
      <c r="G170" s="7" t="e">
        <f>#REF!</f>
        <v>#REF!</v>
      </c>
      <c r="H170" s="7" t="e">
        <f>#REF!</f>
        <v>#REF!</v>
      </c>
      <c r="I170" s="7" t="e">
        <f>#REF!</f>
        <v>#REF!</v>
      </c>
      <c r="J170" s="7" t="e">
        <f t="shared" si="44"/>
        <v>#REF!</v>
      </c>
      <c r="K170" s="7" t="e">
        <f t="shared" si="45"/>
        <v>#REF!</v>
      </c>
      <c r="L170" s="7" t="e">
        <f>IF($D170&lt;&gt;"Valid",0,IFERROR(AVERAGE(#REF!,#REF!),0))</f>
        <v>#REF!</v>
      </c>
      <c r="M170" s="21" t="str">
        <f>IF(ISNUMBER(L170),_xlfn.RANK.EQ(L170,$L$2:$L$500,0),"")</f>
        <v/>
      </c>
      <c r="N170" s="7" t="e">
        <f>IF(L170=0,
"Not Assessed",
IF(L170&gt;=0.85,"Very High Performance",
IF(L170&gt;=0.7,"High Performance",
IF(L170&gt;=0.55,"Moderate Performance",
IF(L170&gt;=0.4,"Low Performance",
"Very Low Performance")))))</f>
        <v>#REF!</v>
      </c>
      <c r="O170" s="7" t="e">
        <f>IF($L170=0,
"Failed minimum data validation; requires contextual review in FSF.",
"Ready for contextual review in FSF.")</f>
        <v>#REF!</v>
      </c>
    </row>
    <row r="171" spans="1:15" ht="42" hidden="1" customHeight="1">
      <c r="A171" s="7" t="e">
        <f>#REF!</f>
        <v>#REF!</v>
      </c>
      <c r="B171" s="7" t="e">
        <f>#REF!</f>
        <v>#REF!</v>
      </c>
      <c r="C171" s="7" t="e">
        <f>#REF!</f>
        <v>#REF!</v>
      </c>
      <c r="D171" s="7" t="e">
        <f>#REF!</f>
        <v>#REF!</v>
      </c>
      <c r="E171" s="7" t="e">
        <f>#REF!</f>
        <v>#REF!</v>
      </c>
      <c r="F171" s="7" t="e">
        <f>#REF!</f>
        <v>#REF!</v>
      </c>
      <c r="G171" s="7" t="e">
        <f>#REF!</f>
        <v>#REF!</v>
      </c>
      <c r="H171" s="7" t="e">
        <f>#REF!</f>
        <v>#REF!</v>
      </c>
      <c r="I171" s="7" t="e">
        <f>#REF!</f>
        <v>#REF!</v>
      </c>
      <c r="J171" s="7" t="e">
        <f t="shared" si="44"/>
        <v>#REF!</v>
      </c>
      <c r="K171" s="7" t="e">
        <f t="shared" si="45"/>
        <v>#REF!</v>
      </c>
      <c r="L171" s="7" t="e">
        <f>IF($D171&lt;&gt;"Valid",0,IFERROR(AVERAGE(#REF!,#REF!),0))</f>
        <v>#REF!</v>
      </c>
      <c r="M171" s="21" t="str">
        <f>IF(ISNUMBER(L171),_xlfn.RANK.EQ(L171,$L$2:$L$500,0),"")</f>
        <v/>
      </c>
      <c r="N171" s="7" t="e">
        <f>IF(L171=0,
"Not Assessed",
IF(L171&gt;=0.85,"Very High Performance",
IF(L171&gt;=0.7,"High Performance",
IF(L171&gt;=0.55,"Moderate Performance",
IF(L171&gt;=0.4,"Low Performance",
"Very Low Performance")))))</f>
        <v>#REF!</v>
      </c>
      <c r="O171" s="7" t="e">
        <f>IF($L171=0,
"Failed minimum data validation; requires contextual review in FSF.",
"Ready for contextual review in FSF.")</f>
        <v>#REF!</v>
      </c>
    </row>
    <row r="172" spans="1:15" ht="42" customHeight="1">
      <c r="A172" s="7" t="str">
        <f>Derived_Indicators!A172</f>
        <v>Bwari Local Government Area</v>
      </c>
      <c r="B172" s="7" t="str">
        <f>Derived_Indicators!B172</f>
        <v>Dutse Ward</v>
      </c>
      <c r="C172" s="7" t="str">
        <f>Derived_Indicators!C172</f>
        <v>Jikoko Primary Health Clinic</v>
      </c>
      <c r="D172" s="7" t="str">
        <f>Derived_Indicators!Q172</f>
        <v>Valid</v>
      </c>
      <c r="E172" s="23">
        <f>Derived_Indicators!D172</f>
        <v>0.96875</v>
      </c>
      <c r="F172" s="23">
        <f>Derived_Indicators!E172</f>
        <v>0.5</v>
      </c>
      <c r="G172" s="23">
        <f>Derived_Indicators!K172</f>
        <v>0.8314606741573034</v>
      </c>
      <c r="H172" s="23">
        <f>Derived_Indicators!M172</f>
        <v>0.81481481481481477</v>
      </c>
      <c r="I172" s="23">
        <f>Derived_Indicators!N172</f>
        <v>0.62962962962962965</v>
      </c>
      <c r="J172" s="23">
        <f t="shared" ref="J172:J173" si="46">IF($D172&lt;&gt;"Valid","",AVERAGE(E172:F172))</f>
        <v>0.734375</v>
      </c>
      <c r="K172" s="23">
        <f t="shared" ref="K172:K173" si="47">IF($D172&lt;&gt;"Valid","",AVERAGE(G172:I172))</f>
        <v>0.75863503953391598</v>
      </c>
      <c r="L172" s="23">
        <f t="shared" ref="L172:L173" si="48">IF($D172&lt;&gt;"Valid","",AVERAGE(J172,K172))</f>
        <v>0.74650501976695804</v>
      </c>
      <c r="M172" s="21" t="e">
        <f t="shared" ref="M172:M173" si="49">IF(AND($D172="Valid",ISNUMBER(L172)),RANK(L172,$L$2:$L$500,0),"")</f>
        <v>#REF!</v>
      </c>
      <c r="N172" s="7" t="str">
        <f t="shared" ref="N172:N173" si="50">IF(L172="",
"Not Assessed",
IF(L172&gt;=0.85,"Excellent",
IF(L172&gt;=0.7,"Good",
IF(L172&gt;=0.55,"Moderate",
IF(L172&gt;=0.4,"Low",
"Very Low")))))</f>
        <v>Good</v>
      </c>
      <c r="O172" s="7" t="str">
        <f t="shared" ref="O172:O173" si="51">IF($D172&lt;&gt;"Valid",
"Failed data validation; excluded from HFSI and requires contextual review in the Health Facility Selection Framework (HFSF).",
"Eligible for contextual assessment using the Health Facility Selection Framework (HFSF).")</f>
        <v>Eligible for contextual assessment using the Health Facility Selection Framework (HFSF).</v>
      </c>
    </row>
    <row r="173" spans="1:15" ht="42" customHeight="1">
      <c r="A173" s="7" t="str">
        <f>Derived_Indicators!A173</f>
        <v>Abuja Municipal Area Council</v>
      </c>
      <c r="B173" s="7" t="str">
        <f>Derived_Indicators!B173</f>
        <v>Karu Ward</v>
      </c>
      <c r="C173" s="7" t="str">
        <f>Derived_Indicators!C173</f>
        <v>Jikoyi Medical Center</v>
      </c>
      <c r="D173" s="7" t="str">
        <f>Derived_Indicators!Q173</f>
        <v>Invalid</v>
      </c>
      <c r="E173" s="23">
        <f>Derived_Indicators!D173</f>
        <v>1</v>
      </c>
      <c r="F173" s="23" t="str">
        <f>Derived_Indicators!E173</f>
        <v/>
      </c>
      <c r="G173" s="23">
        <f>Derived_Indicators!K173</f>
        <v>0.59518072289156632</v>
      </c>
      <c r="H173" s="23">
        <f>Derived_Indicators!M173</f>
        <v>1.1891891891891893</v>
      </c>
      <c r="I173" s="23">
        <f>Derived_Indicators!N173</f>
        <v>0.59459459459459463</v>
      </c>
      <c r="J173" s="23" t="str">
        <f t="shared" si="46"/>
        <v/>
      </c>
      <c r="K173" s="23" t="str">
        <f t="shared" si="47"/>
        <v/>
      </c>
      <c r="L173" s="23" t="str">
        <f t="shared" si="48"/>
        <v/>
      </c>
      <c r="M173" s="21" t="str">
        <f t="shared" si="49"/>
        <v/>
      </c>
      <c r="N173" s="7" t="str">
        <f t="shared" si="50"/>
        <v>Not Assessed</v>
      </c>
      <c r="O173" s="7" t="str">
        <f t="shared" si="51"/>
        <v>Failed data validation; excluded from HFSI and requires contextual review in the Health Facility Selection Framework (HFSF).</v>
      </c>
    </row>
    <row r="174" spans="1:15" ht="42" hidden="1" customHeight="1">
      <c r="A174" s="7" t="e">
        <f>#REF!</f>
        <v>#REF!</v>
      </c>
      <c r="B174" s="7" t="e">
        <f>#REF!</f>
        <v>#REF!</v>
      </c>
      <c r="C174" s="7" t="e">
        <f>#REF!</f>
        <v>#REF!</v>
      </c>
      <c r="D174" s="7" t="e">
        <f>#REF!</f>
        <v>#REF!</v>
      </c>
      <c r="E174" s="7" t="e">
        <f>#REF!</f>
        <v>#REF!</v>
      </c>
      <c r="F174" s="7" t="e">
        <f>#REF!</f>
        <v>#REF!</v>
      </c>
      <c r="G174" s="7" t="e">
        <f>#REF!</f>
        <v>#REF!</v>
      </c>
      <c r="H174" s="7" t="e">
        <f>#REF!</f>
        <v>#REF!</v>
      </c>
      <c r="I174" s="7" t="e">
        <f>#REF!</f>
        <v>#REF!</v>
      </c>
      <c r="J174" s="7" t="e">
        <f t="shared" ref="J174:J183" si="52">IF(D174&lt;&gt;"Valid","",SUM(E174:F174))</f>
        <v>#REF!</v>
      </c>
      <c r="K174" s="7" t="e">
        <f t="shared" ref="K174:K183" si="53">IF(D174&lt;&gt;"Valid","",SUM(G174:I174))</f>
        <v>#REF!</v>
      </c>
      <c r="L174" s="7" t="e">
        <f>IF($D174&lt;&gt;"Valid",0,IFERROR(AVERAGE(#REF!,#REF!),0))</f>
        <v>#REF!</v>
      </c>
      <c r="M174" s="21" t="str">
        <f>IF(ISNUMBER(L174),_xlfn.RANK.EQ(L174,$L$2:$L$500,0),"")</f>
        <v/>
      </c>
      <c r="N174" s="7" t="e">
        <f>IF(L174=0,
"Not Assessed",
IF(L174&gt;=0.85,"Very High Performance",
IF(L174&gt;=0.7,"High Performance",
IF(L174&gt;=0.55,"Moderate Performance",
IF(L174&gt;=0.4,"Low Performance",
"Very Low Performance")))))</f>
        <v>#REF!</v>
      </c>
      <c r="O174" s="7" t="e">
        <f>IF($L174=0,
"Failed minimum data validation; requires contextual review in FSF.",
"Ready for contextual review in FSF.")</f>
        <v>#REF!</v>
      </c>
    </row>
    <row r="175" spans="1:15" ht="42" hidden="1" customHeight="1">
      <c r="A175" s="7" t="e">
        <f>#REF!</f>
        <v>#REF!</v>
      </c>
      <c r="B175" s="7" t="e">
        <f>#REF!</f>
        <v>#REF!</v>
      </c>
      <c r="C175" s="7" t="e">
        <f>#REF!</f>
        <v>#REF!</v>
      </c>
      <c r="D175" s="7" t="e">
        <f>#REF!</f>
        <v>#REF!</v>
      </c>
      <c r="E175" s="7" t="e">
        <f>#REF!</f>
        <v>#REF!</v>
      </c>
      <c r="F175" s="7" t="e">
        <f>#REF!</f>
        <v>#REF!</v>
      </c>
      <c r="G175" s="7" t="e">
        <f>#REF!</f>
        <v>#REF!</v>
      </c>
      <c r="H175" s="7" t="e">
        <f>#REF!</f>
        <v>#REF!</v>
      </c>
      <c r="I175" s="7" t="e">
        <f>#REF!</f>
        <v>#REF!</v>
      </c>
      <c r="J175" s="7" t="e">
        <f t="shared" si="52"/>
        <v>#REF!</v>
      </c>
      <c r="K175" s="7" t="e">
        <f t="shared" si="53"/>
        <v>#REF!</v>
      </c>
      <c r="L175" s="7" t="e">
        <f>IF($D175&lt;&gt;"Valid",0,IFERROR(AVERAGE(#REF!,#REF!),0))</f>
        <v>#REF!</v>
      </c>
      <c r="M175" s="21" t="str">
        <f>IF(ISNUMBER(L175),_xlfn.RANK.EQ(L175,$L$2:$L$500,0),"")</f>
        <v/>
      </c>
      <c r="N175" s="7" t="e">
        <f>IF(L175=0,
"Not Assessed",
IF(L175&gt;=0.85,"Very High Performance",
IF(L175&gt;=0.7,"High Performance",
IF(L175&gt;=0.55,"Moderate Performance",
IF(L175&gt;=0.4,"Low Performance",
"Very Low Performance")))))</f>
        <v>#REF!</v>
      </c>
      <c r="O175" s="7" t="e">
        <f>IF($L175=0,
"Failed minimum data validation; requires contextual review in FSF.",
"Ready for contextual review in FSF.")</f>
        <v>#REF!</v>
      </c>
    </row>
    <row r="176" spans="1:15" hidden="1">
      <c r="A176" s="7" t="e">
        <f>#REF!</f>
        <v>#REF!</v>
      </c>
      <c r="B176" s="7" t="e">
        <f>#REF!</f>
        <v>#REF!</v>
      </c>
      <c r="C176" s="7" t="e">
        <f>#REF!</f>
        <v>#REF!</v>
      </c>
      <c r="D176" s="7" t="e">
        <f>#REF!</f>
        <v>#REF!</v>
      </c>
      <c r="E176" s="7" t="e">
        <f>#REF!</f>
        <v>#REF!</v>
      </c>
      <c r="F176" s="7" t="e">
        <f>#REF!</f>
        <v>#REF!</v>
      </c>
      <c r="G176" s="7" t="e">
        <f>#REF!</f>
        <v>#REF!</v>
      </c>
      <c r="H176" s="7" t="e">
        <f>#REF!</f>
        <v>#REF!</v>
      </c>
      <c r="I176" s="7" t="e">
        <f>#REF!</f>
        <v>#REF!</v>
      </c>
      <c r="J176" s="7" t="e">
        <f t="shared" si="52"/>
        <v>#REF!</v>
      </c>
      <c r="K176" s="7" t="e">
        <f t="shared" si="53"/>
        <v>#REF!</v>
      </c>
      <c r="L176" s="7" t="e">
        <f>IF(D176&lt;&gt;"Valid","",#REF!*0.4+#REF!*0.6)</f>
        <v>#REF!</v>
      </c>
      <c r="M176" s="7"/>
      <c r="N176" s="7" t="e">
        <f>IF(D176&lt;&gt;"Valid","Not Assessed (Insufficient Valid Data)",LOOKUP(L176,tblPerformanceCategory[Min],tblPerformanceCategory[Performance Category]))</f>
        <v>#REF!</v>
      </c>
      <c r="O176" s="7" t="e">
        <f>IF(D176="Valid","Yes","No")</f>
        <v>#REF!</v>
      </c>
    </row>
    <row r="177" spans="1:15" hidden="1">
      <c r="A177" s="7" t="e">
        <f>#REF!</f>
        <v>#REF!</v>
      </c>
      <c r="B177" s="7" t="e">
        <f>#REF!</f>
        <v>#REF!</v>
      </c>
      <c r="C177" s="7" t="e">
        <f>#REF!</f>
        <v>#REF!</v>
      </c>
      <c r="D177" s="7" t="e">
        <f>#REF!</f>
        <v>#REF!</v>
      </c>
      <c r="E177" s="7" t="e">
        <f>#REF!</f>
        <v>#REF!</v>
      </c>
      <c r="F177" s="7" t="e">
        <f>#REF!</f>
        <v>#REF!</v>
      </c>
      <c r="G177" s="7" t="e">
        <f>#REF!</f>
        <v>#REF!</v>
      </c>
      <c r="H177" s="7" t="e">
        <f>#REF!</f>
        <v>#REF!</v>
      </c>
      <c r="I177" s="7" t="e">
        <f>#REF!</f>
        <v>#REF!</v>
      </c>
      <c r="J177" s="7" t="e">
        <f t="shared" si="52"/>
        <v>#REF!</v>
      </c>
      <c r="K177" s="7" t="e">
        <f t="shared" si="53"/>
        <v>#REF!</v>
      </c>
      <c r="L177" s="7" t="e">
        <f>IF(D177&lt;&gt;"Valid","",#REF!*0.4+#REF!*0.6)</f>
        <v>#REF!</v>
      </c>
      <c r="M177" s="7"/>
      <c r="N177" s="7" t="e">
        <f>IF(D177&lt;&gt;"Valid","Not Assessed (Insufficient Valid Data)",LOOKUP(L177,tblPerformanceCategory[Min],tblPerformanceCategory[Performance Category]))</f>
        <v>#REF!</v>
      </c>
      <c r="O177" s="7" t="e">
        <f>IF(D177="Valid","Yes","No")</f>
        <v>#REF!</v>
      </c>
    </row>
    <row r="178" spans="1:15" hidden="1">
      <c r="A178" s="7" t="e">
        <f>#REF!</f>
        <v>#REF!</v>
      </c>
      <c r="B178" s="7" t="e">
        <f>#REF!</f>
        <v>#REF!</v>
      </c>
      <c r="C178" s="7" t="e">
        <f>#REF!</f>
        <v>#REF!</v>
      </c>
      <c r="D178" s="7" t="e">
        <f>#REF!</f>
        <v>#REF!</v>
      </c>
      <c r="E178" s="7" t="e">
        <f>#REF!</f>
        <v>#REF!</v>
      </c>
      <c r="F178" s="7" t="e">
        <f>#REF!</f>
        <v>#REF!</v>
      </c>
      <c r="G178" s="7" t="e">
        <f>#REF!</f>
        <v>#REF!</v>
      </c>
      <c r="H178" s="7" t="e">
        <f>#REF!</f>
        <v>#REF!</v>
      </c>
      <c r="I178" s="7" t="e">
        <f>#REF!</f>
        <v>#REF!</v>
      </c>
      <c r="J178" s="7" t="e">
        <f t="shared" si="52"/>
        <v>#REF!</v>
      </c>
      <c r="K178" s="7" t="e">
        <f t="shared" si="53"/>
        <v>#REF!</v>
      </c>
      <c r="L178" s="7" t="e">
        <f>IF(D178&lt;&gt;"Valid","",#REF!*0.4+#REF!*0.6)</f>
        <v>#REF!</v>
      </c>
      <c r="M178" s="7"/>
      <c r="N178" s="7" t="e">
        <f>IF(D178&lt;&gt;"Valid","Not Assessed (Insufficient Valid Data)",LOOKUP(L178,tblPerformanceCategory[Min],tblPerformanceCategory[Performance Category]))</f>
        <v>#REF!</v>
      </c>
      <c r="O178" s="7" t="e">
        <f>IF(D178="Valid","Yes","No")</f>
        <v>#REF!</v>
      </c>
    </row>
    <row r="179" spans="1:15" ht="42" hidden="1" customHeight="1">
      <c r="A179" s="7" t="e">
        <f>#REF!</f>
        <v>#REF!</v>
      </c>
      <c r="B179" s="7" t="e">
        <f>#REF!</f>
        <v>#REF!</v>
      </c>
      <c r="C179" s="7" t="e">
        <f>#REF!</f>
        <v>#REF!</v>
      </c>
      <c r="D179" s="7" t="e">
        <f>#REF!</f>
        <v>#REF!</v>
      </c>
      <c r="E179" s="7" t="e">
        <f>#REF!</f>
        <v>#REF!</v>
      </c>
      <c r="F179" s="7" t="e">
        <f>#REF!</f>
        <v>#REF!</v>
      </c>
      <c r="G179" s="7" t="e">
        <f>#REF!</f>
        <v>#REF!</v>
      </c>
      <c r="H179" s="7" t="e">
        <f>#REF!</f>
        <v>#REF!</v>
      </c>
      <c r="I179" s="7" t="e">
        <f>#REF!</f>
        <v>#REF!</v>
      </c>
      <c r="J179" s="7" t="e">
        <f t="shared" si="52"/>
        <v>#REF!</v>
      </c>
      <c r="K179" s="7" t="e">
        <f t="shared" si="53"/>
        <v>#REF!</v>
      </c>
      <c r="L179" s="7" t="e">
        <f>IF($D179&lt;&gt;"Valid",0,IFERROR(AVERAGE(#REF!,#REF!),0))</f>
        <v>#REF!</v>
      </c>
      <c r="M179" s="21" t="str">
        <f>IF(ISNUMBER(L179),_xlfn.RANK.EQ(L179,$L$2:$L$500,0),"")</f>
        <v/>
      </c>
      <c r="N179" s="7" t="e">
        <f>IF(L179=0,
"Not Assessed",
IF(L179&gt;=0.85,"Very High Performance",
IF(L179&gt;=0.7,"High Performance",
IF(L179&gt;=0.55,"Moderate Performance",
IF(L179&gt;=0.4,"Low Performance",
"Very Low Performance")))))</f>
        <v>#REF!</v>
      </c>
      <c r="O179" s="7" t="e">
        <f>IF($L179=0,
"Failed minimum data validation; requires contextual review in FSF.",
"Ready for contextual review in FSF.")</f>
        <v>#REF!</v>
      </c>
    </row>
    <row r="180" spans="1:15" ht="42" hidden="1" customHeight="1">
      <c r="A180" s="7" t="e">
        <f>#REF!</f>
        <v>#REF!</v>
      </c>
      <c r="B180" s="7" t="e">
        <f>#REF!</f>
        <v>#REF!</v>
      </c>
      <c r="C180" s="7" t="e">
        <f>#REF!</f>
        <v>#REF!</v>
      </c>
      <c r="D180" s="7" t="e">
        <f>#REF!</f>
        <v>#REF!</v>
      </c>
      <c r="E180" s="7" t="e">
        <f>#REF!</f>
        <v>#REF!</v>
      </c>
      <c r="F180" s="7" t="e">
        <f>#REF!</f>
        <v>#REF!</v>
      </c>
      <c r="G180" s="7" t="e">
        <f>#REF!</f>
        <v>#REF!</v>
      </c>
      <c r="H180" s="7" t="e">
        <f>#REF!</f>
        <v>#REF!</v>
      </c>
      <c r="I180" s="7" t="e">
        <f>#REF!</f>
        <v>#REF!</v>
      </c>
      <c r="J180" s="7" t="e">
        <f t="shared" si="52"/>
        <v>#REF!</v>
      </c>
      <c r="K180" s="7" t="e">
        <f t="shared" si="53"/>
        <v>#REF!</v>
      </c>
      <c r="L180" s="7" t="e">
        <f>IF($D180&lt;&gt;"Valid",0,IFERROR(AVERAGE(#REF!,#REF!),0))</f>
        <v>#REF!</v>
      </c>
      <c r="M180" s="21" t="str">
        <f>IF(ISNUMBER(L180),_xlfn.RANK.EQ(L180,$L$2:$L$500,0),"")</f>
        <v/>
      </c>
      <c r="N180" s="7" t="e">
        <f>IF(L180=0,
"Not Assessed",
IF(L180&gt;=0.85,"Very High Performance",
IF(L180&gt;=0.7,"High Performance",
IF(L180&gt;=0.55,"Moderate Performance",
IF(L180&gt;=0.4,"Low Performance",
"Very Low Performance")))))</f>
        <v>#REF!</v>
      </c>
      <c r="O180" s="7" t="e">
        <f>IF($L180=0,
"Failed minimum data validation; requires contextual review in FSF.",
"Ready for contextual review in FSF.")</f>
        <v>#REF!</v>
      </c>
    </row>
    <row r="181" spans="1:15" hidden="1">
      <c r="A181" s="7" t="e">
        <f>#REF!</f>
        <v>#REF!</v>
      </c>
      <c r="B181" s="7" t="e">
        <f>#REF!</f>
        <v>#REF!</v>
      </c>
      <c r="C181" s="7" t="e">
        <f>#REF!</f>
        <v>#REF!</v>
      </c>
      <c r="D181" s="7" t="e">
        <f>#REF!</f>
        <v>#REF!</v>
      </c>
      <c r="E181" s="7" t="e">
        <f>#REF!</f>
        <v>#REF!</v>
      </c>
      <c r="F181" s="7" t="e">
        <f>#REF!</f>
        <v>#REF!</v>
      </c>
      <c r="G181" s="7" t="e">
        <f>#REF!</f>
        <v>#REF!</v>
      </c>
      <c r="H181" s="7" t="e">
        <f>#REF!</f>
        <v>#REF!</v>
      </c>
      <c r="I181" s="7" t="e">
        <f>#REF!</f>
        <v>#REF!</v>
      </c>
      <c r="J181" s="7" t="e">
        <f t="shared" si="52"/>
        <v>#REF!</v>
      </c>
      <c r="K181" s="7" t="e">
        <f t="shared" si="53"/>
        <v>#REF!</v>
      </c>
      <c r="L181" s="7" t="e">
        <f>IF(D181&lt;&gt;"Valid","",#REF!*0.4+#REF!*0.6)</f>
        <v>#REF!</v>
      </c>
      <c r="M181" s="7"/>
      <c r="N181" s="7" t="e">
        <f>IF(D181&lt;&gt;"Valid","Not Assessed (Insufficient Valid Data)",LOOKUP(L181,tblPerformanceCategory[Min],tblPerformanceCategory[Performance Category]))</f>
        <v>#REF!</v>
      </c>
      <c r="O181" s="7" t="e">
        <f>IF(D181="Valid","Yes","No")</f>
        <v>#REF!</v>
      </c>
    </row>
    <row r="182" spans="1:15" hidden="1">
      <c r="A182" s="7" t="e">
        <f>#REF!</f>
        <v>#REF!</v>
      </c>
      <c r="B182" s="7" t="e">
        <f>#REF!</f>
        <v>#REF!</v>
      </c>
      <c r="C182" s="7" t="e">
        <f>#REF!</f>
        <v>#REF!</v>
      </c>
      <c r="D182" s="7" t="e">
        <f>#REF!</f>
        <v>#REF!</v>
      </c>
      <c r="E182" s="7" t="e">
        <f>#REF!</f>
        <v>#REF!</v>
      </c>
      <c r="F182" s="7" t="e">
        <f>#REF!</f>
        <v>#REF!</v>
      </c>
      <c r="G182" s="7" t="e">
        <f>#REF!</f>
        <v>#REF!</v>
      </c>
      <c r="H182" s="7" t="e">
        <f>#REF!</f>
        <v>#REF!</v>
      </c>
      <c r="I182" s="7" t="e">
        <f>#REF!</f>
        <v>#REF!</v>
      </c>
      <c r="J182" s="7" t="e">
        <f t="shared" si="52"/>
        <v>#REF!</v>
      </c>
      <c r="K182" s="7" t="e">
        <f t="shared" si="53"/>
        <v>#REF!</v>
      </c>
      <c r="L182" s="7" t="e">
        <f>IF(D182&lt;&gt;"Valid","",#REF!*0.4+#REF!*0.6)</f>
        <v>#REF!</v>
      </c>
      <c r="M182" s="7"/>
      <c r="N182" s="7" t="e">
        <f>IF(D182&lt;&gt;"Valid","Not Assessed (Insufficient Valid Data)",LOOKUP(L182,tblPerformanceCategory[Min],tblPerformanceCategory[Performance Category]))</f>
        <v>#REF!</v>
      </c>
      <c r="O182" s="7" t="e">
        <f>IF(D182="Valid","Yes","No")</f>
        <v>#REF!</v>
      </c>
    </row>
    <row r="183" spans="1:15" hidden="1">
      <c r="A183" s="7" t="e">
        <f>#REF!</f>
        <v>#REF!</v>
      </c>
      <c r="B183" s="7" t="e">
        <f>#REF!</f>
        <v>#REF!</v>
      </c>
      <c r="C183" s="7" t="e">
        <f>#REF!</f>
        <v>#REF!</v>
      </c>
      <c r="D183" s="7" t="e">
        <f>#REF!</f>
        <v>#REF!</v>
      </c>
      <c r="E183" s="7" t="e">
        <f>#REF!</f>
        <v>#REF!</v>
      </c>
      <c r="F183" s="7" t="e">
        <f>#REF!</f>
        <v>#REF!</v>
      </c>
      <c r="G183" s="7" t="e">
        <f>#REF!</f>
        <v>#REF!</v>
      </c>
      <c r="H183" s="7" t="e">
        <f>#REF!</f>
        <v>#REF!</v>
      </c>
      <c r="I183" s="7" t="e">
        <f>#REF!</f>
        <v>#REF!</v>
      </c>
      <c r="J183" s="7" t="e">
        <f t="shared" si="52"/>
        <v>#REF!</v>
      </c>
      <c r="K183" s="7" t="e">
        <f t="shared" si="53"/>
        <v>#REF!</v>
      </c>
      <c r="L183" s="7" t="e">
        <f>IF(D183&lt;&gt;"Valid","",#REF!*0.4+#REF!*0.6)</f>
        <v>#REF!</v>
      </c>
      <c r="M183" s="7"/>
      <c r="N183" s="7" t="e">
        <f>IF(D183&lt;&gt;"Valid","Not Assessed (Insufficient Valid Data)",LOOKUP(L183,tblPerformanceCategory[Min],tblPerformanceCategory[Performance Category]))</f>
        <v>#REF!</v>
      </c>
      <c r="O183" s="7" t="e">
        <f>IF(D183="Valid","Yes","No")</f>
        <v>#REF!</v>
      </c>
    </row>
    <row r="184" spans="1:15" ht="42" customHeight="1">
      <c r="A184" s="7" t="str">
        <f>Derived_Indicators!A184</f>
        <v>Bwari Local Government Area</v>
      </c>
      <c r="B184" s="7" t="str">
        <f>Derived_Indicators!B184</f>
        <v>Igu Ward</v>
      </c>
      <c r="C184" s="7" t="str">
        <f>Derived_Indicators!C184</f>
        <v>Kaima Primary Health Clinic</v>
      </c>
      <c r="D184" s="7" t="str">
        <f>Derived_Indicators!Q184</f>
        <v>Incomplete</v>
      </c>
      <c r="E184" s="23">
        <f>Derived_Indicators!D184</f>
        <v>1</v>
      </c>
      <c r="F184" s="23">
        <f>Derived_Indicators!E184</f>
        <v>1</v>
      </c>
      <c r="G184" s="23">
        <f>Derived_Indicators!K184</f>
        <v>0.96666666666666667</v>
      </c>
      <c r="H184" s="23">
        <f>Derived_Indicators!M184</f>
        <v>0.51724137931034486</v>
      </c>
      <c r="I184" s="23" t="str">
        <f>Derived_Indicators!N184</f>
        <v/>
      </c>
      <c r="J184" s="23" t="str">
        <f>IF($D184&lt;&gt;"Valid","",AVERAGE(E184:F184))</f>
        <v/>
      </c>
      <c r="K184" s="23" t="str">
        <f>IF($D184&lt;&gt;"Valid","",AVERAGE(G184:I184))</f>
        <v/>
      </c>
      <c r="L184" s="23" t="str">
        <f>IF($D184&lt;&gt;"Valid","",AVERAGE(J184,K184))</f>
        <v/>
      </c>
      <c r="M184" s="21" t="str">
        <f>IF(AND($D184="Valid",ISNUMBER(L184)),RANK(L184,$L$2:$L$500,0),"")</f>
        <v/>
      </c>
      <c r="N184" s="7" t="str">
        <f>IF(L184="",
"Not Assessed",
IF(L184&gt;=0.85,"Excellent",
IF(L184&gt;=0.7,"Good",
IF(L184&gt;=0.55,"Moderate",
IF(L184&gt;=0.4,"Low",
"Very Low")))))</f>
        <v>Not Assessed</v>
      </c>
      <c r="O184" s="7" t="str">
        <f>IF($D184&lt;&gt;"Valid",
"Failed data validation; excluded from HFSI and requires contextual review in the Health Facility Selection Framework (HFSF).",
"Eligible for contextual assessment using the Health Facility Selection Framework (HFSF).")</f>
        <v>Failed data validation; excluded from HFSI and requires contextual review in the Health Facility Selection Framework (HFSF).</v>
      </c>
    </row>
    <row r="185" spans="1:15" hidden="1">
      <c r="A185" s="7" t="e">
        <f>#REF!</f>
        <v>#REF!</v>
      </c>
      <c r="B185" s="7" t="e">
        <f>#REF!</f>
        <v>#REF!</v>
      </c>
      <c r="C185" s="7" t="e">
        <f>#REF!</f>
        <v>#REF!</v>
      </c>
      <c r="D185" s="7" t="e">
        <f>#REF!</f>
        <v>#REF!</v>
      </c>
      <c r="E185" s="7" t="e">
        <f>#REF!</f>
        <v>#REF!</v>
      </c>
      <c r="F185" s="7" t="e">
        <f>#REF!</f>
        <v>#REF!</v>
      </c>
      <c r="G185" s="7" t="e">
        <f>#REF!</f>
        <v>#REF!</v>
      </c>
      <c r="H185" s="7" t="e">
        <f>#REF!</f>
        <v>#REF!</v>
      </c>
      <c r="I185" s="7" t="e">
        <f>#REF!</f>
        <v>#REF!</v>
      </c>
      <c r="J185" s="7" t="e">
        <f>IF(D185&lt;&gt;"Valid","",SUM(E185:F185))</f>
        <v>#REF!</v>
      </c>
      <c r="K185" s="7" t="e">
        <f>IF(D185&lt;&gt;"Valid","",SUM(G185:I185))</f>
        <v>#REF!</v>
      </c>
      <c r="L185" s="7" t="e">
        <f>IF(D185&lt;&gt;"Valid","",#REF!*0.4+#REF!*0.6)</f>
        <v>#REF!</v>
      </c>
      <c r="M185" s="7"/>
      <c r="N185" s="7" t="e">
        <f>IF(D185&lt;&gt;"Valid","Not Assessed (Insufficient Valid Data)",LOOKUP(L185,tblPerformanceCategory[Min],tblPerformanceCategory[Performance Category]))</f>
        <v>#REF!</v>
      </c>
      <c r="O185" s="7" t="e">
        <f>IF(D185="Valid","Yes","No")</f>
        <v>#REF!</v>
      </c>
    </row>
    <row r="186" spans="1:15" ht="42" hidden="1" customHeight="1">
      <c r="A186" s="7" t="e">
        <f>#REF!</f>
        <v>#REF!</v>
      </c>
      <c r="B186" s="7" t="e">
        <f>#REF!</f>
        <v>#REF!</v>
      </c>
      <c r="C186" s="7" t="e">
        <f>#REF!</f>
        <v>#REF!</v>
      </c>
      <c r="D186" s="7" t="e">
        <f>#REF!</f>
        <v>#REF!</v>
      </c>
      <c r="E186" s="7" t="e">
        <f>#REF!</f>
        <v>#REF!</v>
      </c>
      <c r="F186" s="7" t="e">
        <f>#REF!</f>
        <v>#REF!</v>
      </c>
      <c r="G186" s="7" t="e">
        <f>#REF!</f>
        <v>#REF!</v>
      </c>
      <c r="H186" s="7" t="e">
        <f>#REF!</f>
        <v>#REF!</v>
      </c>
      <c r="I186" s="7" t="e">
        <f>#REF!</f>
        <v>#REF!</v>
      </c>
      <c r="J186" s="7" t="e">
        <f>IF(D186&lt;&gt;"Valid","",SUM(E186:F186))</f>
        <v>#REF!</v>
      </c>
      <c r="K186" s="7" t="e">
        <f>IF(D186&lt;&gt;"Valid","",SUM(G186:I186))</f>
        <v>#REF!</v>
      </c>
      <c r="L186" s="7" t="e">
        <f>IF($D186&lt;&gt;"Valid",0,IFERROR(AVERAGE(#REF!,#REF!),0))</f>
        <v>#REF!</v>
      </c>
      <c r="M186" s="21" t="str">
        <f>IF(ISNUMBER(L186),_xlfn.RANK.EQ(L186,$L$2:$L$500,0),"")</f>
        <v/>
      </c>
      <c r="N186" s="7" t="e">
        <f>IF(L186=0,
"Not Assessed",
IF(L186&gt;=0.85,"Very High Performance",
IF(L186&gt;=0.7,"High Performance",
IF(L186&gt;=0.55,"Moderate Performance",
IF(L186&gt;=0.4,"Low Performance",
"Very Low Performance")))))</f>
        <v>#REF!</v>
      </c>
      <c r="O186" s="7" t="e">
        <f>IF($L186=0,
"Failed minimum data validation; requires contextual review in FSF.",
"Ready for contextual review in FSF.")</f>
        <v>#REF!</v>
      </c>
    </row>
    <row r="187" spans="1:15" ht="42" hidden="1" customHeight="1">
      <c r="A187" s="7" t="e">
        <f>#REF!</f>
        <v>#REF!</v>
      </c>
      <c r="B187" s="7" t="e">
        <f>#REF!</f>
        <v>#REF!</v>
      </c>
      <c r="C187" s="7" t="e">
        <f>#REF!</f>
        <v>#REF!</v>
      </c>
      <c r="D187" s="7" t="e">
        <f>#REF!</f>
        <v>#REF!</v>
      </c>
      <c r="E187" s="7" t="e">
        <f>#REF!</f>
        <v>#REF!</v>
      </c>
      <c r="F187" s="7" t="e">
        <f>#REF!</f>
        <v>#REF!</v>
      </c>
      <c r="G187" s="7" t="e">
        <f>#REF!</f>
        <v>#REF!</v>
      </c>
      <c r="H187" s="7" t="e">
        <f>#REF!</f>
        <v>#REF!</v>
      </c>
      <c r="I187" s="7" t="e">
        <f>#REF!</f>
        <v>#REF!</v>
      </c>
      <c r="J187" s="7" t="e">
        <f>IF(D187&lt;&gt;"Valid","",SUM(E187:F187))</f>
        <v>#REF!</v>
      </c>
      <c r="K187" s="7" t="e">
        <f>IF(D187&lt;&gt;"Valid","",SUM(G187:I187))</f>
        <v>#REF!</v>
      </c>
      <c r="L187" s="7" t="e">
        <f>IF($D187&lt;&gt;"Valid",0,IFERROR(AVERAGE(#REF!,#REF!),0))</f>
        <v>#REF!</v>
      </c>
      <c r="M187" s="21" t="str">
        <f>IF(ISNUMBER(L187),_xlfn.RANK.EQ(L187,$L$2:$L$500,0),"")</f>
        <v/>
      </c>
      <c r="N187" s="7" t="e">
        <f>IF(L187=0,
"Not Assessed",
IF(L187&gt;=0.85,"Very High Performance",
IF(L187&gt;=0.7,"High Performance",
IF(L187&gt;=0.55,"Moderate Performance",
IF(L187&gt;=0.4,"Low Performance",
"Very Low Performance")))))</f>
        <v>#REF!</v>
      </c>
      <c r="O187" s="7" t="e">
        <f>IF($L187=0,
"Failed minimum data validation; requires contextual review in FSF.",
"Ready for contextual review in FSF.")</f>
        <v>#REF!</v>
      </c>
    </row>
    <row r="188" spans="1:15" ht="42" hidden="1" customHeight="1">
      <c r="A188" s="7" t="e">
        <f>#REF!</f>
        <v>#REF!</v>
      </c>
      <c r="B188" s="7" t="e">
        <f>#REF!</f>
        <v>#REF!</v>
      </c>
      <c r="C188" s="7" t="e">
        <f>#REF!</f>
        <v>#REF!</v>
      </c>
      <c r="D188" s="7" t="e">
        <f>#REF!</f>
        <v>#REF!</v>
      </c>
      <c r="E188" s="7" t="e">
        <f>#REF!</f>
        <v>#REF!</v>
      </c>
      <c r="F188" s="7" t="e">
        <f>#REF!</f>
        <v>#REF!</v>
      </c>
      <c r="G188" s="7" t="e">
        <f>#REF!</f>
        <v>#REF!</v>
      </c>
      <c r="H188" s="7" t="e">
        <f>#REF!</f>
        <v>#REF!</v>
      </c>
      <c r="I188" s="7" t="e">
        <f>#REF!</f>
        <v>#REF!</v>
      </c>
      <c r="J188" s="7" t="e">
        <f>IF(D188&lt;&gt;"Valid","",SUM(E188:F188))</f>
        <v>#REF!</v>
      </c>
      <c r="K188" s="7" t="e">
        <f>IF(D188&lt;&gt;"Valid","",SUM(G188:I188))</f>
        <v>#REF!</v>
      </c>
      <c r="L188" s="7" t="e">
        <f>IF($D188&lt;&gt;"Valid",0,IFERROR(AVERAGE(#REF!,#REF!),0))</f>
        <v>#REF!</v>
      </c>
      <c r="M188" s="21" t="str">
        <f>IF(ISNUMBER(L188),_xlfn.RANK.EQ(L188,$L$2:$L$500,0),"")</f>
        <v/>
      </c>
      <c r="N188" s="7" t="e">
        <f>IF(L188=0,
"Not Assessed",
IF(L188&gt;=0.85,"Very High Performance",
IF(L188&gt;=0.7,"High Performance",
IF(L188&gt;=0.55,"Moderate Performance",
IF(L188&gt;=0.4,"Low Performance",
"Very Low Performance")))))</f>
        <v>#REF!</v>
      </c>
      <c r="O188" s="7" t="e">
        <f>IF($L188=0,
"Failed minimum data validation; requires contextual review in FSF.",
"Ready for contextual review in FSF.")</f>
        <v>#REF!</v>
      </c>
    </row>
    <row r="189" spans="1:15" ht="42" customHeight="1">
      <c r="A189" s="7" t="str">
        <f>Derived_Indicators!A189</f>
        <v>Abuja Municipal Area Council</v>
      </c>
      <c r="B189" s="7" t="str">
        <f>Derived_Indicators!B189</f>
        <v>Karshi Ward</v>
      </c>
      <c r="C189" s="7" t="str">
        <f>Derived_Indicators!C189</f>
        <v>Karshi Primary Health Clinic</v>
      </c>
      <c r="D189" s="7" t="str">
        <f>Derived_Indicators!Q189</f>
        <v>Valid</v>
      </c>
      <c r="E189" s="23">
        <f>Derived_Indicators!D189</f>
        <v>0.93560909090909095</v>
      </c>
      <c r="F189" s="23">
        <f>Derived_Indicators!E189</f>
        <v>0.85833000000000004</v>
      </c>
      <c r="G189" s="23">
        <f>Derived_Indicators!K189</f>
        <v>0.95444191343963558</v>
      </c>
      <c r="H189" s="23">
        <f>Derived_Indicators!M189</f>
        <v>0.55516014234875444</v>
      </c>
      <c r="I189" s="23">
        <f>Derived_Indicators!N189</f>
        <v>0.13523131672597866</v>
      </c>
      <c r="J189" s="23">
        <f>IF($D189&lt;&gt;"Valid","",AVERAGE(E189:F189))</f>
        <v>0.89696954545454544</v>
      </c>
      <c r="K189" s="23">
        <f>IF($D189&lt;&gt;"Valid","",AVERAGE(G189:I189))</f>
        <v>0.54827779083812289</v>
      </c>
      <c r="L189" s="23">
        <f>IF($D189&lt;&gt;"Valid","",AVERAGE(J189,K189))</f>
        <v>0.72262366814633416</v>
      </c>
      <c r="M189" s="21" t="e">
        <f>IF(AND($D189="Valid",ISNUMBER(L189)),RANK(L189,$L$2:$L$500,0),"")</f>
        <v>#REF!</v>
      </c>
      <c r="N189" s="7" t="str">
        <f>IF(L189="",
"Not Assessed",
IF(L189&gt;=0.85,"Excellent",
IF(L189&gt;=0.7,"Good",
IF(L189&gt;=0.55,"Moderate",
IF(L189&gt;=0.4,"Low",
"Very Low")))))</f>
        <v>Good</v>
      </c>
      <c r="O189" s="7" t="str">
        <f>IF($D189&lt;&gt;"Valid",
"Failed data validation; excluded from HFSI and requires contextual review in the Health Facility Selection Framework (HFSF).",
"Eligible for contextual assessment using the Health Facility Selection Framework (HFSF).")</f>
        <v>Eligible for contextual assessment using the Health Facility Selection Framework (HFSF).</v>
      </c>
    </row>
    <row r="190" spans="1:15" ht="42" hidden="1" customHeight="1">
      <c r="A190" s="7" t="e">
        <f>#REF!</f>
        <v>#REF!</v>
      </c>
      <c r="B190" s="7" t="e">
        <f>#REF!</f>
        <v>#REF!</v>
      </c>
      <c r="C190" s="7" t="e">
        <f>#REF!</f>
        <v>#REF!</v>
      </c>
      <c r="D190" s="7" t="e">
        <f>#REF!</f>
        <v>#REF!</v>
      </c>
      <c r="E190" s="7" t="e">
        <f>#REF!</f>
        <v>#REF!</v>
      </c>
      <c r="F190" s="7" t="e">
        <f>#REF!</f>
        <v>#REF!</v>
      </c>
      <c r="G190" s="7" t="e">
        <f>#REF!</f>
        <v>#REF!</v>
      </c>
      <c r="H190" s="7" t="e">
        <f>#REF!</f>
        <v>#REF!</v>
      </c>
      <c r="I190" s="7" t="e">
        <f>#REF!</f>
        <v>#REF!</v>
      </c>
      <c r="J190" s="7" t="e">
        <f>IF(D190&lt;&gt;"Valid","",SUM(E190:F190))</f>
        <v>#REF!</v>
      </c>
      <c r="K190" s="7" t="e">
        <f>IF(D190&lt;&gt;"Valid","",SUM(G190:I190))</f>
        <v>#REF!</v>
      </c>
      <c r="L190" s="7" t="e">
        <f>IF($D190&lt;&gt;"Valid",0,IFERROR(AVERAGE(#REF!,#REF!),0))</f>
        <v>#REF!</v>
      </c>
      <c r="M190" s="21" t="str">
        <f>IF(ISNUMBER(L190),_xlfn.RANK.EQ(L190,$L$2:$L$500,0),"")</f>
        <v/>
      </c>
      <c r="N190" s="7" t="e">
        <f>IF(L190=0,
"Not Assessed",
IF(L190&gt;=0.85,"Very High Performance",
IF(L190&gt;=0.7,"High Performance",
IF(L190&gt;=0.55,"Moderate Performance",
IF(L190&gt;=0.4,"Low Performance",
"Very Low Performance")))))</f>
        <v>#REF!</v>
      </c>
      <c r="O190" s="7" t="e">
        <f>IF($L190=0,
"Failed minimum data validation; requires contextual review in FSF.",
"Ready for contextual review in FSF.")</f>
        <v>#REF!</v>
      </c>
    </row>
    <row r="191" spans="1:15" ht="42" hidden="1" customHeight="1">
      <c r="A191" s="7" t="e">
        <f>#REF!</f>
        <v>#REF!</v>
      </c>
      <c r="B191" s="7" t="e">
        <f>#REF!</f>
        <v>#REF!</v>
      </c>
      <c r="C191" s="7" t="e">
        <f>#REF!</f>
        <v>#REF!</v>
      </c>
      <c r="D191" s="7" t="e">
        <f>#REF!</f>
        <v>#REF!</v>
      </c>
      <c r="E191" s="7" t="e">
        <f>#REF!</f>
        <v>#REF!</v>
      </c>
      <c r="F191" s="7" t="e">
        <f>#REF!</f>
        <v>#REF!</v>
      </c>
      <c r="G191" s="7" t="e">
        <f>#REF!</f>
        <v>#REF!</v>
      </c>
      <c r="H191" s="7" t="e">
        <f>#REF!</f>
        <v>#REF!</v>
      </c>
      <c r="I191" s="7" t="e">
        <f>#REF!</f>
        <v>#REF!</v>
      </c>
      <c r="J191" s="7" t="e">
        <f>IF(D191&lt;&gt;"Valid","",SUM(E191:F191))</f>
        <v>#REF!</v>
      </c>
      <c r="K191" s="7" t="e">
        <f>IF(D191&lt;&gt;"Valid","",SUM(G191:I191))</f>
        <v>#REF!</v>
      </c>
      <c r="L191" s="7" t="e">
        <f>IF($D191&lt;&gt;"Valid",0,IFERROR(AVERAGE(#REF!,#REF!),0))</f>
        <v>#REF!</v>
      </c>
      <c r="M191" s="21" t="str">
        <f>IF(ISNUMBER(L191),_xlfn.RANK.EQ(L191,$L$2:$L$500,0),"")</f>
        <v/>
      </c>
      <c r="N191" s="7" t="e">
        <f>IF(L191=0,
"Not Assessed",
IF(L191&gt;=0.85,"Very High Performance",
IF(L191&gt;=0.7,"High Performance",
IF(L191&gt;=0.55,"Moderate Performance",
IF(L191&gt;=0.4,"Low Performance",
"Very Low Performance")))))</f>
        <v>#REF!</v>
      </c>
      <c r="O191" s="7" t="e">
        <f>IF($L191=0,
"Failed minimum data validation; requires contextual review in FSF.",
"Ready for contextual review in FSF.")</f>
        <v>#REF!</v>
      </c>
    </row>
    <row r="192" spans="1:15" hidden="1">
      <c r="A192" s="7" t="e">
        <f>#REF!</f>
        <v>#REF!</v>
      </c>
      <c r="B192" s="7" t="e">
        <f>#REF!</f>
        <v>#REF!</v>
      </c>
      <c r="C192" s="7" t="e">
        <f>#REF!</f>
        <v>#REF!</v>
      </c>
      <c r="D192" s="7" t="e">
        <f>#REF!</f>
        <v>#REF!</v>
      </c>
      <c r="E192" s="7" t="e">
        <f>#REF!</f>
        <v>#REF!</v>
      </c>
      <c r="F192" s="7" t="e">
        <f>#REF!</f>
        <v>#REF!</v>
      </c>
      <c r="G192" s="7" t="e">
        <f>#REF!</f>
        <v>#REF!</v>
      </c>
      <c r="H192" s="7" t="e">
        <f>#REF!</f>
        <v>#REF!</v>
      </c>
      <c r="I192" s="7" t="e">
        <f>#REF!</f>
        <v>#REF!</v>
      </c>
      <c r="J192" s="7" t="e">
        <f>IF(D192&lt;&gt;"Valid","",SUM(E192:F192))</f>
        <v>#REF!</v>
      </c>
      <c r="K192" s="7" t="e">
        <f>IF(D192&lt;&gt;"Valid","",SUM(G192:I192))</f>
        <v>#REF!</v>
      </c>
      <c r="L192" s="7" t="e">
        <f>IF(D192&lt;&gt;"Valid","",#REF!*0.4+#REF!*0.6)</f>
        <v>#REF!</v>
      </c>
      <c r="M192" s="7"/>
      <c r="N192" s="7" t="e">
        <f>IF(D192&lt;&gt;"Valid","Not Assessed (Insufficient Valid Data)",LOOKUP(L192,tblPerformanceCategory[Min],tblPerformanceCategory[Performance Category]))</f>
        <v>#REF!</v>
      </c>
      <c r="O192" s="7" t="e">
        <f>IF(D192="Valid","Yes","No")</f>
        <v>#REF!</v>
      </c>
    </row>
    <row r="193" spans="1:15" ht="42" customHeight="1">
      <c r="A193" s="7" t="str">
        <f>Derived_Indicators!A193</f>
        <v>Bwari Local Government Area</v>
      </c>
      <c r="B193" s="7" t="str">
        <f>Derived_Indicators!B193</f>
        <v>Dutse Ward</v>
      </c>
      <c r="C193" s="7" t="str">
        <f>Derived_Indicators!C193</f>
        <v>Katampe 2 Primary Health Clinic</v>
      </c>
      <c r="D193" s="7" t="str">
        <f>Derived_Indicators!Q193</f>
        <v>Invalid</v>
      </c>
      <c r="E193" s="23">
        <f>Derived_Indicators!D193</f>
        <v>1</v>
      </c>
      <c r="F193" s="23">
        <f>Derived_Indicators!E193</f>
        <v>0.6759222222222222</v>
      </c>
      <c r="G193" s="23">
        <f>Derived_Indicators!K193</f>
        <v>1.3770053475935828</v>
      </c>
      <c r="H193" s="23">
        <f>Derived_Indicators!M193</f>
        <v>0.32846715328467152</v>
      </c>
      <c r="I193" s="23">
        <f>Derived_Indicators!N193</f>
        <v>1.4598540145985401E-2</v>
      </c>
      <c r="J193" s="23" t="str">
        <f>IF($D193&lt;&gt;"Valid","",AVERAGE(E193:F193))</f>
        <v/>
      </c>
      <c r="K193" s="23" t="str">
        <f>IF($D193&lt;&gt;"Valid","",AVERAGE(G193:I193))</f>
        <v/>
      </c>
      <c r="L193" s="23" t="str">
        <f>IF($D193&lt;&gt;"Valid","",AVERAGE(J193,K193))</f>
        <v/>
      </c>
      <c r="M193" s="21" t="str">
        <f>IF(AND($D193="Valid",ISNUMBER(L193)),RANK(L193,$L$2:$L$500,0),"")</f>
        <v/>
      </c>
      <c r="N193" s="7" t="str">
        <f>IF(L193="",
"Not Assessed",
IF(L193&gt;=0.85,"Excellent",
IF(L193&gt;=0.7,"Good",
IF(L193&gt;=0.55,"Moderate",
IF(L193&gt;=0.4,"Low",
"Very Low")))))</f>
        <v>Not Assessed</v>
      </c>
      <c r="O193" s="7" t="str">
        <f>IF($D193&lt;&gt;"Valid",
"Failed data validation; excluded from HFSI and requires contextual review in the Health Facility Selection Framework (HFSF).",
"Eligible for contextual assessment using the Health Facility Selection Framework (HFSF).")</f>
        <v>Failed data validation; excluded from HFSI and requires contextual review in the Health Facility Selection Framework (HFSF).</v>
      </c>
    </row>
    <row r="194" spans="1:15" hidden="1">
      <c r="A194" s="7" t="e">
        <f>#REF!</f>
        <v>#REF!</v>
      </c>
      <c r="B194" s="7" t="e">
        <f>#REF!</f>
        <v>#REF!</v>
      </c>
      <c r="C194" s="7" t="e">
        <f>#REF!</f>
        <v>#REF!</v>
      </c>
      <c r="D194" s="7" t="e">
        <f>#REF!</f>
        <v>#REF!</v>
      </c>
      <c r="E194" s="7" t="e">
        <f>#REF!</f>
        <v>#REF!</v>
      </c>
      <c r="F194" s="7" t="e">
        <f>#REF!</f>
        <v>#REF!</v>
      </c>
      <c r="G194" s="7" t="e">
        <f>#REF!</f>
        <v>#REF!</v>
      </c>
      <c r="H194" s="7" t="e">
        <f>#REF!</f>
        <v>#REF!</v>
      </c>
      <c r="I194" s="7" t="e">
        <f>#REF!</f>
        <v>#REF!</v>
      </c>
      <c r="J194" s="7" t="e">
        <f t="shared" ref="J194:J205" si="54">IF(D194&lt;&gt;"Valid","",SUM(E194:F194))</f>
        <v>#REF!</v>
      </c>
      <c r="K194" s="7" t="e">
        <f t="shared" ref="K194:K205" si="55">IF(D194&lt;&gt;"Valid","",SUM(G194:I194))</f>
        <v>#REF!</v>
      </c>
      <c r="L194" s="7" t="e">
        <f>IF(D194&lt;&gt;"Valid","",#REF!*0.4+#REF!*0.6)</f>
        <v>#REF!</v>
      </c>
      <c r="M194" s="7"/>
      <c r="N194" s="7" t="e">
        <f>IF(D194&lt;&gt;"Valid","Not Assessed (Insufficient Valid Data)",LOOKUP(L194,tblPerformanceCategory[Min],tblPerformanceCategory[Performance Category]))</f>
        <v>#REF!</v>
      </c>
      <c r="O194" s="7" t="e">
        <f>IF(D194="Valid","Yes","No")</f>
        <v>#REF!</v>
      </c>
    </row>
    <row r="195" spans="1:15" ht="42" hidden="1" customHeight="1">
      <c r="A195" s="7" t="e">
        <f>#REF!</f>
        <v>#REF!</v>
      </c>
      <c r="B195" s="7" t="e">
        <f>#REF!</f>
        <v>#REF!</v>
      </c>
      <c r="C195" s="7" t="e">
        <f>#REF!</f>
        <v>#REF!</v>
      </c>
      <c r="D195" s="7" t="e">
        <f>#REF!</f>
        <v>#REF!</v>
      </c>
      <c r="E195" s="7" t="e">
        <f>#REF!</f>
        <v>#REF!</v>
      </c>
      <c r="F195" s="7" t="e">
        <f>#REF!</f>
        <v>#REF!</v>
      </c>
      <c r="G195" s="7" t="e">
        <f>#REF!</f>
        <v>#REF!</v>
      </c>
      <c r="H195" s="7" t="e">
        <f>#REF!</f>
        <v>#REF!</v>
      </c>
      <c r="I195" s="7" t="e">
        <f>#REF!</f>
        <v>#REF!</v>
      </c>
      <c r="J195" s="7" t="e">
        <f t="shared" si="54"/>
        <v>#REF!</v>
      </c>
      <c r="K195" s="7" t="e">
        <f t="shared" si="55"/>
        <v>#REF!</v>
      </c>
      <c r="L195" s="7" t="e">
        <f>IF($D195&lt;&gt;"Valid",0,IFERROR(AVERAGE(#REF!,#REF!),0))</f>
        <v>#REF!</v>
      </c>
      <c r="M195" s="21" t="str">
        <f>IF(ISNUMBER(L195),_xlfn.RANK.EQ(L195,$L$2:$L$500,0),"")</f>
        <v/>
      </c>
      <c r="N195" s="7" t="e">
        <f>IF(L195=0,
"Not Assessed",
IF(L195&gt;=0.85,"Very High Performance",
IF(L195&gt;=0.7,"High Performance",
IF(L195&gt;=0.55,"Moderate Performance",
IF(L195&gt;=0.4,"Low Performance",
"Very Low Performance")))))</f>
        <v>#REF!</v>
      </c>
      <c r="O195" s="7" t="e">
        <f>IF($L195=0,
"Failed minimum data validation; requires contextual review in FSF.",
"Ready for contextual review in FSF.")</f>
        <v>#REF!</v>
      </c>
    </row>
    <row r="196" spans="1:15" hidden="1">
      <c r="A196" s="7" t="e">
        <f>#REF!</f>
        <v>#REF!</v>
      </c>
      <c r="B196" s="7" t="e">
        <f>#REF!</f>
        <v>#REF!</v>
      </c>
      <c r="C196" s="7" t="e">
        <f>#REF!</f>
        <v>#REF!</v>
      </c>
      <c r="D196" s="7" t="e">
        <f>#REF!</f>
        <v>#REF!</v>
      </c>
      <c r="E196" s="7" t="e">
        <f>#REF!</f>
        <v>#REF!</v>
      </c>
      <c r="F196" s="7" t="e">
        <f>#REF!</f>
        <v>#REF!</v>
      </c>
      <c r="G196" s="7" t="e">
        <f>#REF!</f>
        <v>#REF!</v>
      </c>
      <c r="H196" s="7" t="e">
        <f>#REF!</f>
        <v>#REF!</v>
      </c>
      <c r="I196" s="7" t="e">
        <f>#REF!</f>
        <v>#REF!</v>
      </c>
      <c r="J196" s="7" t="e">
        <f t="shared" si="54"/>
        <v>#REF!</v>
      </c>
      <c r="K196" s="7" t="e">
        <f t="shared" si="55"/>
        <v>#REF!</v>
      </c>
      <c r="L196" s="7" t="e">
        <f>IF(D196&lt;&gt;"Valid","",#REF!*0.4+#REF!*0.6)</f>
        <v>#REF!</v>
      </c>
      <c r="M196" s="7"/>
      <c r="N196" s="7" t="e">
        <f>IF(D196&lt;&gt;"Valid","Not Assessed (Insufficient Valid Data)",LOOKUP(L196,tblPerformanceCategory[Min],tblPerformanceCategory[Performance Category]))</f>
        <v>#REF!</v>
      </c>
      <c r="O196" s="7" t="e">
        <f>IF(D196="Valid","Yes","No")</f>
        <v>#REF!</v>
      </c>
    </row>
    <row r="197" spans="1:15" ht="42" hidden="1" customHeight="1">
      <c r="A197" s="7" t="e">
        <f>#REF!</f>
        <v>#REF!</v>
      </c>
      <c r="B197" s="7" t="e">
        <f>#REF!</f>
        <v>#REF!</v>
      </c>
      <c r="C197" s="7" t="e">
        <f>#REF!</f>
        <v>#REF!</v>
      </c>
      <c r="D197" s="7" t="e">
        <f>#REF!</f>
        <v>#REF!</v>
      </c>
      <c r="E197" s="7" t="e">
        <f>#REF!</f>
        <v>#REF!</v>
      </c>
      <c r="F197" s="7" t="e">
        <f>#REF!</f>
        <v>#REF!</v>
      </c>
      <c r="G197" s="7" t="e">
        <f>#REF!</f>
        <v>#REF!</v>
      </c>
      <c r="H197" s="7" t="e">
        <f>#REF!</f>
        <v>#REF!</v>
      </c>
      <c r="I197" s="7" t="e">
        <f>#REF!</f>
        <v>#REF!</v>
      </c>
      <c r="J197" s="7" t="e">
        <f t="shared" si="54"/>
        <v>#REF!</v>
      </c>
      <c r="K197" s="7" t="e">
        <f t="shared" si="55"/>
        <v>#REF!</v>
      </c>
      <c r="L197" s="7" t="e">
        <f>IF($D197&lt;&gt;"Valid",0,IFERROR(AVERAGE(#REF!,#REF!),0))</f>
        <v>#REF!</v>
      </c>
      <c r="M197" s="21" t="str">
        <f>IF(ISNUMBER(L197),_xlfn.RANK.EQ(L197,$L$2:$L$500,0),"")</f>
        <v/>
      </c>
      <c r="N197" s="7" t="e">
        <f>IF(L197=0,
"Not Assessed",
IF(L197&gt;=0.85,"Very High Performance",
IF(L197&gt;=0.7,"High Performance",
IF(L197&gt;=0.55,"Moderate Performance",
IF(L197&gt;=0.4,"Low Performance",
"Very Low Performance")))))</f>
        <v>#REF!</v>
      </c>
      <c r="O197" s="7" t="e">
        <f>IF($L197=0,
"Failed minimum data validation; requires contextual review in FSF.",
"Ready for contextual review in FSF.")</f>
        <v>#REF!</v>
      </c>
    </row>
    <row r="198" spans="1:15" ht="42" hidden="1" customHeight="1">
      <c r="A198" s="7" t="e">
        <f>#REF!</f>
        <v>#REF!</v>
      </c>
      <c r="B198" s="7" t="e">
        <f>#REF!</f>
        <v>#REF!</v>
      </c>
      <c r="C198" s="7" t="e">
        <f>#REF!</f>
        <v>#REF!</v>
      </c>
      <c r="D198" s="7" t="e">
        <f>#REF!</f>
        <v>#REF!</v>
      </c>
      <c r="E198" s="7" t="e">
        <f>#REF!</f>
        <v>#REF!</v>
      </c>
      <c r="F198" s="7" t="e">
        <f>#REF!</f>
        <v>#REF!</v>
      </c>
      <c r="G198" s="7" t="e">
        <f>#REF!</f>
        <v>#REF!</v>
      </c>
      <c r="H198" s="7" t="e">
        <f>#REF!</f>
        <v>#REF!</v>
      </c>
      <c r="I198" s="7" t="e">
        <f>#REF!</f>
        <v>#REF!</v>
      </c>
      <c r="J198" s="7" t="e">
        <f t="shared" si="54"/>
        <v>#REF!</v>
      </c>
      <c r="K198" s="7" t="e">
        <f t="shared" si="55"/>
        <v>#REF!</v>
      </c>
      <c r="L198" s="7" t="e">
        <f>IF($D198&lt;&gt;"Valid",0,IFERROR(AVERAGE(#REF!,#REF!),0))</f>
        <v>#REF!</v>
      </c>
      <c r="M198" s="21" t="str">
        <f>IF(ISNUMBER(L198),_xlfn.RANK.EQ(L198,$L$2:$L$500,0),"")</f>
        <v/>
      </c>
      <c r="N198" s="7" t="e">
        <f>IF(L198=0,
"Not Assessed",
IF(L198&gt;=0.85,"Very High Performance",
IF(L198&gt;=0.7,"High Performance",
IF(L198&gt;=0.55,"Moderate Performance",
IF(L198&gt;=0.4,"Low Performance",
"Very Low Performance")))))</f>
        <v>#REF!</v>
      </c>
      <c r="O198" s="7" t="e">
        <f>IF($L198=0,
"Failed minimum data validation; requires contextual review in FSF.",
"Ready for contextual review in FSF.")</f>
        <v>#REF!</v>
      </c>
    </row>
    <row r="199" spans="1:15" hidden="1">
      <c r="A199" s="7" t="e">
        <f>#REF!</f>
        <v>#REF!</v>
      </c>
      <c r="B199" s="7" t="e">
        <f>#REF!</f>
        <v>#REF!</v>
      </c>
      <c r="C199" s="7" t="e">
        <f>#REF!</f>
        <v>#REF!</v>
      </c>
      <c r="D199" s="7" t="e">
        <f>#REF!</f>
        <v>#REF!</v>
      </c>
      <c r="E199" s="7" t="e">
        <f>#REF!</f>
        <v>#REF!</v>
      </c>
      <c r="F199" s="7" t="e">
        <f>#REF!</f>
        <v>#REF!</v>
      </c>
      <c r="G199" s="7" t="e">
        <f>#REF!</f>
        <v>#REF!</v>
      </c>
      <c r="H199" s="7" t="e">
        <f>#REF!</f>
        <v>#REF!</v>
      </c>
      <c r="I199" s="7" t="e">
        <f>#REF!</f>
        <v>#REF!</v>
      </c>
      <c r="J199" s="7" t="e">
        <f t="shared" si="54"/>
        <v>#REF!</v>
      </c>
      <c r="K199" s="7" t="e">
        <f t="shared" si="55"/>
        <v>#REF!</v>
      </c>
      <c r="L199" s="7" t="e">
        <f>IF(D199&lt;&gt;"Valid","",#REF!*0.4+#REF!*0.6)</f>
        <v>#REF!</v>
      </c>
      <c r="M199" s="7"/>
      <c r="N199" s="7" t="e">
        <f>IF(D199&lt;&gt;"Valid","Not Assessed (Insufficient Valid Data)",LOOKUP(L199,tblPerformanceCategory[Min],tblPerformanceCategory[Performance Category]))</f>
        <v>#REF!</v>
      </c>
      <c r="O199" s="7" t="e">
        <f>IF(D199="Valid","Yes","No")</f>
        <v>#REF!</v>
      </c>
    </row>
    <row r="200" spans="1:15" hidden="1">
      <c r="A200" s="7" t="e">
        <f>#REF!</f>
        <v>#REF!</v>
      </c>
      <c r="B200" s="7" t="e">
        <f>#REF!</f>
        <v>#REF!</v>
      </c>
      <c r="C200" s="7" t="e">
        <f>#REF!</f>
        <v>#REF!</v>
      </c>
      <c r="D200" s="7" t="e">
        <f>#REF!</f>
        <v>#REF!</v>
      </c>
      <c r="E200" s="7" t="e">
        <f>#REF!</f>
        <v>#REF!</v>
      </c>
      <c r="F200" s="7" t="e">
        <f>#REF!</f>
        <v>#REF!</v>
      </c>
      <c r="G200" s="7" t="e">
        <f>#REF!</f>
        <v>#REF!</v>
      </c>
      <c r="H200" s="7" t="e">
        <f>#REF!</f>
        <v>#REF!</v>
      </c>
      <c r="I200" s="7" t="e">
        <f>#REF!</f>
        <v>#REF!</v>
      </c>
      <c r="J200" s="7" t="e">
        <f t="shared" si="54"/>
        <v>#REF!</v>
      </c>
      <c r="K200" s="7" t="e">
        <f t="shared" si="55"/>
        <v>#REF!</v>
      </c>
      <c r="L200" s="7" t="e">
        <f>IF(D200&lt;&gt;"Valid","",#REF!*0.4+#REF!*0.6)</f>
        <v>#REF!</v>
      </c>
      <c r="M200" s="7"/>
      <c r="N200" s="7" t="e">
        <f>IF(D200&lt;&gt;"Valid","Not Assessed (Insufficient Valid Data)",LOOKUP(L200,tblPerformanceCategory[Min],tblPerformanceCategory[Performance Category]))</f>
        <v>#REF!</v>
      </c>
      <c r="O200" s="7" t="e">
        <f>IF(D200="Valid","Yes","No")</f>
        <v>#REF!</v>
      </c>
    </row>
    <row r="201" spans="1:15" hidden="1">
      <c r="A201" s="7" t="e">
        <f>#REF!</f>
        <v>#REF!</v>
      </c>
      <c r="B201" s="7" t="e">
        <f>#REF!</f>
        <v>#REF!</v>
      </c>
      <c r="C201" s="7" t="e">
        <f>#REF!</f>
        <v>#REF!</v>
      </c>
      <c r="D201" s="7" t="e">
        <f>#REF!</f>
        <v>#REF!</v>
      </c>
      <c r="E201" s="7" t="e">
        <f>#REF!</f>
        <v>#REF!</v>
      </c>
      <c r="F201" s="7" t="e">
        <f>#REF!</f>
        <v>#REF!</v>
      </c>
      <c r="G201" s="7" t="e">
        <f>#REF!</f>
        <v>#REF!</v>
      </c>
      <c r="H201" s="7" t="e">
        <f>#REF!</f>
        <v>#REF!</v>
      </c>
      <c r="I201" s="7" t="e">
        <f>#REF!</f>
        <v>#REF!</v>
      </c>
      <c r="J201" s="7" t="e">
        <f t="shared" si="54"/>
        <v>#REF!</v>
      </c>
      <c r="K201" s="7" t="e">
        <f t="shared" si="55"/>
        <v>#REF!</v>
      </c>
      <c r="L201" s="7" t="e">
        <f>IF(D201&lt;&gt;"Valid","",#REF!*0.4+#REF!*0.6)</f>
        <v>#REF!</v>
      </c>
      <c r="M201" s="7"/>
      <c r="N201" s="7" t="e">
        <f>IF(D201&lt;&gt;"Valid","Not Assessed (Insufficient Valid Data)",LOOKUP(L201,tblPerformanceCategory[Min],tblPerformanceCategory[Performance Category]))</f>
        <v>#REF!</v>
      </c>
      <c r="O201" s="7" t="e">
        <f>IF(D201="Valid","Yes","No")</f>
        <v>#REF!</v>
      </c>
    </row>
    <row r="202" spans="1:15" ht="42" hidden="1" customHeight="1">
      <c r="A202" s="7" t="e">
        <f>#REF!</f>
        <v>#REF!</v>
      </c>
      <c r="B202" s="7" t="e">
        <f>#REF!</f>
        <v>#REF!</v>
      </c>
      <c r="C202" s="7" t="e">
        <f>#REF!</f>
        <v>#REF!</v>
      </c>
      <c r="D202" s="7" t="e">
        <f>#REF!</f>
        <v>#REF!</v>
      </c>
      <c r="E202" s="7" t="e">
        <f>#REF!</f>
        <v>#REF!</v>
      </c>
      <c r="F202" s="7" t="e">
        <f>#REF!</f>
        <v>#REF!</v>
      </c>
      <c r="G202" s="7" t="e">
        <f>#REF!</f>
        <v>#REF!</v>
      </c>
      <c r="H202" s="7" t="e">
        <f>#REF!</f>
        <v>#REF!</v>
      </c>
      <c r="I202" s="7" t="e">
        <f>#REF!</f>
        <v>#REF!</v>
      </c>
      <c r="J202" s="7" t="e">
        <f t="shared" si="54"/>
        <v>#REF!</v>
      </c>
      <c r="K202" s="7" t="e">
        <f t="shared" si="55"/>
        <v>#REF!</v>
      </c>
      <c r="L202" s="7" t="e">
        <f>IF($D202&lt;&gt;"Valid",0,IFERROR(AVERAGE(#REF!,#REF!),0))</f>
        <v>#REF!</v>
      </c>
      <c r="M202" s="21" t="str">
        <f>IF(ISNUMBER(L202),_xlfn.RANK.EQ(L202,$L$2:$L$500,0),"")</f>
        <v/>
      </c>
      <c r="N202" s="7" t="e">
        <f>IF(L202=0,
"Not Assessed",
IF(L202&gt;=0.85,"Very High Performance",
IF(L202&gt;=0.7,"High Performance",
IF(L202&gt;=0.55,"Moderate Performance",
IF(L202&gt;=0.4,"Low Performance",
"Very Low Performance")))))</f>
        <v>#REF!</v>
      </c>
      <c r="O202" s="7" t="e">
        <f>IF($L202=0,
"Failed minimum data validation; requires contextual review in FSF.",
"Ready for contextual review in FSF.")</f>
        <v>#REF!</v>
      </c>
    </row>
    <row r="203" spans="1:15" ht="42" hidden="1" customHeight="1">
      <c r="A203" s="7" t="e">
        <f>#REF!</f>
        <v>#REF!</v>
      </c>
      <c r="B203" s="7" t="e">
        <f>#REF!</f>
        <v>#REF!</v>
      </c>
      <c r="C203" s="7" t="e">
        <f>#REF!</f>
        <v>#REF!</v>
      </c>
      <c r="D203" s="7" t="e">
        <f>#REF!</f>
        <v>#REF!</v>
      </c>
      <c r="E203" s="7" t="e">
        <f>#REF!</f>
        <v>#REF!</v>
      </c>
      <c r="F203" s="7" t="e">
        <f>#REF!</f>
        <v>#REF!</v>
      </c>
      <c r="G203" s="7" t="e">
        <f>#REF!</f>
        <v>#REF!</v>
      </c>
      <c r="H203" s="7" t="e">
        <f>#REF!</f>
        <v>#REF!</v>
      </c>
      <c r="I203" s="7" t="e">
        <f>#REF!</f>
        <v>#REF!</v>
      </c>
      <c r="J203" s="7" t="e">
        <f t="shared" si="54"/>
        <v>#REF!</v>
      </c>
      <c r="K203" s="7" t="e">
        <f t="shared" si="55"/>
        <v>#REF!</v>
      </c>
      <c r="L203" s="7" t="e">
        <f>IF($D203&lt;&gt;"Valid",0,IFERROR(AVERAGE(#REF!,#REF!),0))</f>
        <v>#REF!</v>
      </c>
      <c r="M203" s="21" t="str">
        <f>IF(ISNUMBER(L203),_xlfn.RANK.EQ(L203,$L$2:$L$500,0),"")</f>
        <v/>
      </c>
      <c r="N203" s="7" t="e">
        <f>IF(L203=0,
"Not Assessed",
IF(L203&gt;=0.85,"Very High Performance",
IF(L203&gt;=0.7,"High Performance",
IF(L203&gt;=0.55,"Moderate Performance",
IF(L203&gt;=0.4,"Low Performance",
"Very Low Performance")))))</f>
        <v>#REF!</v>
      </c>
      <c r="O203" s="7" t="e">
        <f>IF($L203=0,
"Failed minimum data validation; requires contextual review in FSF.",
"Ready for contextual review in FSF.")</f>
        <v>#REF!</v>
      </c>
    </row>
    <row r="204" spans="1:15" hidden="1">
      <c r="A204" s="7" t="e">
        <f>#REF!</f>
        <v>#REF!</v>
      </c>
      <c r="B204" s="7" t="e">
        <f>#REF!</f>
        <v>#REF!</v>
      </c>
      <c r="C204" s="7" t="e">
        <f>#REF!</f>
        <v>#REF!</v>
      </c>
      <c r="D204" s="7" t="e">
        <f>#REF!</f>
        <v>#REF!</v>
      </c>
      <c r="E204" s="7" t="e">
        <f>#REF!</f>
        <v>#REF!</v>
      </c>
      <c r="F204" s="7" t="e">
        <f>#REF!</f>
        <v>#REF!</v>
      </c>
      <c r="G204" s="7" t="e">
        <f>#REF!</f>
        <v>#REF!</v>
      </c>
      <c r="H204" s="7" t="e">
        <f>#REF!</f>
        <v>#REF!</v>
      </c>
      <c r="I204" s="7" t="e">
        <f>#REF!</f>
        <v>#REF!</v>
      </c>
      <c r="J204" s="7" t="e">
        <f t="shared" si="54"/>
        <v>#REF!</v>
      </c>
      <c r="K204" s="7" t="e">
        <f t="shared" si="55"/>
        <v>#REF!</v>
      </c>
      <c r="L204" s="7" t="e">
        <f>IF(D204&lt;&gt;"Valid","",#REF!*0.4+#REF!*0.6)</f>
        <v>#REF!</v>
      </c>
      <c r="M204" s="7"/>
      <c r="N204" s="7" t="e">
        <f>IF(D204&lt;&gt;"Valid","Not Assessed (Insufficient Valid Data)",LOOKUP(L204,tblPerformanceCategory[Min],tblPerformanceCategory[Performance Category]))</f>
        <v>#REF!</v>
      </c>
      <c r="O204" s="7" t="e">
        <f>IF(D204="Valid","Yes","No")</f>
        <v>#REF!</v>
      </c>
    </row>
    <row r="205" spans="1:15" ht="42" hidden="1" customHeight="1">
      <c r="A205" s="7" t="e">
        <f>#REF!</f>
        <v>#REF!</v>
      </c>
      <c r="B205" s="7" t="e">
        <f>#REF!</f>
        <v>#REF!</v>
      </c>
      <c r="C205" s="7" t="e">
        <f>#REF!</f>
        <v>#REF!</v>
      </c>
      <c r="D205" s="7" t="e">
        <f>#REF!</f>
        <v>#REF!</v>
      </c>
      <c r="E205" s="7" t="e">
        <f>#REF!</f>
        <v>#REF!</v>
      </c>
      <c r="F205" s="7" t="e">
        <f>#REF!</f>
        <v>#REF!</v>
      </c>
      <c r="G205" s="7" t="e">
        <f>#REF!</f>
        <v>#REF!</v>
      </c>
      <c r="H205" s="7" t="e">
        <f>#REF!</f>
        <v>#REF!</v>
      </c>
      <c r="I205" s="7" t="e">
        <f>#REF!</f>
        <v>#REF!</v>
      </c>
      <c r="J205" s="7" t="e">
        <f t="shared" si="54"/>
        <v>#REF!</v>
      </c>
      <c r="K205" s="7" t="e">
        <f t="shared" si="55"/>
        <v>#REF!</v>
      </c>
      <c r="L205" s="7" t="e">
        <f>IF($D205&lt;&gt;"Valid",0,IFERROR(AVERAGE(#REF!,#REF!),0))</f>
        <v>#REF!</v>
      </c>
      <c r="M205" s="21" t="str">
        <f>IF(ISNUMBER(L205),_xlfn.RANK.EQ(L205,$L$2:$L$500,0),"")</f>
        <v/>
      </c>
      <c r="N205" s="7" t="e">
        <f>IF(L205=0,
"Not Assessed",
IF(L205&gt;=0.85,"Very High Performance",
IF(L205&gt;=0.7,"High Performance",
IF(L205&gt;=0.55,"Moderate Performance",
IF(L205&gt;=0.4,"Low Performance",
"Very Low Performance")))))</f>
        <v>#REF!</v>
      </c>
      <c r="O205" s="7" t="e">
        <f>IF($L205=0,
"Failed minimum data validation; requires contextual review in FSF.",
"Ready for contextual review in FSF.")</f>
        <v>#REF!</v>
      </c>
    </row>
    <row r="206" spans="1:15" ht="42" customHeight="1">
      <c r="A206" s="7" t="str">
        <f>Derived_Indicators!A206</f>
        <v>Bwari Local Government Area</v>
      </c>
      <c r="B206" s="7" t="str">
        <f>Derived_Indicators!B206</f>
        <v>Bwari Central Ward</v>
      </c>
      <c r="C206" s="7" t="str">
        <f>Derived_Indicators!C206</f>
        <v>Kogo Primary Health Centre</v>
      </c>
      <c r="D206" s="7" t="str">
        <f>Derived_Indicators!Q206</f>
        <v>Valid</v>
      </c>
      <c r="E206" s="23">
        <f>Derived_Indicators!D206</f>
        <v>0.94823636363636354</v>
      </c>
      <c r="F206" s="23">
        <f>Derived_Indicators!E206</f>
        <v>0.75</v>
      </c>
      <c r="G206" s="23">
        <f>Derived_Indicators!K206</f>
        <v>0.94285714285714284</v>
      </c>
      <c r="H206" s="23">
        <f>Derived_Indicators!M206</f>
        <v>0.58545454545454545</v>
      </c>
      <c r="I206" s="23">
        <f>Derived_Indicators!N206</f>
        <v>0.2</v>
      </c>
      <c r="J206" s="23">
        <f>IF($D206&lt;&gt;"Valid","",AVERAGE(E206:F206))</f>
        <v>0.84911818181818177</v>
      </c>
      <c r="K206" s="23">
        <f>IF($D206&lt;&gt;"Valid","",AVERAGE(G206:I206))</f>
        <v>0.57610389610389612</v>
      </c>
      <c r="L206" s="23">
        <f>IF($D206&lt;&gt;"Valid","",AVERAGE(J206,K206))</f>
        <v>0.71261103896103895</v>
      </c>
      <c r="M206" s="21" t="e">
        <f>IF(AND($D206="Valid",ISNUMBER(L206)),RANK(L206,$L$2:$L$500,0),"")</f>
        <v>#REF!</v>
      </c>
      <c r="N206" s="7" t="str">
        <f>IF(L206="",
"Not Assessed",
IF(L206&gt;=0.85,"Excellent",
IF(L206&gt;=0.7,"Good",
IF(L206&gt;=0.55,"Moderate",
IF(L206&gt;=0.4,"Low",
"Very Low")))))</f>
        <v>Good</v>
      </c>
      <c r="O206" s="7" t="str">
        <f>IF($D206&lt;&gt;"Valid",
"Failed data validation; excluded from HFSI and requires contextual review in the Health Facility Selection Framework (HFSF).",
"Eligible for contextual assessment using the Health Facility Selection Framework (HFSF).")</f>
        <v>Eligible for contextual assessment using the Health Facility Selection Framework (HFSF).</v>
      </c>
    </row>
    <row r="207" spans="1:15" hidden="1">
      <c r="A207" s="7" t="e">
        <f>#REF!</f>
        <v>#REF!</v>
      </c>
      <c r="B207" s="7" t="e">
        <f>#REF!</f>
        <v>#REF!</v>
      </c>
      <c r="C207" s="7" t="e">
        <f>#REF!</f>
        <v>#REF!</v>
      </c>
      <c r="D207" s="7" t="e">
        <f>#REF!</f>
        <v>#REF!</v>
      </c>
      <c r="E207" s="7" t="e">
        <f>#REF!</f>
        <v>#REF!</v>
      </c>
      <c r="F207" s="7" t="e">
        <f>#REF!</f>
        <v>#REF!</v>
      </c>
      <c r="G207" s="7" t="e">
        <f>#REF!</f>
        <v>#REF!</v>
      </c>
      <c r="H207" s="7" t="e">
        <f>#REF!</f>
        <v>#REF!</v>
      </c>
      <c r="I207" s="7" t="e">
        <f>#REF!</f>
        <v>#REF!</v>
      </c>
      <c r="J207" s="7" t="e">
        <f>IF(D207&lt;&gt;"Valid","",SUM(E207:F207))</f>
        <v>#REF!</v>
      </c>
      <c r="K207" s="7" t="e">
        <f>IF(D207&lt;&gt;"Valid","",SUM(G207:I207))</f>
        <v>#REF!</v>
      </c>
      <c r="L207" s="7" t="e">
        <f>IF(D207&lt;&gt;"Valid","",#REF!*0.4+#REF!*0.6)</f>
        <v>#REF!</v>
      </c>
      <c r="M207" s="7"/>
      <c r="N207" s="7" t="e">
        <f>IF(D207&lt;&gt;"Valid","Not Assessed (Insufficient Valid Data)",LOOKUP(L207,tblPerformanceCategory[Min],tblPerformanceCategory[Performance Category]))</f>
        <v>#REF!</v>
      </c>
      <c r="O207" s="7" t="e">
        <f>IF(D207="Valid","Yes","No")</f>
        <v>#REF!</v>
      </c>
    </row>
    <row r="208" spans="1:15" hidden="1">
      <c r="A208" s="7" t="e">
        <f>#REF!</f>
        <v>#REF!</v>
      </c>
      <c r="B208" s="7" t="e">
        <f>#REF!</f>
        <v>#REF!</v>
      </c>
      <c r="C208" s="7" t="e">
        <f>#REF!</f>
        <v>#REF!</v>
      </c>
      <c r="D208" s="7" t="e">
        <f>#REF!</f>
        <v>#REF!</v>
      </c>
      <c r="E208" s="7" t="e">
        <f>#REF!</f>
        <v>#REF!</v>
      </c>
      <c r="F208" s="7" t="e">
        <f>#REF!</f>
        <v>#REF!</v>
      </c>
      <c r="G208" s="7" t="e">
        <f>#REF!</f>
        <v>#REF!</v>
      </c>
      <c r="H208" s="7" t="e">
        <f>#REF!</f>
        <v>#REF!</v>
      </c>
      <c r="I208" s="7" t="e">
        <f>#REF!</f>
        <v>#REF!</v>
      </c>
      <c r="J208" s="7" t="e">
        <f>IF(D208&lt;&gt;"Valid","",SUM(E208:F208))</f>
        <v>#REF!</v>
      </c>
      <c r="K208" s="7" t="e">
        <f>IF(D208&lt;&gt;"Valid","",SUM(G208:I208))</f>
        <v>#REF!</v>
      </c>
      <c r="L208" s="7" t="e">
        <f>IF(D208&lt;&gt;"Valid","",#REF!*0.4+#REF!*0.6)</f>
        <v>#REF!</v>
      </c>
      <c r="M208" s="7"/>
      <c r="N208" s="7" t="e">
        <f>IF(D208&lt;&gt;"Valid","Not Assessed (Insufficient Valid Data)",LOOKUP(L208,tblPerformanceCategory[Min],tblPerformanceCategory[Performance Category]))</f>
        <v>#REF!</v>
      </c>
      <c r="O208" s="7" t="e">
        <f>IF(D208="Valid","Yes","No")</f>
        <v>#REF!</v>
      </c>
    </row>
    <row r="209" spans="1:15" hidden="1">
      <c r="A209" s="7" t="e">
        <f>#REF!</f>
        <v>#REF!</v>
      </c>
      <c r="B209" s="7" t="e">
        <f>#REF!</f>
        <v>#REF!</v>
      </c>
      <c r="C209" s="7" t="e">
        <f>#REF!</f>
        <v>#REF!</v>
      </c>
      <c r="D209" s="7" t="e">
        <f>#REF!</f>
        <v>#REF!</v>
      </c>
      <c r="E209" s="7" t="e">
        <f>#REF!</f>
        <v>#REF!</v>
      </c>
      <c r="F209" s="7" t="e">
        <f>#REF!</f>
        <v>#REF!</v>
      </c>
      <c r="G209" s="7" t="e">
        <f>#REF!</f>
        <v>#REF!</v>
      </c>
      <c r="H209" s="7" t="e">
        <f>#REF!</f>
        <v>#REF!</v>
      </c>
      <c r="I209" s="7" t="e">
        <f>#REF!</f>
        <v>#REF!</v>
      </c>
      <c r="J209" s="7" t="e">
        <f>IF(D209&lt;&gt;"Valid","",SUM(E209:F209))</f>
        <v>#REF!</v>
      </c>
      <c r="K209" s="7" t="e">
        <f>IF(D209&lt;&gt;"Valid","",SUM(G209:I209))</f>
        <v>#REF!</v>
      </c>
      <c r="L209" s="7" t="e">
        <f>IF(D209&lt;&gt;"Valid","",#REF!*0.4+#REF!*0.6)</f>
        <v>#REF!</v>
      </c>
      <c r="M209" s="7"/>
      <c r="N209" s="7" t="e">
        <f>IF(D209&lt;&gt;"Valid","Not Assessed (Insufficient Valid Data)",LOOKUP(L209,tblPerformanceCategory[Min],tblPerformanceCategory[Performance Category]))</f>
        <v>#REF!</v>
      </c>
      <c r="O209" s="7" t="e">
        <f>IF(D209="Valid","Yes","No")</f>
        <v>#REF!</v>
      </c>
    </row>
    <row r="210" spans="1:15" ht="42" hidden="1" customHeight="1">
      <c r="A210" s="7" t="e">
        <f>#REF!</f>
        <v>#REF!</v>
      </c>
      <c r="B210" s="7" t="e">
        <f>#REF!</f>
        <v>#REF!</v>
      </c>
      <c r="C210" s="7" t="e">
        <f>#REF!</f>
        <v>#REF!</v>
      </c>
      <c r="D210" s="7" t="e">
        <f>#REF!</f>
        <v>#REF!</v>
      </c>
      <c r="E210" s="7" t="e">
        <f>#REF!</f>
        <v>#REF!</v>
      </c>
      <c r="F210" s="7" t="e">
        <f>#REF!</f>
        <v>#REF!</v>
      </c>
      <c r="G210" s="7" t="e">
        <f>#REF!</f>
        <v>#REF!</v>
      </c>
      <c r="H210" s="7" t="e">
        <f>#REF!</f>
        <v>#REF!</v>
      </c>
      <c r="I210" s="7" t="e">
        <f>#REF!</f>
        <v>#REF!</v>
      </c>
      <c r="J210" s="7" t="e">
        <f>IF(D210&lt;&gt;"Valid","",SUM(E210:F210))</f>
        <v>#REF!</v>
      </c>
      <c r="K210" s="7" t="e">
        <f>IF(D210&lt;&gt;"Valid","",SUM(G210:I210))</f>
        <v>#REF!</v>
      </c>
      <c r="L210" s="7" t="e">
        <f>IF($D210&lt;&gt;"Valid",0,IFERROR(AVERAGE(#REF!,#REF!),0))</f>
        <v>#REF!</v>
      </c>
      <c r="M210" s="21" t="str">
        <f>IF(ISNUMBER(L210),_xlfn.RANK.EQ(L210,$L$2:$L$500,0),"")</f>
        <v/>
      </c>
      <c r="N210" s="7" t="e">
        <f>IF(L210=0,
"Not Assessed",
IF(L210&gt;=0.85,"Very High Performance",
IF(L210&gt;=0.7,"High Performance",
IF(L210&gt;=0.55,"Moderate Performance",
IF(L210&gt;=0.4,"Low Performance",
"Very Low Performance")))))</f>
        <v>#REF!</v>
      </c>
      <c r="O210" s="7" t="e">
        <f>IF($L210=0,
"Failed minimum data validation; requires contextual review in FSF.",
"Ready for contextual review in FSF.")</f>
        <v>#REF!</v>
      </c>
    </row>
    <row r="211" spans="1:15" ht="42" customHeight="1">
      <c r="A211" s="7" t="str">
        <f>Derived_Indicators!A211</f>
        <v>Bwari Local Government Area</v>
      </c>
      <c r="B211" s="7" t="str">
        <f>Derived_Indicators!B211</f>
        <v>Usuma Ward</v>
      </c>
      <c r="C211" s="7" t="str">
        <f>Derived_Indicators!C211</f>
        <v>Kubwa General Hospital</v>
      </c>
      <c r="D211" s="7" t="str">
        <f>Derived_Indicators!Q211</f>
        <v>Invalid</v>
      </c>
      <c r="E211" s="23">
        <f>Derived_Indicators!D211</f>
        <v>1</v>
      </c>
      <c r="F211" s="23">
        <f>Derived_Indicators!E211</f>
        <v>1</v>
      </c>
      <c r="G211" s="23">
        <f>Derived_Indicators!K211</f>
        <v>2.4795050270688321</v>
      </c>
      <c r="H211" s="23">
        <f>Derived_Indicators!M211</f>
        <v>0.25423728813559321</v>
      </c>
      <c r="I211" s="23">
        <f>Derived_Indicators!N211</f>
        <v>6.645851917930419E-2</v>
      </c>
      <c r="J211" s="23" t="str">
        <f>IF($D211&lt;&gt;"Valid","",AVERAGE(E211:F211))</f>
        <v/>
      </c>
      <c r="K211" s="23" t="str">
        <f>IF($D211&lt;&gt;"Valid","",AVERAGE(G211:I211))</f>
        <v/>
      </c>
      <c r="L211" s="23" t="str">
        <f>IF($D211&lt;&gt;"Valid","",AVERAGE(J211,K211))</f>
        <v/>
      </c>
      <c r="M211" s="21" t="str">
        <f>IF(AND($D211="Valid",ISNUMBER(L211)),RANK(L211,$L$2:$L$500,0),"")</f>
        <v/>
      </c>
      <c r="N211" s="7" t="str">
        <f>IF(L211="",
"Not Assessed",
IF(L211&gt;=0.85,"Excellent",
IF(L211&gt;=0.7,"Good",
IF(L211&gt;=0.55,"Moderate",
IF(L211&gt;=0.4,"Low",
"Very Low")))))</f>
        <v>Not Assessed</v>
      </c>
      <c r="O211" s="7" t="str">
        <f>IF($D211&lt;&gt;"Valid",
"Failed data validation; excluded from HFSI and requires contextual review in the Health Facility Selection Framework (HFSF).",
"Eligible for contextual assessment using the Health Facility Selection Framework (HFSF).")</f>
        <v>Failed data validation; excluded from HFSI and requires contextual review in the Health Facility Selection Framework (HFSF).</v>
      </c>
    </row>
    <row r="212" spans="1:15" ht="42" hidden="1" customHeight="1">
      <c r="A212" s="7" t="e">
        <f>#REF!</f>
        <v>#REF!</v>
      </c>
      <c r="B212" s="7" t="e">
        <f>#REF!</f>
        <v>#REF!</v>
      </c>
      <c r="C212" s="7" t="e">
        <f>#REF!</f>
        <v>#REF!</v>
      </c>
      <c r="D212" s="7" t="e">
        <f>#REF!</f>
        <v>#REF!</v>
      </c>
      <c r="E212" s="7" t="e">
        <f>#REF!</f>
        <v>#REF!</v>
      </c>
      <c r="F212" s="7" t="e">
        <f>#REF!</f>
        <v>#REF!</v>
      </c>
      <c r="G212" s="7" t="e">
        <f>#REF!</f>
        <v>#REF!</v>
      </c>
      <c r="H212" s="7" t="e">
        <f>#REF!</f>
        <v>#REF!</v>
      </c>
      <c r="I212" s="7" t="e">
        <f>#REF!</f>
        <v>#REF!</v>
      </c>
      <c r="J212" s="7" t="e">
        <f t="shared" ref="J212:J217" si="56">IF(D212&lt;&gt;"Valid","",SUM(E212:F212))</f>
        <v>#REF!</v>
      </c>
      <c r="K212" s="7" t="e">
        <f t="shared" ref="K212:K217" si="57">IF(D212&lt;&gt;"Valid","",SUM(G212:I212))</f>
        <v>#REF!</v>
      </c>
      <c r="L212" s="7" t="e">
        <f>IF($D212&lt;&gt;"Valid",0,IFERROR(AVERAGE(#REF!,#REF!),0))</f>
        <v>#REF!</v>
      </c>
      <c r="M212" s="21" t="str">
        <f>IF(ISNUMBER(L212),_xlfn.RANK.EQ(L212,$L$2:$L$500,0),"")</f>
        <v/>
      </c>
      <c r="N212" s="7" t="e">
        <f>IF(L212=0,
"Not Assessed",
IF(L212&gt;=0.85,"Very High Performance",
IF(L212&gt;=0.7,"High Performance",
IF(L212&gt;=0.55,"Moderate Performance",
IF(L212&gt;=0.4,"Low Performance",
"Very Low Performance")))))</f>
        <v>#REF!</v>
      </c>
      <c r="O212" s="7" t="e">
        <f>IF($L212=0,
"Failed minimum data validation; requires contextual review in FSF.",
"Ready for contextual review in FSF.")</f>
        <v>#REF!</v>
      </c>
    </row>
    <row r="213" spans="1:15" ht="42" hidden="1" customHeight="1">
      <c r="A213" s="7" t="e">
        <f>#REF!</f>
        <v>#REF!</v>
      </c>
      <c r="B213" s="7" t="e">
        <f>#REF!</f>
        <v>#REF!</v>
      </c>
      <c r="C213" s="7" t="e">
        <f>#REF!</f>
        <v>#REF!</v>
      </c>
      <c r="D213" s="7" t="e">
        <f>#REF!</f>
        <v>#REF!</v>
      </c>
      <c r="E213" s="7" t="e">
        <f>#REF!</f>
        <v>#REF!</v>
      </c>
      <c r="F213" s="7" t="e">
        <f>#REF!</f>
        <v>#REF!</v>
      </c>
      <c r="G213" s="7" t="e">
        <f>#REF!</f>
        <v>#REF!</v>
      </c>
      <c r="H213" s="7" t="e">
        <f>#REF!</f>
        <v>#REF!</v>
      </c>
      <c r="I213" s="7" t="e">
        <f>#REF!</f>
        <v>#REF!</v>
      </c>
      <c r="J213" s="7" t="e">
        <f t="shared" si="56"/>
        <v>#REF!</v>
      </c>
      <c r="K213" s="7" t="e">
        <f t="shared" si="57"/>
        <v>#REF!</v>
      </c>
      <c r="L213" s="7" t="e">
        <f>IF($D213&lt;&gt;"Valid",0,IFERROR(AVERAGE(#REF!,#REF!),0))</f>
        <v>#REF!</v>
      </c>
      <c r="M213" s="21" t="str">
        <f>IF(ISNUMBER(L213),_xlfn.RANK.EQ(L213,$L$2:$L$500,0),"")</f>
        <v/>
      </c>
      <c r="N213" s="7" t="e">
        <f>IF(L213=0,
"Not Assessed",
IF(L213&gt;=0.85,"Very High Performance",
IF(L213&gt;=0.7,"High Performance",
IF(L213&gt;=0.55,"Moderate Performance",
IF(L213&gt;=0.4,"Low Performance",
"Very Low Performance")))))</f>
        <v>#REF!</v>
      </c>
      <c r="O213" s="7" t="e">
        <f>IF($L213=0,
"Failed minimum data validation; requires contextual review in FSF.",
"Ready for contextual review in FSF.")</f>
        <v>#REF!</v>
      </c>
    </row>
    <row r="214" spans="1:15" ht="42" hidden="1" customHeight="1">
      <c r="A214" s="7" t="e">
        <f>#REF!</f>
        <v>#REF!</v>
      </c>
      <c r="B214" s="7" t="e">
        <f>#REF!</f>
        <v>#REF!</v>
      </c>
      <c r="C214" s="7" t="e">
        <f>#REF!</f>
        <v>#REF!</v>
      </c>
      <c r="D214" s="7" t="e">
        <f>#REF!</f>
        <v>#REF!</v>
      </c>
      <c r="E214" s="7" t="e">
        <f>#REF!</f>
        <v>#REF!</v>
      </c>
      <c r="F214" s="7" t="e">
        <f>#REF!</f>
        <v>#REF!</v>
      </c>
      <c r="G214" s="7" t="e">
        <f>#REF!</f>
        <v>#REF!</v>
      </c>
      <c r="H214" s="7" t="e">
        <f>#REF!</f>
        <v>#REF!</v>
      </c>
      <c r="I214" s="7" t="e">
        <f>#REF!</f>
        <v>#REF!</v>
      </c>
      <c r="J214" s="7" t="e">
        <f t="shared" si="56"/>
        <v>#REF!</v>
      </c>
      <c r="K214" s="7" t="e">
        <f t="shared" si="57"/>
        <v>#REF!</v>
      </c>
      <c r="L214" s="7" t="e">
        <f>IF($D214&lt;&gt;"Valid",0,IFERROR(AVERAGE(#REF!,#REF!),0))</f>
        <v>#REF!</v>
      </c>
      <c r="M214" s="21" t="str">
        <f>IF(ISNUMBER(L214),_xlfn.RANK.EQ(L214,$L$2:$L$500,0),"")</f>
        <v/>
      </c>
      <c r="N214" s="7" t="e">
        <f>IF(L214=0,
"Not Assessed",
IF(L214&gt;=0.85,"Very High Performance",
IF(L214&gt;=0.7,"High Performance",
IF(L214&gt;=0.55,"Moderate Performance",
IF(L214&gt;=0.4,"Low Performance",
"Very Low Performance")))))</f>
        <v>#REF!</v>
      </c>
      <c r="O214" s="7" t="e">
        <f>IF($L214=0,
"Failed minimum data validation; requires contextual review in FSF.",
"Ready for contextual review in FSF.")</f>
        <v>#REF!</v>
      </c>
    </row>
    <row r="215" spans="1:15" ht="42" hidden="1" customHeight="1">
      <c r="A215" s="7" t="e">
        <f>#REF!</f>
        <v>#REF!</v>
      </c>
      <c r="B215" s="7" t="e">
        <f>#REF!</f>
        <v>#REF!</v>
      </c>
      <c r="C215" s="7" t="e">
        <f>#REF!</f>
        <v>#REF!</v>
      </c>
      <c r="D215" s="7" t="e">
        <f>#REF!</f>
        <v>#REF!</v>
      </c>
      <c r="E215" s="7" t="e">
        <f>#REF!</f>
        <v>#REF!</v>
      </c>
      <c r="F215" s="7" t="e">
        <f>#REF!</f>
        <v>#REF!</v>
      </c>
      <c r="G215" s="7" t="e">
        <f>#REF!</f>
        <v>#REF!</v>
      </c>
      <c r="H215" s="7" t="e">
        <f>#REF!</f>
        <v>#REF!</v>
      </c>
      <c r="I215" s="7" t="e">
        <f>#REF!</f>
        <v>#REF!</v>
      </c>
      <c r="J215" s="7" t="e">
        <f t="shared" si="56"/>
        <v>#REF!</v>
      </c>
      <c r="K215" s="7" t="e">
        <f t="shared" si="57"/>
        <v>#REF!</v>
      </c>
      <c r="L215" s="7" t="e">
        <f>IF($D215&lt;&gt;"Valid",0,IFERROR(AVERAGE(#REF!,#REF!),0))</f>
        <v>#REF!</v>
      </c>
      <c r="M215" s="21" t="str">
        <f>IF(ISNUMBER(L215),_xlfn.RANK.EQ(L215,$L$2:$L$500,0),"")</f>
        <v/>
      </c>
      <c r="N215" s="7" t="e">
        <f>IF(L215=0,
"Not Assessed",
IF(L215&gt;=0.85,"Very High Performance",
IF(L215&gt;=0.7,"High Performance",
IF(L215&gt;=0.55,"Moderate Performance",
IF(L215&gt;=0.4,"Low Performance",
"Very Low Performance")))))</f>
        <v>#REF!</v>
      </c>
      <c r="O215" s="7" t="e">
        <f>IF($L215=0,
"Failed minimum data validation; requires contextual review in FSF.",
"Ready for contextual review in FSF.")</f>
        <v>#REF!</v>
      </c>
    </row>
    <row r="216" spans="1:15" ht="42" hidden="1" customHeight="1">
      <c r="A216" s="7" t="e">
        <f>#REF!</f>
        <v>#REF!</v>
      </c>
      <c r="B216" s="7" t="e">
        <f>#REF!</f>
        <v>#REF!</v>
      </c>
      <c r="C216" s="7" t="e">
        <f>#REF!</f>
        <v>#REF!</v>
      </c>
      <c r="D216" s="7" t="e">
        <f>#REF!</f>
        <v>#REF!</v>
      </c>
      <c r="E216" s="7" t="e">
        <f>#REF!</f>
        <v>#REF!</v>
      </c>
      <c r="F216" s="7" t="e">
        <f>#REF!</f>
        <v>#REF!</v>
      </c>
      <c r="G216" s="7" t="e">
        <f>#REF!</f>
        <v>#REF!</v>
      </c>
      <c r="H216" s="7" t="e">
        <f>#REF!</f>
        <v>#REF!</v>
      </c>
      <c r="I216" s="7" t="e">
        <f>#REF!</f>
        <v>#REF!</v>
      </c>
      <c r="J216" s="7" t="e">
        <f t="shared" si="56"/>
        <v>#REF!</v>
      </c>
      <c r="K216" s="7" t="e">
        <f t="shared" si="57"/>
        <v>#REF!</v>
      </c>
      <c r="L216" s="7" t="e">
        <f>IF($D216&lt;&gt;"Valid",0,IFERROR(AVERAGE(#REF!,#REF!),0))</f>
        <v>#REF!</v>
      </c>
      <c r="M216" s="21" t="str">
        <f>IF(ISNUMBER(L216),_xlfn.RANK.EQ(L216,$L$2:$L$500,0),"")</f>
        <v/>
      </c>
      <c r="N216" s="7" t="e">
        <f>IF(L216=0,
"Not Assessed",
IF(L216&gt;=0.85,"Very High Performance",
IF(L216&gt;=0.7,"High Performance",
IF(L216&gt;=0.55,"Moderate Performance",
IF(L216&gt;=0.4,"Low Performance",
"Very Low Performance")))))</f>
        <v>#REF!</v>
      </c>
      <c r="O216" s="7" t="e">
        <f>IF($L216=0,
"Failed minimum data validation; requires contextual review in FSF.",
"Ready for contextual review in FSF.")</f>
        <v>#REF!</v>
      </c>
    </row>
    <row r="217" spans="1:15" hidden="1">
      <c r="A217" s="7" t="e">
        <f>#REF!</f>
        <v>#REF!</v>
      </c>
      <c r="B217" s="7" t="e">
        <f>#REF!</f>
        <v>#REF!</v>
      </c>
      <c r="C217" s="7" t="e">
        <f>#REF!</f>
        <v>#REF!</v>
      </c>
      <c r="D217" s="7" t="e">
        <f>#REF!</f>
        <v>#REF!</v>
      </c>
      <c r="E217" s="7" t="e">
        <f>#REF!</f>
        <v>#REF!</v>
      </c>
      <c r="F217" s="7" t="e">
        <f>#REF!</f>
        <v>#REF!</v>
      </c>
      <c r="G217" s="7" t="e">
        <f>#REF!</f>
        <v>#REF!</v>
      </c>
      <c r="H217" s="7" t="e">
        <f>#REF!</f>
        <v>#REF!</v>
      </c>
      <c r="I217" s="7" t="e">
        <f>#REF!</f>
        <v>#REF!</v>
      </c>
      <c r="J217" s="7" t="e">
        <f t="shared" si="56"/>
        <v>#REF!</v>
      </c>
      <c r="K217" s="7" t="e">
        <f t="shared" si="57"/>
        <v>#REF!</v>
      </c>
      <c r="L217" s="7" t="e">
        <f>IF(D217&lt;&gt;"Valid","",#REF!*0.4+#REF!*0.6)</f>
        <v>#REF!</v>
      </c>
      <c r="M217" s="7"/>
      <c r="N217" s="7" t="e">
        <f>IF(D217&lt;&gt;"Valid","Not Assessed (Insufficient Valid Data)",LOOKUP(L217,tblPerformanceCategory[Min],tblPerformanceCategory[Performance Category]))</f>
        <v>#REF!</v>
      </c>
      <c r="O217" s="7" t="e">
        <f>IF(D217="Valid","Yes","No")</f>
        <v>#REF!</v>
      </c>
    </row>
    <row r="218" spans="1:15" ht="42" customHeight="1">
      <c r="A218" s="7" t="str">
        <f>Derived_Indicators!A218</f>
        <v>Bwari Local Government Area</v>
      </c>
      <c r="B218" s="7" t="str">
        <f>Derived_Indicators!B218</f>
        <v>Kuduru Ward</v>
      </c>
      <c r="C218" s="7" t="str">
        <f>Derived_Indicators!C218</f>
        <v>Kuduru Primary Health Clinic</v>
      </c>
      <c r="D218" s="7" t="str">
        <f>Derived_Indicators!Q218</f>
        <v>Valid</v>
      </c>
      <c r="E218" s="23">
        <f>Derived_Indicators!D218</f>
        <v>0.93889</v>
      </c>
      <c r="F218" s="23">
        <f>Derived_Indicators!E218</f>
        <v>0.82499999999999996</v>
      </c>
      <c r="G218" s="23">
        <f>Derived_Indicators!K218</f>
        <v>0.93969849246231152</v>
      </c>
      <c r="H218" s="23">
        <f>Derived_Indicators!M218</f>
        <v>0.72641509433962259</v>
      </c>
      <c r="I218" s="23">
        <f>Derived_Indicators!N218</f>
        <v>1.8867924528301886E-2</v>
      </c>
      <c r="J218" s="23">
        <f>IF($D218&lt;&gt;"Valid","",AVERAGE(E218:F218))</f>
        <v>0.88194499999999998</v>
      </c>
      <c r="K218" s="23">
        <f>IF($D218&lt;&gt;"Valid","",AVERAGE(G218:I218))</f>
        <v>0.56166050377674537</v>
      </c>
      <c r="L218" s="23">
        <f>IF($D218&lt;&gt;"Valid","",AVERAGE(J218,K218))</f>
        <v>0.72180275188837273</v>
      </c>
      <c r="M218" s="21" t="e">
        <f>IF(AND($D218="Valid",ISNUMBER(L218)),RANK(L218,$L$2:$L$500,0),"")</f>
        <v>#REF!</v>
      </c>
      <c r="N218" s="7" t="str">
        <f>IF(L218="",
"Not Assessed",
IF(L218&gt;=0.85,"Excellent",
IF(L218&gt;=0.7,"Good",
IF(L218&gt;=0.55,"Moderate",
IF(L218&gt;=0.4,"Low",
"Very Low")))))</f>
        <v>Good</v>
      </c>
      <c r="O218" s="7" t="str">
        <f>IF($D218&lt;&gt;"Valid",
"Failed data validation; excluded from HFSI and requires contextual review in the Health Facility Selection Framework (HFSF).",
"Eligible for contextual assessment using the Health Facility Selection Framework (HFSF).")</f>
        <v>Eligible for contextual assessment using the Health Facility Selection Framework (HFSF).</v>
      </c>
    </row>
    <row r="219" spans="1:15" ht="42" hidden="1" customHeight="1">
      <c r="A219" s="7" t="e">
        <f>#REF!</f>
        <v>#REF!</v>
      </c>
      <c r="B219" s="7" t="e">
        <f>#REF!</f>
        <v>#REF!</v>
      </c>
      <c r="C219" s="7" t="e">
        <f>#REF!</f>
        <v>#REF!</v>
      </c>
      <c r="D219" s="7" t="e">
        <f>#REF!</f>
        <v>#REF!</v>
      </c>
      <c r="E219" s="7" t="e">
        <f>#REF!</f>
        <v>#REF!</v>
      </c>
      <c r="F219" s="7" t="e">
        <f>#REF!</f>
        <v>#REF!</v>
      </c>
      <c r="G219" s="7" t="e">
        <f>#REF!</f>
        <v>#REF!</v>
      </c>
      <c r="H219" s="7" t="e">
        <f>#REF!</f>
        <v>#REF!</v>
      </c>
      <c r="I219" s="7" t="e">
        <f>#REF!</f>
        <v>#REF!</v>
      </c>
      <c r="J219" s="7" t="e">
        <f t="shared" ref="J219:J245" si="58">IF(D219&lt;&gt;"Valid","",SUM(E219:F219))</f>
        <v>#REF!</v>
      </c>
      <c r="K219" s="7" t="e">
        <f t="shared" ref="K219:K245" si="59">IF(D219&lt;&gt;"Valid","",SUM(G219:I219))</f>
        <v>#REF!</v>
      </c>
      <c r="L219" s="7" t="e">
        <f>IF($D219&lt;&gt;"Valid",0,IFERROR(AVERAGE(#REF!,#REF!),0))</f>
        <v>#REF!</v>
      </c>
      <c r="M219" s="21" t="str">
        <f>IF(ISNUMBER(L219),_xlfn.RANK.EQ(L219,$L$2:$L$500,0),"")</f>
        <v/>
      </c>
      <c r="N219" s="7" t="e">
        <f>IF(L219=0,
"Not Assessed",
IF(L219&gt;=0.85,"Very High Performance",
IF(L219&gt;=0.7,"High Performance",
IF(L219&gt;=0.55,"Moderate Performance",
IF(L219&gt;=0.4,"Low Performance",
"Very Low Performance")))))</f>
        <v>#REF!</v>
      </c>
      <c r="O219" s="7" t="e">
        <f>IF($L219=0,
"Failed minimum data validation; requires contextual review in FSF.",
"Ready for contextual review in FSF.")</f>
        <v>#REF!</v>
      </c>
    </row>
    <row r="220" spans="1:15" hidden="1">
      <c r="A220" s="7" t="e">
        <f>#REF!</f>
        <v>#REF!</v>
      </c>
      <c r="B220" s="7" t="e">
        <f>#REF!</f>
        <v>#REF!</v>
      </c>
      <c r="C220" s="7" t="e">
        <f>#REF!</f>
        <v>#REF!</v>
      </c>
      <c r="D220" s="7" t="e">
        <f>#REF!</f>
        <v>#REF!</v>
      </c>
      <c r="E220" s="7" t="e">
        <f>#REF!</f>
        <v>#REF!</v>
      </c>
      <c r="F220" s="7" t="e">
        <f>#REF!</f>
        <v>#REF!</v>
      </c>
      <c r="G220" s="7" t="e">
        <f>#REF!</f>
        <v>#REF!</v>
      </c>
      <c r="H220" s="7" t="e">
        <f>#REF!</f>
        <v>#REF!</v>
      </c>
      <c r="I220" s="7" t="e">
        <f>#REF!</f>
        <v>#REF!</v>
      </c>
      <c r="J220" s="7" t="e">
        <f t="shared" si="58"/>
        <v>#REF!</v>
      </c>
      <c r="K220" s="7" t="e">
        <f t="shared" si="59"/>
        <v>#REF!</v>
      </c>
      <c r="L220" s="7" t="e">
        <f>IF(D220&lt;&gt;"Valid","",#REF!*0.4+#REF!*0.6)</f>
        <v>#REF!</v>
      </c>
      <c r="M220" s="7"/>
      <c r="N220" s="7" t="e">
        <f>IF(D220&lt;&gt;"Valid","Not Assessed (Insufficient Valid Data)",LOOKUP(L220,tblPerformanceCategory[Min],tblPerformanceCategory[Performance Category]))</f>
        <v>#REF!</v>
      </c>
      <c r="O220" s="7" t="e">
        <f>IF(D220="Valid","Yes","No")</f>
        <v>#REF!</v>
      </c>
    </row>
    <row r="221" spans="1:15" hidden="1">
      <c r="A221" s="7" t="e">
        <f>#REF!</f>
        <v>#REF!</v>
      </c>
      <c r="B221" s="7" t="e">
        <f>#REF!</f>
        <v>#REF!</v>
      </c>
      <c r="C221" s="7" t="e">
        <f>#REF!</f>
        <v>#REF!</v>
      </c>
      <c r="D221" s="7" t="e">
        <f>#REF!</f>
        <v>#REF!</v>
      </c>
      <c r="E221" s="7" t="e">
        <f>#REF!</f>
        <v>#REF!</v>
      </c>
      <c r="F221" s="7" t="e">
        <f>#REF!</f>
        <v>#REF!</v>
      </c>
      <c r="G221" s="7" t="e">
        <f>#REF!</f>
        <v>#REF!</v>
      </c>
      <c r="H221" s="7" t="e">
        <f>#REF!</f>
        <v>#REF!</v>
      </c>
      <c r="I221" s="7" t="e">
        <f>#REF!</f>
        <v>#REF!</v>
      </c>
      <c r="J221" s="7" t="e">
        <f t="shared" si="58"/>
        <v>#REF!</v>
      </c>
      <c r="K221" s="7" t="e">
        <f t="shared" si="59"/>
        <v>#REF!</v>
      </c>
      <c r="L221" s="7" t="e">
        <f>IF(D221&lt;&gt;"Valid","",#REF!*0.4+#REF!*0.6)</f>
        <v>#REF!</v>
      </c>
      <c r="M221" s="7"/>
      <c r="N221" s="7" t="e">
        <f>IF(D221&lt;&gt;"Valid","Not Assessed (Insufficient Valid Data)",LOOKUP(L221,tblPerformanceCategory[Min],tblPerformanceCategory[Performance Category]))</f>
        <v>#REF!</v>
      </c>
      <c r="O221" s="7" t="e">
        <f>IF(D221="Valid","Yes","No")</f>
        <v>#REF!</v>
      </c>
    </row>
    <row r="222" spans="1:15" hidden="1">
      <c r="A222" s="7" t="e">
        <f>#REF!</f>
        <v>#REF!</v>
      </c>
      <c r="B222" s="7" t="e">
        <f>#REF!</f>
        <v>#REF!</v>
      </c>
      <c r="C222" s="7" t="e">
        <f>#REF!</f>
        <v>#REF!</v>
      </c>
      <c r="D222" s="7" t="e">
        <f>#REF!</f>
        <v>#REF!</v>
      </c>
      <c r="E222" s="7" t="e">
        <f>#REF!</f>
        <v>#REF!</v>
      </c>
      <c r="F222" s="7" t="e">
        <f>#REF!</f>
        <v>#REF!</v>
      </c>
      <c r="G222" s="7" t="e">
        <f>#REF!</f>
        <v>#REF!</v>
      </c>
      <c r="H222" s="7" t="e">
        <f>#REF!</f>
        <v>#REF!</v>
      </c>
      <c r="I222" s="7" t="e">
        <f>#REF!</f>
        <v>#REF!</v>
      </c>
      <c r="J222" s="7" t="e">
        <f t="shared" si="58"/>
        <v>#REF!</v>
      </c>
      <c r="K222" s="7" t="e">
        <f t="shared" si="59"/>
        <v>#REF!</v>
      </c>
      <c r="L222" s="7" t="e">
        <f>IF(D222&lt;&gt;"Valid","",#REF!*0.4+#REF!*0.6)</f>
        <v>#REF!</v>
      </c>
      <c r="M222" s="7"/>
      <c r="N222" s="7" t="e">
        <f>IF(D222&lt;&gt;"Valid","Not Assessed (Insufficient Valid Data)",LOOKUP(L222,tblPerformanceCategory[Min],tblPerformanceCategory[Performance Category]))</f>
        <v>#REF!</v>
      </c>
      <c r="O222" s="7" t="e">
        <f>IF(D222="Valid","Yes","No")</f>
        <v>#REF!</v>
      </c>
    </row>
    <row r="223" spans="1:15" hidden="1">
      <c r="A223" s="7" t="e">
        <f>#REF!</f>
        <v>#REF!</v>
      </c>
      <c r="B223" s="7" t="e">
        <f>#REF!</f>
        <v>#REF!</v>
      </c>
      <c r="C223" s="7" t="e">
        <f>#REF!</f>
        <v>#REF!</v>
      </c>
      <c r="D223" s="7" t="e">
        <f>#REF!</f>
        <v>#REF!</v>
      </c>
      <c r="E223" s="7" t="e">
        <f>#REF!</f>
        <v>#REF!</v>
      </c>
      <c r="F223" s="7" t="e">
        <f>#REF!</f>
        <v>#REF!</v>
      </c>
      <c r="G223" s="7" t="e">
        <f>#REF!</f>
        <v>#REF!</v>
      </c>
      <c r="H223" s="7" t="e">
        <f>#REF!</f>
        <v>#REF!</v>
      </c>
      <c r="I223" s="7" t="e">
        <f>#REF!</f>
        <v>#REF!</v>
      </c>
      <c r="J223" s="7" t="e">
        <f t="shared" si="58"/>
        <v>#REF!</v>
      </c>
      <c r="K223" s="7" t="e">
        <f t="shared" si="59"/>
        <v>#REF!</v>
      </c>
      <c r="L223" s="7" t="e">
        <f>IF(D223&lt;&gt;"Valid","",#REF!*0.4+#REF!*0.6)</f>
        <v>#REF!</v>
      </c>
      <c r="M223" s="7"/>
      <c r="N223" s="7" t="e">
        <f>IF(D223&lt;&gt;"Valid","Not Assessed (Insufficient Valid Data)",LOOKUP(L223,tblPerformanceCategory[Min],tblPerformanceCategory[Performance Category]))</f>
        <v>#REF!</v>
      </c>
      <c r="O223" s="7" t="e">
        <f>IF(D223="Valid","Yes","No")</f>
        <v>#REF!</v>
      </c>
    </row>
    <row r="224" spans="1:15" hidden="1">
      <c r="A224" s="7" t="e">
        <f>#REF!</f>
        <v>#REF!</v>
      </c>
      <c r="B224" s="7" t="e">
        <f>#REF!</f>
        <v>#REF!</v>
      </c>
      <c r="C224" s="7" t="e">
        <f>#REF!</f>
        <v>#REF!</v>
      </c>
      <c r="D224" s="7" t="e">
        <f>#REF!</f>
        <v>#REF!</v>
      </c>
      <c r="E224" s="7" t="e">
        <f>#REF!</f>
        <v>#REF!</v>
      </c>
      <c r="F224" s="7" t="e">
        <f>#REF!</f>
        <v>#REF!</v>
      </c>
      <c r="G224" s="7" t="e">
        <f>#REF!</f>
        <v>#REF!</v>
      </c>
      <c r="H224" s="7" t="e">
        <f>#REF!</f>
        <v>#REF!</v>
      </c>
      <c r="I224" s="7" t="e">
        <f>#REF!</f>
        <v>#REF!</v>
      </c>
      <c r="J224" s="7" t="e">
        <f t="shared" si="58"/>
        <v>#REF!</v>
      </c>
      <c r="K224" s="7" t="e">
        <f t="shared" si="59"/>
        <v>#REF!</v>
      </c>
      <c r="L224" s="7" t="e">
        <f>IF(D224&lt;&gt;"Valid","",#REF!*0.4+#REF!*0.6)</f>
        <v>#REF!</v>
      </c>
      <c r="M224" s="7"/>
      <c r="N224" s="7" t="e">
        <f>IF(D224&lt;&gt;"Valid","Not Assessed (Insufficient Valid Data)",LOOKUP(L224,tblPerformanceCategory[Min],tblPerformanceCategory[Performance Category]))</f>
        <v>#REF!</v>
      </c>
      <c r="O224" s="7" t="e">
        <f>IF(D224="Valid","Yes","No")</f>
        <v>#REF!</v>
      </c>
    </row>
    <row r="225" spans="1:15" ht="42" hidden="1" customHeight="1">
      <c r="A225" s="7" t="e">
        <f>#REF!</f>
        <v>#REF!</v>
      </c>
      <c r="B225" s="7" t="e">
        <f>#REF!</f>
        <v>#REF!</v>
      </c>
      <c r="C225" s="7" t="e">
        <f>#REF!</f>
        <v>#REF!</v>
      </c>
      <c r="D225" s="7" t="e">
        <f>#REF!</f>
        <v>#REF!</v>
      </c>
      <c r="E225" s="7" t="e">
        <f>#REF!</f>
        <v>#REF!</v>
      </c>
      <c r="F225" s="7" t="e">
        <f>#REF!</f>
        <v>#REF!</v>
      </c>
      <c r="G225" s="7" t="e">
        <f>#REF!</f>
        <v>#REF!</v>
      </c>
      <c r="H225" s="7" t="e">
        <f>#REF!</f>
        <v>#REF!</v>
      </c>
      <c r="I225" s="7" t="e">
        <f>#REF!</f>
        <v>#REF!</v>
      </c>
      <c r="J225" s="7" t="e">
        <f t="shared" si="58"/>
        <v>#REF!</v>
      </c>
      <c r="K225" s="7" t="e">
        <f t="shared" si="59"/>
        <v>#REF!</v>
      </c>
      <c r="L225" s="7" t="e">
        <f>IF($D225&lt;&gt;"Valid",0,IFERROR(AVERAGE(#REF!,#REF!),0))</f>
        <v>#REF!</v>
      </c>
      <c r="M225" s="21" t="str">
        <f>IF(ISNUMBER(L225),_xlfn.RANK.EQ(L225,$L$2:$L$500,0),"")</f>
        <v/>
      </c>
      <c r="N225" s="7" t="e">
        <f>IF(L225=0,
"Not Assessed",
IF(L225&gt;=0.85,"Very High Performance",
IF(L225&gt;=0.7,"High Performance",
IF(L225&gt;=0.55,"Moderate Performance",
IF(L225&gt;=0.4,"Low Performance",
"Very Low Performance")))))</f>
        <v>#REF!</v>
      </c>
      <c r="O225" s="7" t="e">
        <f>IF($L225=0,
"Failed minimum data validation; requires contextual review in FSF.",
"Ready for contextual review in FSF.")</f>
        <v>#REF!</v>
      </c>
    </row>
    <row r="226" spans="1:15" ht="42" hidden="1" customHeight="1">
      <c r="A226" s="7" t="e">
        <f>#REF!</f>
        <v>#REF!</v>
      </c>
      <c r="B226" s="7" t="e">
        <f>#REF!</f>
        <v>#REF!</v>
      </c>
      <c r="C226" s="7" t="e">
        <f>#REF!</f>
        <v>#REF!</v>
      </c>
      <c r="D226" s="7" t="e">
        <f>#REF!</f>
        <v>#REF!</v>
      </c>
      <c r="E226" s="7" t="e">
        <f>#REF!</f>
        <v>#REF!</v>
      </c>
      <c r="F226" s="7" t="e">
        <f>#REF!</f>
        <v>#REF!</v>
      </c>
      <c r="G226" s="7" t="e">
        <f>#REF!</f>
        <v>#REF!</v>
      </c>
      <c r="H226" s="7" t="e">
        <f>#REF!</f>
        <v>#REF!</v>
      </c>
      <c r="I226" s="7" t="e">
        <f>#REF!</f>
        <v>#REF!</v>
      </c>
      <c r="J226" s="7" t="e">
        <f t="shared" si="58"/>
        <v>#REF!</v>
      </c>
      <c r="K226" s="7" t="e">
        <f t="shared" si="59"/>
        <v>#REF!</v>
      </c>
      <c r="L226" s="7" t="e">
        <f>IF($D226&lt;&gt;"Valid",0,IFERROR(AVERAGE(#REF!,#REF!),0))</f>
        <v>#REF!</v>
      </c>
      <c r="M226" s="21" t="str">
        <f>IF(ISNUMBER(L226),_xlfn.RANK.EQ(L226,$L$2:$L$500,0),"")</f>
        <v/>
      </c>
      <c r="N226" s="7" t="e">
        <f>IF(L226=0,
"Not Assessed",
IF(L226&gt;=0.85,"Very High Performance",
IF(L226&gt;=0.7,"High Performance",
IF(L226&gt;=0.55,"Moderate Performance",
IF(L226&gt;=0.4,"Low Performance",
"Very Low Performance")))))</f>
        <v>#REF!</v>
      </c>
      <c r="O226" s="7" t="e">
        <f>IF($L226=0,
"Failed minimum data validation; requires contextual review in FSF.",
"Ready for contextual review in FSF.")</f>
        <v>#REF!</v>
      </c>
    </row>
    <row r="227" spans="1:15" hidden="1">
      <c r="A227" s="7" t="e">
        <f>#REF!</f>
        <v>#REF!</v>
      </c>
      <c r="B227" s="7" t="e">
        <f>#REF!</f>
        <v>#REF!</v>
      </c>
      <c r="C227" s="7" t="e">
        <f>#REF!</f>
        <v>#REF!</v>
      </c>
      <c r="D227" s="7" t="e">
        <f>#REF!</f>
        <v>#REF!</v>
      </c>
      <c r="E227" s="7" t="e">
        <f>#REF!</f>
        <v>#REF!</v>
      </c>
      <c r="F227" s="7" t="e">
        <f>#REF!</f>
        <v>#REF!</v>
      </c>
      <c r="G227" s="7" t="e">
        <f>#REF!</f>
        <v>#REF!</v>
      </c>
      <c r="H227" s="7" t="e">
        <f>#REF!</f>
        <v>#REF!</v>
      </c>
      <c r="I227" s="7" t="e">
        <f>#REF!</f>
        <v>#REF!</v>
      </c>
      <c r="J227" s="7" t="e">
        <f t="shared" si="58"/>
        <v>#REF!</v>
      </c>
      <c r="K227" s="7" t="e">
        <f t="shared" si="59"/>
        <v>#REF!</v>
      </c>
      <c r="L227" s="7" t="e">
        <f>IF(D227&lt;&gt;"Valid","",#REF!*0.4+#REF!*0.6)</f>
        <v>#REF!</v>
      </c>
      <c r="M227" s="7"/>
      <c r="N227" s="7" t="e">
        <f>IF(D227&lt;&gt;"Valid","Not Assessed (Insufficient Valid Data)",LOOKUP(L227,tblPerformanceCategory[Min],tblPerformanceCategory[Performance Category]))</f>
        <v>#REF!</v>
      </c>
      <c r="O227" s="7" t="e">
        <f>IF(D227="Valid","Yes","No")</f>
        <v>#REF!</v>
      </c>
    </row>
    <row r="228" spans="1:15" ht="42" hidden="1" customHeight="1">
      <c r="A228" s="7" t="e">
        <f>#REF!</f>
        <v>#REF!</v>
      </c>
      <c r="B228" s="7" t="e">
        <f>#REF!</f>
        <v>#REF!</v>
      </c>
      <c r="C228" s="7" t="e">
        <f>#REF!</f>
        <v>#REF!</v>
      </c>
      <c r="D228" s="7" t="e">
        <f>#REF!</f>
        <v>#REF!</v>
      </c>
      <c r="E228" s="7" t="e">
        <f>#REF!</f>
        <v>#REF!</v>
      </c>
      <c r="F228" s="7" t="e">
        <f>#REF!</f>
        <v>#REF!</v>
      </c>
      <c r="G228" s="7" t="e">
        <f>#REF!</f>
        <v>#REF!</v>
      </c>
      <c r="H228" s="7" t="e">
        <f>#REF!</f>
        <v>#REF!</v>
      </c>
      <c r="I228" s="7" t="e">
        <f>#REF!</f>
        <v>#REF!</v>
      </c>
      <c r="J228" s="7" t="e">
        <f t="shared" si="58"/>
        <v>#REF!</v>
      </c>
      <c r="K228" s="7" t="e">
        <f t="shared" si="59"/>
        <v>#REF!</v>
      </c>
      <c r="L228" s="7" t="e">
        <f>IF($D228&lt;&gt;"Valid",0,IFERROR(AVERAGE(#REF!,#REF!),0))</f>
        <v>#REF!</v>
      </c>
      <c r="M228" s="21" t="str">
        <f>IF(ISNUMBER(L228),_xlfn.RANK.EQ(L228,$L$2:$L$500,0),"")</f>
        <v/>
      </c>
      <c r="N228" s="7" t="e">
        <f>IF(L228=0,
"Not Assessed",
IF(L228&gt;=0.85,"Very High Performance",
IF(L228&gt;=0.7,"High Performance",
IF(L228&gt;=0.55,"Moderate Performance",
IF(L228&gt;=0.4,"Low Performance",
"Very Low Performance")))))</f>
        <v>#REF!</v>
      </c>
      <c r="O228" s="7" t="e">
        <f>IF($L228=0,
"Failed minimum data validation; requires contextual review in FSF.",
"Ready for contextual review in FSF.")</f>
        <v>#REF!</v>
      </c>
    </row>
    <row r="229" spans="1:15" hidden="1">
      <c r="A229" s="7" t="e">
        <f>#REF!</f>
        <v>#REF!</v>
      </c>
      <c r="B229" s="7" t="e">
        <f>#REF!</f>
        <v>#REF!</v>
      </c>
      <c r="C229" s="7" t="e">
        <f>#REF!</f>
        <v>#REF!</v>
      </c>
      <c r="D229" s="7" t="e">
        <f>#REF!</f>
        <v>#REF!</v>
      </c>
      <c r="E229" s="7" t="e">
        <f>#REF!</f>
        <v>#REF!</v>
      </c>
      <c r="F229" s="7" t="e">
        <f>#REF!</f>
        <v>#REF!</v>
      </c>
      <c r="G229" s="7" t="e">
        <f>#REF!</f>
        <v>#REF!</v>
      </c>
      <c r="H229" s="7" t="e">
        <f>#REF!</f>
        <v>#REF!</v>
      </c>
      <c r="I229" s="7" t="e">
        <f>#REF!</f>
        <v>#REF!</v>
      </c>
      <c r="J229" s="7" t="e">
        <f t="shared" si="58"/>
        <v>#REF!</v>
      </c>
      <c r="K229" s="7" t="e">
        <f t="shared" si="59"/>
        <v>#REF!</v>
      </c>
      <c r="L229" s="7" t="e">
        <f>IF(D229&lt;&gt;"Valid","",#REF!*0.4+#REF!*0.6)</f>
        <v>#REF!</v>
      </c>
      <c r="M229" s="7"/>
      <c r="N229" s="7" t="e">
        <f>IF(D229&lt;&gt;"Valid","Not Assessed (Insufficient Valid Data)",LOOKUP(L229,tblPerformanceCategory[Min],tblPerformanceCategory[Performance Category]))</f>
        <v>#REF!</v>
      </c>
      <c r="O229" s="7" t="e">
        <f>IF(D229="Valid","Yes","No")</f>
        <v>#REF!</v>
      </c>
    </row>
    <row r="230" spans="1:15" hidden="1">
      <c r="A230" s="7" t="e">
        <f>#REF!</f>
        <v>#REF!</v>
      </c>
      <c r="B230" s="7" t="e">
        <f>#REF!</f>
        <v>#REF!</v>
      </c>
      <c r="C230" s="7" t="e">
        <f>#REF!</f>
        <v>#REF!</v>
      </c>
      <c r="D230" s="7" t="e">
        <f>#REF!</f>
        <v>#REF!</v>
      </c>
      <c r="E230" s="7" t="e">
        <f>#REF!</f>
        <v>#REF!</v>
      </c>
      <c r="F230" s="7" t="e">
        <f>#REF!</f>
        <v>#REF!</v>
      </c>
      <c r="G230" s="7" t="e">
        <f>#REF!</f>
        <v>#REF!</v>
      </c>
      <c r="H230" s="7" t="e">
        <f>#REF!</f>
        <v>#REF!</v>
      </c>
      <c r="I230" s="7" t="e">
        <f>#REF!</f>
        <v>#REF!</v>
      </c>
      <c r="J230" s="7" t="e">
        <f t="shared" si="58"/>
        <v>#REF!</v>
      </c>
      <c r="K230" s="7" t="e">
        <f t="shared" si="59"/>
        <v>#REF!</v>
      </c>
      <c r="L230" s="7" t="e">
        <f>IF(D230&lt;&gt;"Valid","",#REF!*0.4+#REF!*0.6)</f>
        <v>#REF!</v>
      </c>
      <c r="M230" s="7"/>
      <c r="N230" s="7" t="e">
        <f>IF(D230&lt;&gt;"Valid","Not Assessed (Insufficient Valid Data)",LOOKUP(L230,tblPerformanceCategory[Min],tblPerformanceCategory[Performance Category]))</f>
        <v>#REF!</v>
      </c>
      <c r="O230" s="7" t="e">
        <f>IF(D230="Valid","Yes","No")</f>
        <v>#REF!</v>
      </c>
    </row>
    <row r="231" spans="1:15" ht="42" hidden="1" customHeight="1">
      <c r="A231" s="7" t="e">
        <f>#REF!</f>
        <v>#REF!</v>
      </c>
      <c r="B231" s="7" t="e">
        <f>#REF!</f>
        <v>#REF!</v>
      </c>
      <c r="C231" s="7" t="e">
        <f>#REF!</f>
        <v>#REF!</v>
      </c>
      <c r="D231" s="7" t="e">
        <f>#REF!</f>
        <v>#REF!</v>
      </c>
      <c r="E231" s="7" t="e">
        <f>#REF!</f>
        <v>#REF!</v>
      </c>
      <c r="F231" s="7" t="e">
        <f>#REF!</f>
        <v>#REF!</v>
      </c>
      <c r="G231" s="7" t="e">
        <f>#REF!</f>
        <v>#REF!</v>
      </c>
      <c r="H231" s="7" t="e">
        <f>#REF!</f>
        <v>#REF!</v>
      </c>
      <c r="I231" s="7" t="e">
        <f>#REF!</f>
        <v>#REF!</v>
      </c>
      <c r="J231" s="7" t="e">
        <f t="shared" si="58"/>
        <v>#REF!</v>
      </c>
      <c r="K231" s="7" t="e">
        <f t="shared" si="59"/>
        <v>#REF!</v>
      </c>
      <c r="L231" s="7" t="e">
        <f>IF($D231&lt;&gt;"Valid",0,IFERROR(AVERAGE(#REF!,#REF!),0))</f>
        <v>#REF!</v>
      </c>
      <c r="M231" s="21" t="str">
        <f>IF(ISNUMBER(L231),_xlfn.RANK.EQ(L231,$L$2:$L$500,0),"")</f>
        <v/>
      </c>
      <c r="N231" s="7" t="e">
        <f>IF(L231=0,
"Not Assessed",
IF(L231&gt;=0.85,"Very High Performance",
IF(L231&gt;=0.7,"High Performance",
IF(L231&gt;=0.55,"Moderate Performance",
IF(L231&gt;=0.4,"Low Performance",
"Very Low Performance")))))</f>
        <v>#REF!</v>
      </c>
      <c r="O231" s="7" t="e">
        <f>IF($L231=0,
"Failed minimum data validation; requires contextual review in FSF.",
"Ready for contextual review in FSF.")</f>
        <v>#REF!</v>
      </c>
    </row>
    <row r="232" spans="1:15" hidden="1">
      <c r="A232" s="7" t="e">
        <f>#REF!</f>
        <v>#REF!</v>
      </c>
      <c r="B232" s="7" t="e">
        <f>#REF!</f>
        <v>#REF!</v>
      </c>
      <c r="C232" s="7" t="e">
        <f>#REF!</f>
        <v>#REF!</v>
      </c>
      <c r="D232" s="7" t="e">
        <f>#REF!</f>
        <v>#REF!</v>
      </c>
      <c r="E232" s="7" t="e">
        <f>#REF!</f>
        <v>#REF!</v>
      </c>
      <c r="F232" s="7" t="e">
        <f>#REF!</f>
        <v>#REF!</v>
      </c>
      <c r="G232" s="7" t="e">
        <f>#REF!</f>
        <v>#REF!</v>
      </c>
      <c r="H232" s="7" t="e">
        <f>#REF!</f>
        <v>#REF!</v>
      </c>
      <c r="I232" s="7" t="e">
        <f>#REF!</f>
        <v>#REF!</v>
      </c>
      <c r="J232" s="7" t="e">
        <f t="shared" si="58"/>
        <v>#REF!</v>
      </c>
      <c r="K232" s="7" t="e">
        <f t="shared" si="59"/>
        <v>#REF!</v>
      </c>
      <c r="L232" s="7" t="e">
        <f>IF(D232&lt;&gt;"Valid","",#REF!*0.4+#REF!*0.6)</f>
        <v>#REF!</v>
      </c>
      <c r="M232" s="7"/>
      <c r="N232" s="7" t="e">
        <f>IF(D232&lt;&gt;"Valid","Not Assessed (Insufficient Valid Data)",LOOKUP(L232,tblPerformanceCategory[Min],tblPerformanceCategory[Performance Category]))</f>
        <v>#REF!</v>
      </c>
      <c r="O232" s="7" t="e">
        <f t="shared" ref="O232:O240" si="60">IF(D232="Valid","Yes","No")</f>
        <v>#REF!</v>
      </c>
    </row>
    <row r="233" spans="1:15" hidden="1">
      <c r="A233" s="7" t="e">
        <f>#REF!</f>
        <v>#REF!</v>
      </c>
      <c r="B233" s="7" t="e">
        <f>#REF!</f>
        <v>#REF!</v>
      </c>
      <c r="C233" s="7" t="e">
        <f>#REF!</f>
        <v>#REF!</v>
      </c>
      <c r="D233" s="7" t="e">
        <f>#REF!</f>
        <v>#REF!</v>
      </c>
      <c r="E233" s="7" t="e">
        <f>#REF!</f>
        <v>#REF!</v>
      </c>
      <c r="F233" s="7" t="e">
        <f>#REF!</f>
        <v>#REF!</v>
      </c>
      <c r="G233" s="7" t="e">
        <f>#REF!</f>
        <v>#REF!</v>
      </c>
      <c r="H233" s="7" t="e">
        <f>#REF!</f>
        <v>#REF!</v>
      </c>
      <c r="I233" s="7" t="e">
        <f>#REF!</f>
        <v>#REF!</v>
      </c>
      <c r="J233" s="7" t="e">
        <f t="shared" si="58"/>
        <v>#REF!</v>
      </c>
      <c r="K233" s="7" t="e">
        <f t="shared" si="59"/>
        <v>#REF!</v>
      </c>
      <c r="L233" s="7" t="e">
        <f>IF(D233&lt;&gt;"Valid","",#REF!*0.4+#REF!*0.6)</f>
        <v>#REF!</v>
      </c>
      <c r="M233" s="7"/>
      <c r="N233" s="7" t="e">
        <f>IF(D233&lt;&gt;"Valid","Not Assessed (Insufficient Valid Data)",LOOKUP(L233,tblPerformanceCategory[Min],tblPerformanceCategory[Performance Category]))</f>
        <v>#REF!</v>
      </c>
      <c r="O233" s="7" t="e">
        <f t="shared" si="60"/>
        <v>#REF!</v>
      </c>
    </row>
    <row r="234" spans="1:15" hidden="1">
      <c r="A234" s="7" t="e">
        <f>#REF!</f>
        <v>#REF!</v>
      </c>
      <c r="B234" s="7" t="e">
        <f>#REF!</f>
        <v>#REF!</v>
      </c>
      <c r="C234" s="7" t="e">
        <f>#REF!</f>
        <v>#REF!</v>
      </c>
      <c r="D234" s="7" t="e">
        <f>#REF!</f>
        <v>#REF!</v>
      </c>
      <c r="E234" s="7" t="e">
        <f>#REF!</f>
        <v>#REF!</v>
      </c>
      <c r="F234" s="7" t="e">
        <f>#REF!</f>
        <v>#REF!</v>
      </c>
      <c r="G234" s="7" t="e">
        <f>#REF!</f>
        <v>#REF!</v>
      </c>
      <c r="H234" s="7" t="e">
        <f>#REF!</f>
        <v>#REF!</v>
      </c>
      <c r="I234" s="7" t="e">
        <f>#REF!</f>
        <v>#REF!</v>
      </c>
      <c r="J234" s="7" t="e">
        <f t="shared" si="58"/>
        <v>#REF!</v>
      </c>
      <c r="K234" s="7" t="e">
        <f t="shared" si="59"/>
        <v>#REF!</v>
      </c>
      <c r="L234" s="7" t="e">
        <f>IF(D234&lt;&gt;"Valid","",#REF!*0.4+#REF!*0.6)</f>
        <v>#REF!</v>
      </c>
      <c r="M234" s="7"/>
      <c r="N234" s="7" t="e">
        <f>IF(D234&lt;&gt;"Valid","Not Assessed (Insufficient Valid Data)",LOOKUP(L234,tblPerformanceCategory[Min],tblPerformanceCategory[Performance Category]))</f>
        <v>#REF!</v>
      </c>
      <c r="O234" s="7" t="e">
        <f t="shared" si="60"/>
        <v>#REF!</v>
      </c>
    </row>
    <row r="235" spans="1:15" hidden="1">
      <c r="A235" s="7" t="e">
        <f>#REF!</f>
        <v>#REF!</v>
      </c>
      <c r="B235" s="7" t="e">
        <f>#REF!</f>
        <v>#REF!</v>
      </c>
      <c r="C235" s="7" t="e">
        <f>#REF!</f>
        <v>#REF!</v>
      </c>
      <c r="D235" s="7" t="e">
        <f>#REF!</f>
        <v>#REF!</v>
      </c>
      <c r="E235" s="7" t="e">
        <f>#REF!</f>
        <v>#REF!</v>
      </c>
      <c r="F235" s="7" t="e">
        <f>#REF!</f>
        <v>#REF!</v>
      </c>
      <c r="G235" s="7" t="e">
        <f>#REF!</f>
        <v>#REF!</v>
      </c>
      <c r="H235" s="7" t="e">
        <f>#REF!</f>
        <v>#REF!</v>
      </c>
      <c r="I235" s="7" t="e">
        <f>#REF!</f>
        <v>#REF!</v>
      </c>
      <c r="J235" s="7" t="e">
        <f t="shared" si="58"/>
        <v>#REF!</v>
      </c>
      <c r="K235" s="7" t="e">
        <f t="shared" si="59"/>
        <v>#REF!</v>
      </c>
      <c r="L235" s="7" t="e">
        <f>IF(D235&lt;&gt;"Valid","",#REF!*0.4+#REF!*0.6)</f>
        <v>#REF!</v>
      </c>
      <c r="M235" s="7"/>
      <c r="N235" s="7" t="e">
        <f>IF(D235&lt;&gt;"Valid","Not Assessed (Insufficient Valid Data)",LOOKUP(L235,tblPerformanceCategory[Min],tblPerformanceCategory[Performance Category]))</f>
        <v>#REF!</v>
      </c>
      <c r="O235" s="7" t="e">
        <f t="shared" si="60"/>
        <v>#REF!</v>
      </c>
    </row>
    <row r="236" spans="1:15" hidden="1">
      <c r="A236" s="7" t="e">
        <f>#REF!</f>
        <v>#REF!</v>
      </c>
      <c r="B236" s="7" t="e">
        <f>#REF!</f>
        <v>#REF!</v>
      </c>
      <c r="C236" s="7" t="e">
        <f>#REF!</f>
        <v>#REF!</v>
      </c>
      <c r="D236" s="7" t="e">
        <f>#REF!</f>
        <v>#REF!</v>
      </c>
      <c r="E236" s="7" t="e">
        <f>#REF!</f>
        <v>#REF!</v>
      </c>
      <c r="F236" s="7" t="e">
        <f>#REF!</f>
        <v>#REF!</v>
      </c>
      <c r="G236" s="7" t="e">
        <f>#REF!</f>
        <v>#REF!</v>
      </c>
      <c r="H236" s="7" t="e">
        <f>#REF!</f>
        <v>#REF!</v>
      </c>
      <c r="I236" s="7" t="e">
        <f>#REF!</f>
        <v>#REF!</v>
      </c>
      <c r="J236" s="7" t="e">
        <f t="shared" si="58"/>
        <v>#REF!</v>
      </c>
      <c r="K236" s="7" t="e">
        <f t="shared" si="59"/>
        <v>#REF!</v>
      </c>
      <c r="L236" s="7" t="e">
        <f>IF(D236&lt;&gt;"Valid","",#REF!*0.4+#REF!*0.6)</f>
        <v>#REF!</v>
      </c>
      <c r="M236" s="7"/>
      <c r="N236" s="7" t="e">
        <f>IF(D236&lt;&gt;"Valid","Not Assessed (Insufficient Valid Data)",LOOKUP(L236,tblPerformanceCategory[Min],tblPerformanceCategory[Performance Category]))</f>
        <v>#REF!</v>
      </c>
      <c r="O236" s="7" t="e">
        <f t="shared" si="60"/>
        <v>#REF!</v>
      </c>
    </row>
    <row r="237" spans="1:15" hidden="1">
      <c r="A237" s="7" t="e">
        <f>#REF!</f>
        <v>#REF!</v>
      </c>
      <c r="B237" s="7" t="e">
        <f>#REF!</f>
        <v>#REF!</v>
      </c>
      <c r="C237" s="7" t="e">
        <f>#REF!</f>
        <v>#REF!</v>
      </c>
      <c r="D237" s="7" t="e">
        <f>#REF!</f>
        <v>#REF!</v>
      </c>
      <c r="E237" s="7" t="e">
        <f>#REF!</f>
        <v>#REF!</v>
      </c>
      <c r="F237" s="7" t="e">
        <f>#REF!</f>
        <v>#REF!</v>
      </c>
      <c r="G237" s="7" t="e">
        <f>#REF!</f>
        <v>#REF!</v>
      </c>
      <c r="H237" s="7" t="e">
        <f>#REF!</f>
        <v>#REF!</v>
      </c>
      <c r="I237" s="7" t="e">
        <f>#REF!</f>
        <v>#REF!</v>
      </c>
      <c r="J237" s="7" t="e">
        <f t="shared" si="58"/>
        <v>#REF!</v>
      </c>
      <c r="K237" s="7" t="e">
        <f t="shared" si="59"/>
        <v>#REF!</v>
      </c>
      <c r="L237" s="7" t="e">
        <f>IF(D237&lt;&gt;"Valid","",#REF!*0.4+#REF!*0.6)</f>
        <v>#REF!</v>
      </c>
      <c r="M237" s="7"/>
      <c r="N237" s="7" t="e">
        <f>IF(D237&lt;&gt;"Valid","Not Assessed (Insufficient Valid Data)",LOOKUP(L237,tblPerformanceCategory[Min],tblPerformanceCategory[Performance Category]))</f>
        <v>#REF!</v>
      </c>
      <c r="O237" s="7" t="e">
        <f t="shared" si="60"/>
        <v>#REF!</v>
      </c>
    </row>
    <row r="238" spans="1:15" hidden="1">
      <c r="A238" s="7" t="e">
        <f>#REF!</f>
        <v>#REF!</v>
      </c>
      <c r="B238" s="7" t="e">
        <f>#REF!</f>
        <v>#REF!</v>
      </c>
      <c r="C238" s="7" t="e">
        <f>#REF!</f>
        <v>#REF!</v>
      </c>
      <c r="D238" s="7" t="e">
        <f>#REF!</f>
        <v>#REF!</v>
      </c>
      <c r="E238" s="7" t="e">
        <f>#REF!</f>
        <v>#REF!</v>
      </c>
      <c r="F238" s="7" t="e">
        <f>#REF!</f>
        <v>#REF!</v>
      </c>
      <c r="G238" s="7" t="e">
        <f>#REF!</f>
        <v>#REF!</v>
      </c>
      <c r="H238" s="7" t="e">
        <f>#REF!</f>
        <v>#REF!</v>
      </c>
      <c r="I238" s="7" t="e">
        <f>#REF!</f>
        <v>#REF!</v>
      </c>
      <c r="J238" s="7" t="e">
        <f t="shared" si="58"/>
        <v>#REF!</v>
      </c>
      <c r="K238" s="7" t="e">
        <f t="shared" si="59"/>
        <v>#REF!</v>
      </c>
      <c r="L238" s="7" t="e">
        <f>IF(D238&lt;&gt;"Valid","",#REF!*0.4+#REF!*0.6)</f>
        <v>#REF!</v>
      </c>
      <c r="M238" s="7"/>
      <c r="N238" s="7" t="e">
        <f>IF(D238&lt;&gt;"Valid","Not Assessed (Insufficient Valid Data)",LOOKUP(L238,tblPerformanceCategory[Min],tblPerformanceCategory[Performance Category]))</f>
        <v>#REF!</v>
      </c>
      <c r="O238" s="7" t="e">
        <f t="shared" si="60"/>
        <v>#REF!</v>
      </c>
    </row>
    <row r="239" spans="1:15" hidden="1">
      <c r="A239" s="7" t="e">
        <f>#REF!</f>
        <v>#REF!</v>
      </c>
      <c r="B239" s="7" t="e">
        <f>#REF!</f>
        <v>#REF!</v>
      </c>
      <c r="C239" s="7" t="e">
        <f>#REF!</f>
        <v>#REF!</v>
      </c>
      <c r="D239" s="7" t="e">
        <f>#REF!</f>
        <v>#REF!</v>
      </c>
      <c r="E239" s="7" t="e">
        <f>#REF!</f>
        <v>#REF!</v>
      </c>
      <c r="F239" s="7" t="e">
        <f>#REF!</f>
        <v>#REF!</v>
      </c>
      <c r="G239" s="7" t="e">
        <f>#REF!</f>
        <v>#REF!</v>
      </c>
      <c r="H239" s="7" t="e">
        <f>#REF!</f>
        <v>#REF!</v>
      </c>
      <c r="I239" s="7" t="e">
        <f>#REF!</f>
        <v>#REF!</v>
      </c>
      <c r="J239" s="7" t="e">
        <f t="shared" si="58"/>
        <v>#REF!</v>
      </c>
      <c r="K239" s="7" t="e">
        <f t="shared" si="59"/>
        <v>#REF!</v>
      </c>
      <c r="L239" s="7" t="e">
        <f>IF(D239&lt;&gt;"Valid","",#REF!*0.4+#REF!*0.6)</f>
        <v>#REF!</v>
      </c>
      <c r="M239" s="7"/>
      <c r="N239" s="7" t="e">
        <f>IF(D239&lt;&gt;"Valid","Not Assessed (Insufficient Valid Data)",LOOKUP(L239,tblPerformanceCategory[Min],tblPerformanceCategory[Performance Category]))</f>
        <v>#REF!</v>
      </c>
      <c r="O239" s="7" t="e">
        <f t="shared" si="60"/>
        <v>#REF!</v>
      </c>
    </row>
    <row r="240" spans="1:15" hidden="1">
      <c r="A240" s="7" t="e">
        <f>#REF!</f>
        <v>#REF!</v>
      </c>
      <c r="B240" s="7" t="e">
        <f>#REF!</f>
        <v>#REF!</v>
      </c>
      <c r="C240" s="7" t="e">
        <f>#REF!</f>
        <v>#REF!</v>
      </c>
      <c r="D240" s="7" t="e">
        <f>#REF!</f>
        <v>#REF!</v>
      </c>
      <c r="E240" s="7" t="e">
        <f>#REF!</f>
        <v>#REF!</v>
      </c>
      <c r="F240" s="7" t="e">
        <f>#REF!</f>
        <v>#REF!</v>
      </c>
      <c r="G240" s="7" t="e">
        <f>#REF!</f>
        <v>#REF!</v>
      </c>
      <c r="H240" s="7" t="e">
        <f>#REF!</f>
        <v>#REF!</v>
      </c>
      <c r="I240" s="7" t="e">
        <f>#REF!</f>
        <v>#REF!</v>
      </c>
      <c r="J240" s="7" t="e">
        <f t="shared" si="58"/>
        <v>#REF!</v>
      </c>
      <c r="K240" s="7" t="e">
        <f t="shared" si="59"/>
        <v>#REF!</v>
      </c>
      <c r="L240" s="7" t="e">
        <f>IF(D240&lt;&gt;"Valid","",#REF!*0.4+#REF!*0.6)</f>
        <v>#REF!</v>
      </c>
      <c r="M240" s="7"/>
      <c r="N240" s="7" t="e">
        <f>IF(D240&lt;&gt;"Valid","Not Assessed (Insufficient Valid Data)",LOOKUP(L240,tblPerformanceCategory[Min],tblPerformanceCategory[Performance Category]))</f>
        <v>#REF!</v>
      </c>
      <c r="O240" s="7" t="e">
        <f t="shared" si="60"/>
        <v>#REF!</v>
      </c>
    </row>
    <row r="241" spans="1:15" ht="42" hidden="1" customHeight="1">
      <c r="A241" s="7" t="e">
        <f>#REF!</f>
        <v>#REF!</v>
      </c>
      <c r="B241" s="7" t="e">
        <f>#REF!</f>
        <v>#REF!</v>
      </c>
      <c r="C241" s="7" t="e">
        <f>#REF!</f>
        <v>#REF!</v>
      </c>
      <c r="D241" s="7" t="e">
        <f>#REF!</f>
        <v>#REF!</v>
      </c>
      <c r="E241" s="7" t="e">
        <f>#REF!</f>
        <v>#REF!</v>
      </c>
      <c r="F241" s="7" t="e">
        <f>#REF!</f>
        <v>#REF!</v>
      </c>
      <c r="G241" s="7" t="e">
        <f>#REF!</f>
        <v>#REF!</v>
      </c>
      <c r="H241" s="7" t="e">
        <f>#REF!</f>
        <v>#REF!</v>
      </c>
      <c r="I241" s="7" t="e">
        <f>#REF!</f>
        <v>#REF!</v>
      </c>
      <c r="J241" s="7" t="e">
        <f t="shared" si="58"/>
        <v>#REF!</v>
      </c>
      <c r="K241" s="7" t="e">
        <f t="shared" si="59"/>
        <v>#REF!</v>
      </c>
      <c r="L241" s="7" t="e">
        <f>IF($D241&lt;&gt;"Valid",0,IFERROR(AVERAGE(#REF!,#REF!),0))</f>
        <v>#REF!</v>
      </c>
      <c r="M241" s="21" t="str">
        <f>IF(ISNUMBER(L241),_xlfn.RANK.EQ(L241,$L$2:$L$500,0),"")</f>
        <v/>
      </c>
      <c r="N241" s="7" t="e">
        <f>IF(L241=0,
"Not Assessed",
IF(L241&gt;=0.85,"Very High Performance",
IF(L241&gt;=0.7,"High Performance",
IF(L241&gt;=0.55,"Moderate Performance",
IF(L241&gt;=0.4,"Low Performance",
"Very Low Performance")))))</f>
        <v>#REF!</v>
      </c>
      <c r="O241" s="7" t="e">
        <f>IF($L241=0,
"Failed minimum data validation; requires contextual review in FSF.",
"Ready for contextual review in FSF.")</f>
        <v>#REF!</v>
      </c>
    </row>
    <row r="242" spans="1:15" hidden="1">
      <c r="A242" s="7" t="e">
        <f>#REF!</f>
        <v>#REF!</v>
      </c>
      <c r="B242" s="7" t="e">
        <f>#REF!</f>
        <v>#REF!</v>
      </c>
      <c r="C242" s="7" t="e">
        <f>#REF!</f>
        <v>#REF!</v>
      </c>
      <c r="D242" s="7" t="e">
        <f>#REF!</f>
        <v>#REF!</v>
      </c>
      <c r="E242" s="7" t="e">
        <f>#REF!</f>
        <v>#REF!</v>
      </c>
      <c r="F242" s="7" t="e">
        <f>#REF!</f>
        <v>#REF!</v>
      </c>
      <c r="G242" s="7" t="e">
        <f>#REF!</f>
        <v>#REF!</v>
      </c>
      <c r="H242" s="7" t="e">
        <f>#REF!</f>
        <v>#REF!</v>
      </c>
      <c r="I242" s="7" t="e">
        <f>#REF!</f>
        <v>#REF!</v>
      </c>
      <c r="J242" s="7" t="e">
        <f t="shared" si="58"/>
        <v>#REF!</v>
      </c>
      <c r="K242" s="7" t="e">
        <f t="shared" si="59"/>
        <v>#REF!</v>
      </c>
      <c r="L242" s="7" t="e">
        <f>IF(D242&lt;&gt;"Valid","",#REF!*0.4+#REF!*0.6)</f>
        <v>#REF!</v>
      </c>
      <c r="M242" s="7"/>
      <c r="N242" s="7" t="e">
        <f>IF(D242&lt;&gt;"Valid","Not Assessed (Insufficient Valid Data)",LOOKUP(L242,tblPerformanceCategory[Min],tblPerformanceCategory[Performance Category]))</f>
        <v>#REF!</v>
      </c>
      <c r="O242" s="7" t="e">
        <f>IF(D242="Valid","Yes","No")</f>
        <v>#REF!</v>
      </c>
    </row>
    <row r="243" spans="1:15" hidden="1">
      <c r="A243" s="7" t="e">
        <f>#REF!</f>
        <v>#REF!</v>
      </c>
      <c r="B243" s="7" t="e">
        <f>#REF!</f>
        <v>#REF!</v>
      </c>
      <c r="C243" s="7" t="e">
        <f>#REF!</f>
        <v>#REF!</v>
      </c>
      <c r="D243" s="7" t="e">
        <f>#REF!</f>
        <v>#REF!</v>
      </c>
      <c r="E243" s="7" t="e">
        <f>#REF!</f>
        <v>#REF!</v>
      </c>
      <c r="F243" s="7" t="e">
        <f>#REF!</f>
        <v>#REF!</v>
      </c>
      <c r="G243" s="7" t="e">
        <f>#REF!</f>
        <v>#REF!</v>
      </c>
      <c r="H243" s="7" t="e">
        <f>#REF!</f>
        <v>#REF!</v>
      </c>
      <c r="I243" s="7" t="e">
        <f>#REF!</f>
        <v>#REF!</v>
      </c>
      <c r="J243" s="7" t="e">
        <f t="shared" si="58"/>
        <v>#REF!</v>
      </c>
      <c r="K243" s="7" t="e">
        <f t="shared" si="59"/>
        <v>#REF!</v>
      </c>
      <c r="L243" s="7" t="e">
        <f>IF(D243&lt;&gt;"Valid","",#REF!*0.4+#REF!*0.6)</f>
        <v>#REF!</v>
      </c>
      <c r="M243" s="7"/>
      <c r="N243" s="7" t="e">
        <f>IF(D243&lt;&gt;"Valid","Not Assessed (Insufficient Valid Data)",LOOKUP(L243,tblPerformanceCategory[Min],tblPerformanceCategory[Performance Category]))</f>
        <v>#REF!</v>
      </c>
      <c r="O243" s="7" t="e">
        <f>IF(D243="Valid","Yes","No")</f>
        <v>#REF!</v>
      </c>
    </row>
    <row r="244" spans="1:15" hidden="1">
      <c r="A244" s="7" t="e">
        <f>#REF!</f>
        <v>#REF!</v>
      </c>
      <c r="B244" s="7" t="e">
        <f>#REF!</f>
        <v>#REF!</v>
      </c>
      <c r="C244" s="7" t="e">
        <f>#REF!</f>
        <v>#REF!</v>
      </c>
      <c r="D244" s="7" t="e">
        <f>#REF!</f>
        <v>#REF!</v>
      </c>
      <c r="E244" s="7" t="e">
        <f>#REF!</f>
        <v>#REF!</v>
      </c>
      <c r="F244" s="7" t="e">
        <f>#REF!</f>
        <v>#REF!</v>
      </c>
      <c r="G244" s="7" t="e">
        <f>#REF!</f>
        <v>#REF!</v>
      </c>
      <c r="H244" s="7" t="e">
        <f>#REF!</f>
        <v>#REF!</v>
      </c>
      <c r="I244" s="7" t="e">
        <f>#REF!</f>
        <v>#REF!</v>
      </c>
      <c r="J244" s="7" t="e">
        <f t="shared" si="58"/>
        <v>#REF!</v>
      </c>
      <c r="K244" s="7" t="e">
        <f t="shared" si="59"/>
        <v>#REF!</v>
      </c>
      <c r="L244" s="7" t="e">
        <f>IF(D244&lt;&gt;"Valid","",#REF!*0.4+#REF!*0.6)</f>
        <v>#REF!</v>
      </c>
      <c r="M244" s="7"/>
      <c r="N244" s="7" t="e">
        <f>IF(D244&lt;&gt;"Valid","Not Assessed (Insufficient Valid Data)",LOOKUP(L244,tblPerformanceCategory[Min],tblPerformanceCategory[Performance Category]))</f>
        <v>#REF!</v>
      </c>
      <c r="O244" s="7" t="e">
        <f>IF(D244="Valid","Yes","No")</f>
        <v>#REF!</v>
      </c>
    </row>
    <row r="245" spans="1:15" ht="42" hidden="1" customHeight="1">
      <c r="A245" s="7" t="e">
        <f>#REF!</f>
        <v>#REF!</v>
      </c>
      <c r="B245" s="7" t="e">
        <f>#REF!</f>
        <v>#REF!</v>
      </c>
      <c r="C245" s="7" t="e">
        <f>#REF!</f>
        <v>#REF!</v>
      </c>
      <c r="D245" s="7" t="e">
        <f>#REF!</f>
        <v>#REF!</v>
      </c>
      <c r="E245" s="7" t="e">
        <f>#REF!</f>
        <v>#REF!</v>
      </c>
      <c r="F245" s="7" t="e">
        <f>#REF!</f>
        <v>#REF!</v>
      </c>
      <c r="G245" s="7" t="e">
        <f>#REF!</f>
        <v>#REF!</v>
      </c>
      <c r="H245" s="7" t="e">
        <f>#REF!</f>
        <v>#REF!</v>
      </c>
      <c r="I245" s="7" t="e">
        <f>#REF!</f>
        <v>#REF!</v>
      </c>
      <c r="J245" s="7" t="e">
        <f t="shared" si="58"/>
        <v>#REF!</v>
      </c>
      <c r="K245" s="7" t="e">
        <f t="shared" si="59"/>
        <v>#REF!</v>
      </c>
      <c r="L245" s="7" t="e">
        <f>IF($D245&lt;&gt;"Valid",0,IFERROR(AVERAGE(#REF!,#REF!),0))</f>
        <v>#REF!</v>
      </c>
      <c r="M245" s="21" t="str">
        <f>IF(ISNUMBER(L245),_xlfn.RANK.EQ(L245,$L$2:$L$500,0),"")</f>
        <v/>
      </c>
      <c r="N245" s="7" t="e">
        <f>IF(L245=0,
"Not Assessed",
IF(L245&gt;=0.85,"Very High Performance",
IF(L245&gt;=0.7,"High Performance",
IF(L245&gt;=0.55,"Moderate Performance",
IF(L245&gt;=0.4,"Low Performance",
"Very Low Performance")))))</f>
        <v>#REF!</v>
      </c>
      <c r="O245" s="7" t="e">
        <f>IF($L245=0,
"Failed minimum data validation; requires contextual review in FSF.",
"Ready for contextual review in FSF.")</f>
        <v>#REF!</v>
      </c>
    </row>
    <row r="246" spans="1:15" ht="42" customHeight="1">
      <c r="A246" s="7" t="str">
        <f>Derived_Indicators!A246</f>
        <v>Abuja Municipal Area Council</v>
      </c>
      <c r="B246" s="7" t="str">
        <f>Derived_Indicators!B246</f>
        <v>City Centre Ward</v>
      </c>
      <c r="C246" s="7" t="str">
        <f>Derived_Indicators!C246</f>
        <v>Limi Hospital</v>
      </c>
      <c r="D246" s="7" t="str">
        <f>Derived_Indicators!Q246</f>
        <v>Invalid</v>
      </c>
      <c r="E246" s="23">
        <f>Derived_Indicators!D246</f>
        <v>1</v>
      </c>
      <c r="F246" s="23" t="str">
        <f>Derived_Indicators!E246</f>
        <v/>
      </c>
      <c r="G246" s="23">
        <f>Derived_Indicators!K246</f>
        <v>0.85263157894736841</v>
      </c>
      <c r="H246" s="23">
        <f>Derived_Indicators!M246</f>
        <v>0.83240223463687146</v>
      </c>
      <c r="I246" s="23">
        <f>Derived_Indicators!N246</f>
        <v>0.91620111731843579</v>
      </c>
      <c r="J246" s="23" t="str">
        <f>IF($D246&lt;&gt;"Valid","",AVERAGE(E246:F246))</f>
        <v/>
      </c>
      <c r="K246" s="23" t="str">
        <f>IF($D246&lt;&gt;"Valid","",AVERAGE(G246:I246))</f>
        <v/>
      </c>
      <c r="L246" s="23" t="str">
        <f>IF($D246&lt;&gt;"Valid","",AVERAGE(J246,K246))</f>
        <v/>
      </c>
      <c r="M246" s="21" t="str">
        <f>IF(AND($D246="Valid",ISNUMBER(L246)),RANK(L246,$L$2:$L$500,0),"")</f>
        <v/>
      </c>
      <c r="N246" s="7" t="str">
        <f>IF(L246="",
"Not Assessed",
IF(L246&gt;=0.85,"Excellent",
IF(L246&gt;=0.7,"Good",
IF(L246&gt;=0.55,"Moderate",
IF(L246&gt;=0.4,"Low",
"Very Low")))))</f>
        <v>Not Assessed</v>
      </c>
      <c r="O246" s="7" t="str">
        <f>IF($D246&lt;&gt;"Valid",
"Failed data validation; excluded from HFSI and requires contextual review in the Health Facility Selection Framework (HFSF).",
"Eligible for contextual assessment using the Health Facility Selection Framework (HFSF).")</f>
        <v>Failed data validation; excluded from HFSI and requires contextual review in the Health Facility Selection Framework (HFSF).</v>
      </c>
    </row>
    <row r="247" spans="1:15" hidden="1">
      <c r="A247" s="7" t="e">
        <f>#REF!</f>
        <v>#REF!</v>
      </c>
      <c r="B247" s="7" t="e">
        <f>#REF!</f>
        <v>#REF!</v>
      </c>
      <c r="C247" s="7" t="e">
        <f>#REF!</f>
        <v>#REF!</v>
      </c>
      <c r="D247" s="7" t="e">
        <f>#REF!</f>
        <v>#REF!</v>
      </c>
      <c r="E247" s="7" t="e">
        <f>#REF!</f>
        <v>#REF!</v>
      </c>
      <c r="F247" s="7" t="e">
        <f>#REF!</f>
        <v>#REF!</v>
      </c>
      <c r="G247" s="7" t="e">
        <f>#REF!</f>
        <v>#REF!</v>
      </c>
      <c r="H247" s="7" t="e">
        <f>#REF!</f>
        <v>#REF!</v>
      </c>
      <c r="I247" s="7" t="e">
        <f>#REF!</f>
        <v>#REF!</v>
      </c>
      <c r="J247" s="7" t="e">
        <f t="shared" ref="J247:J256" si="61">IF(D247&lt;&gt;"Valid","",SUM(E247:F247))</f>
        <v>#REF!</v>
      </c>
      <c r="K247" s="7" t="e">
        <f t="shared" ref="K247:K256" si="62">IF(D247&lt;&gt;"Valid","",SUM(G247:I247))</f>
        <v>#REF!</v>
      </c>
      <c r="L247" s="7" t="e">
        <f>IF(D247&lt;&gt;"Valid","",#REF!*0.4+#REF!*0.6)</f>
        <v>#REF!</v>
      </c>
      <c r="M247" s="7"/>
      <c r="N247" s="7" t="e">
        <f>IF(D247&lt;&gt;"Valid","Not Assessed (Insufficient Valid Data)",LOOKUP(L247,tblPerformanceCategory[Min],tblPerformanceCategory[Performance Category]))</f>
        <v>#REF!</v>
      </c>
      <c r="O247" s="7" t="e">
        <f>IF(D247="Valid","Yes","No")</f>
        <v>#REF!</v>
      </c>
    </row>
    <row r="248" spans="1:15" hidden="1">
      <c r="A248" s="7" t="e">
        <f>#REF!</f>
        <v>#REF!</v>
      </c>
      <c r="B248" s="7" t="e">
        <f>#REF!</f>
        <v>#REF!</v>
      </c>
      <c r="C248" s="7" t="e">
        <f>#REF!</f>
        <v>#REF!</v>
      </c>
      <c r="D248" s="7" t="e">
        <f>#REF!</f>
        <v>#REF!</v>
      </c>
      <c r="E248" s="7" t="e">
        <f>#REF!</f>
        <v>#REF!</v>
      </c>
      <c r="F248" s="7" t="e">
        <f>#REF!</f>
        <v>#REF!</v>
      </c>
      <c r="G248" s="7" t="e">
        <f>#REF!</f>
        <v>#REF!</v>
      </c>
      <c r="H248" s="7" t="e">
        <f>#REF!</f>
        <v>#REF!</v>
      </c>
      <c r="I248" s="7" t="e">
        <f>#REF!</f>
        <v>#REF!</v>
      </c>
      <c r="J248" s="7" t="e">
        <f t="shared" si="61"/>
        <v>#REF!</v>
      </c>
      <c r="K248" s="7" t="e">
        <f t="shared" si="62"/>
        <v>#REF!</v>
      </c>
      <c r="L248" s="7" t="e">
        <f>IF(D248&lt;&gt;"Valid","",#REF!*0.4+#REF!*0.6)</f>
        <v>#REF!</v>
      </c>
      <c r="M248" s="7"/>
      <c r="N248" s="7" t="e">
        <f>IF(D248&lt;&gt;"Valid","Not Assessed (Insufficient Valid Data)",LOOKUP(L248,tblPerformanceCategory[Min],tblPerformanceCategory[Performance Category]))</f>
        <v>#REF!</v>
      </c>
      <c r="O248" s="7" t="e">
        <f>IF(D248="Valid","Yes","No")</f>
        <v>#REF!</v>
      </c>
    </row>
    <row r="249" spans="1:15" hidden="1">
      <c r="A249" s="7" t="e">
        <f>#REF!</f>
        <v>#REF!</v>
      </c>
      <c r="B249" s="7" t="e">
        <f>#REF!</f>
        <v>#REF!</v>
      </c>
      <c r="C249" s="7" t="e">
        <f>#REF!</f>
        <v>#REF!</v>
      </c>
      <c r="D249" s="7" t="e">
        <f>#REF!</f>
        <v>#REF!</v>
      </c>
      <c r="E249" s="7" t="e">
        <f>#REF!</f>
        <v>#REF!</v>
      </c>
      <c r="F249" s="7" t="e">
        <f>#REF!</f>
        <v>#REF!</v>
      </c>
      <c r="G249" s="7" t="e">
        <f>#REF!</f>
        <v>#REF!</v>
      </c>
      <c r="H249" s="7" t="e">
        <f>#REF!</f>
        <v>#REF!</v>
      </c>
      <c r="I249" s="7" t="e">
        <f>#REF!</f>
        <v>#REF!</v>
      </c>
      <c r="J249" s="7" t="e">
        <f t="shared" si="61"/>
        <v>#REF!</v>
      </c>
      <c r="K249" s="7" t="e">
        <f t="shared" si="62"/>
        <v>#REF!</v>
      </c>
      <c r="L249" s="7" t="e">
        <f>IF(D249&lt;&gt;"Valid","",#REF!*0.4+#REF!*0.6)</f>
        <v>#REF!</v>
      </c>
      <c r="M249" s="7"/>
      <c r="N249" s="7" t="e">
        <f>IF(D249&lt;&gt;"Valid","Not Assessed (Insufficient Valid Data)",LOOKUP(L249,tblPerformanceCategory[Min],tblPerformanceCategory[Performance Category]))</f>
        <v>#REF!</v>
      </c>
      <c r="O249" s="7" t="e">
        <f>IF(D249="Valid","Yes","No")</f>
        <v>#REF!</v>
      </c>
    </row>
    <row r="250" spans="1:15" ht="42" hidden="1" customHeight="1">
      <c r="A250" s="7" t="e">
        <f>#REF!</f>
        <v>#REF!</v>
      </c>
      <c r="B250" s="7" t="e">
        <f>#REF!</f>
        <v>#REF!</v>
      </c>
      <c r="C250" s="7" t="e">
        <f>#REF!</f>
        <v>#REF!</v>
      </c>
      <c r="D250" s="7" t="e">
        <f>#REF!</f>
        <v>#REF!</v>
      </c>
      <c r="E250" s="7" t="e">
        <f>#REF!</f>
        <v>#REF!</v>
      </c>
      <c r="F250" s="7" t="e">
        <f>#REF!</f>
        <v>#REF!</v>
      </c>
      <c r="G250" s="7" t="e">
        <f>#REF!</f>
        <v>#REF!</v>
      </c>
      <c r="H250" s="7" t="e">
        <f>#REF!</f>
        <v>#REF!</v>
      </c>
      <c r="I250" s="7" t="e">
        <f>#REF!</f>
        <v>#REF!</v>
      </c>
      <c r="J250" s="7" t="e">
        <f t="shared" si="61"/>
        <v>#REF!</v>
      </c>
      <c r="K250" s="7" t="e">
        <f t="shared" si="62"/>
        <v>#REF!</v>
      </c>
      <c r="L250" s="7" t="e">
        <f>IF($D250&lt;&gt;"Valid",0,IFERROR(AVERAGE(#REF!,#REF!),0))</f>
        <v>#REF!</v>
      </c>
      <c r="M250" s="21" t="str">
        <f>IF(ISNUMBER(L250),_xlfn.RANK.EQ(L250,$L$2:$L$500,0),"")</f>
        <v/>
      </c>
      <c r="N250" s="7" t="e">
        <f>IF(L250=0,
"Not Assessed",
IF(L250&gt;=0.85,"Very High Performance",
IF(L250&gt;=0.7,"High Performance",
IF(L250&gt;=0.55,"Moderate Performance",
IF(L250&gt;=0.4,"Low Performance",
"Very Low Performance")))))</f>
        <v>#REF!</v>
      </c>
      <c r="O250" s="7" t="e">
        <f>IF($L250=0,
"Failed minimum data validation; requires contextual review in FSF.",
"Ready for contextual review in FSF.")</f>
        <v>#REF!</v>
      </c>
    </row>
    <row r="251" spans="1:15" ht="42" hidden="1" customHeight="1">
      <c r="A251" s="7" t="e">
        <f>#REF!</f>
        <v>#REF!</v>
      </c>
      <c r="B251" s="7" t="e">
        <f>#REF!</f>
        <v>#REF!</v>
      </c>
      <c r="C251" s="7" t="e">
        <f>#REF!</f>
        <v>#REF!</v>
      </c>
      <c r="D251" s="7" t="e">
        <f>#REF!</f>
        <v>#REF!</v>
      </c>
      <c r="E251" s="7" t="e">
        <f>#REF!</f>
        <v>#REF!</v>
      </c>
      <c r="F251" s="7" t="e">
        <f>#REF!</f>
        <v>#REF!</v>
      </c>
      <c r="G251" s="7" t="e">
        <f>#REF!</f>
        <v>#REF!</v>
      </c>
      <c r="H251" s="7" t="e">
        <f>#REF!</f>
        <v>#REF!</v>
      </c>
      <c r="I251" s="7" t="e">
        <f>#REF!</f>
        <v>#REF!</v>
      </c>
      <c r="J251" s="7" t="e">
        <f t="shared" si="61"/>
        <v>#REF!</v>
      </c>
      <c r="K251" s="7" t="e">
        <f t="shared" si="62"/>
        <v>#REF!</v>
      </c>
      <c r="L251" s="7" t="e">
        <f>IF($D251&lt;&gt;"Valid",0,IFERROR(AVERAGE(#REF!,#REF!),0))</f>
        <v>#REF!</v>
      </c>
      <c r="M251" s="21" t="str">
        <f>IF(ISNUMBER(L251),_xlfn.RANK.EQ(L251,$L$2:$L$500,0),"")</f>
        <v/>
      </c>
      <c r="N251" s="7" t="e">
        <f>IF(L251=0,
"Not Assessed",
IF(L251&gt;=0.85,"Very High Performance",
IF(L251&gt;=0.7,"High Performance",
IF(L251&gt;=0.55,"Moderate Performance",
IF(L251&gt;=0.4,"Low Performance",
"Very Low Performance")))))</f>
        <v>#REF!</v>
      </c>
      <c r="O251" s="7" t="e">
        <f>IF($L251=0,
"Failed minimum data validation; requires contextual review in FSF.",
"Ready for contextual review in FSF.")</f>
        <v>#REF!</v>
      </c>
    </row>
    <row r="252" spans="1:15" ht="42" hidden="1" customHeight="1">
      <c r="A252" s="7" t="e">
        <f>#REF!</f>
        <v>#REF!</v>
      </c>
      <c r="B252" s="7" t="e">
        <f>#REF!</f>
        <v>#REF!</v>
      </c>
      <c r="C252" s="7" t="e">
        <f>#REF!</f>
        <v>#REF!</v>
      </c>
      <c r="D252" s="7" t="e">
        <f>#REF!</f>
        <v>#REF!</v>
      </c>
      <c r="E252" s="7" t="e">
        <f>#REF!</f>
        <v>#REF!</v>
      </c>
      <c r="F252" s="7" t="e">
        <f>#REF!</f>
        <v>#REF!</v>
      </c>
      <c r="G252" s="7" t="e">
        <f>#REF!</f>
        <v>#REF!</v>
      </c>
      <c r="H252" s="7" t="e">
        <f>#REF!</f>
        <v>#REF!</v>
      </c>
      <c r="I252" s="7" t="e">
        <f>#REF!</f>
        <v>#REF!</v>
      </c>
      <c r="J252" s="7" t="e">
        <f t="shared" si="61"/>
        <v>#REF!</v>
      </c>
      <c r="K252" s="7" t="e">
        <f t="shared" si="62"/>
        <v>#REF!</v>
      </c>
      <c r="L252" s="7" t="e">
        <f>IF($D252&lt;&gt;"Valid",0,IFERROR(AVERAGE(#REF!,#REF!),0))</f>
        <v>#REF!</v>
      </c>
      <c r="M252" s="21" t="str">
        <f>IF(ISNUMBER(L252),_xlfn.RANK.EQ(L252,$L$2:$L$500,0),"")</f>
        <v/>
      </c>
      <c r="N252" s="7" t="e">
        <f>IF(L252=0,
"Not Assessed",
IF(L252&gt;=0.85,"Very High Performance",
IF(L252&gt;=0.7,"High Performance",
IF(L252&gt;=0.55,"Moderate Performance",
IF(L252&gt;=0.4,"Low Performance",
"Very Low Performance")))))</f>
        <v>#REF!</v>
      </c>
      <c r="O252" s="7" t="e">
        <f>IF($L252=0,
"Failed minimum data validation; requires contextual review in FSF.",
"Ready for contextual review in FSF.")</f>
        <v>#REF!</v>
      </c>
    </row>
    <row r="253" spans="1:15" hidden="1">
      <c r="A253" s="7" t="e">
        <f>#REF!</f>
        <v>#REF!</v>
      </c>
      <c r="B253" s="7" t="e">
        <f>#REF!</f>
        <v>#REF!</v>
      </c>
      <c r="C253" s="7" t="e">
        <f>#REF!</f>
        <v>#REF!</v>
      </c>
      <c r="D253" s="7" t="e">
        <f>#REF!</f>
        <v>#REF!</v>
      </c>
      <c r="E253" s="7" t="e">
        <f>#REF!</f>
        <v>#REF!</v>
      </c>
      <c r="F253" s="7" t="e">
        <f>#REF!</f>
        <v>#REF!</v>
      </c>
      <c r="G253" s="7" t="e">
        <f>#REF!</f>
        <v>#REF!</v>
      </c>
      <c r="H253" s="7" t="e">
        <f>#REF!</f>
        <v>#REF!</v>
      </c>
      <c r="I253" s="7" t="e">
        <f>#REF!</f>
        <v>#REF!</v>
      </c>
      <c r="J253" s="7" t="e">
        <f t="shared" si="61"/>
        <v>#REF!</v>
      </c>
      <c r="K253" s="7" t="e">
        <f t="shared" si="62"/>
        <v>#REF!</v>
      </c>
      <c r="L253" s="7" t="e">
        <f>IF(D253&lt;&gt;"Valid","",#REF!*0.4+#REF!*0.6)</f>
        <v>#REF!</v>
      </c>
      <c r="M253" s="7"/>
      <c r="N253" s="7" t="e">
        <f>IF(D253&lt;&gt;"Valid","Not Assessed (Insufficient Valid Data)",LOOKUP(L253,tblPerformanceCategory[Min],tblPerformanceCategory[Performance Category]))</f>
        <v>#REF!</v>
      </c>
      <c r="O253" s="7" t="e">
        <f>IF(D253="Valid","Yes","No")</f>
        <v>#REF!</v>
      </c>
    </row>
    <row r="254" spans="1:15" ht="42" hidden="1" customHeight="1">
      <c r="A254" s="7" t="e">
        <f>#REF!</f>
        <v>#REF!</v>
      </c>
      <c r="B254" s="7" t="e">
        <f>#REF!</f>
        <v>#REF!</v>
      </c>
      <c r="C254" s="7" t="e">
        <f>#REF!</f>
        <v>#REF!</v>
      </c>
      <c r="D254" s="7" t="e">
        <f>#REF!</f>
        <v>#REF!</v>
      </c>
      <c r="E254" s="7" t="e">
        <f>#REF!</f>
        <v>#REF!</v>
      </c>
      <c r="F254" s="7" t="e">
        <f>#REF!</f>
        <v>#REF!</v>
      </c>
      <c r="G254" s="7" t="e">
        <f>#REF!</f>
        <v>#REF!</v>
      </c>
      <c r="H254" s="7" t="e">
        <f>#REF!</f>
        <v>#REF!</v>
      </c>
      <c r="I254" s="7" t="e">
        <f>#REF!</f>
        <v>#REF!</v>
      </c>
      <c r="J254" s="7" t="e">
        <f t="shared" si="61"/>
        <v>#REF!</v>
      </c>
      <c r="K254" s="7" t="e">
        <f t="shared" si="62"/>
        <v>#REF!</v>
      </c>
      <c r="L254" s="7" t="e">
        <f>IF($D254&lt;&gt;"Valid",0,IFERROR(AVERAGE(#REF!,#REF!),0))</f>
        <v>#REF!</v>
      </c>
      <c r="M254" s="21" t="str">
        <f>IF(ISNUMBER(L254),_xlfn.RANK.EQ(L254,$L$2:$L$500,0),"")</f>
        <v/>
      </c>
      <c r="N254" s="7" t="e">
        <f>IF(L254=0,
"Not Assessed",
IF(L254&gt;=0.85,"Very High Performance",
IF(L254&gt;=0.7,"High Performance",
IF(L254&gt;=0.55,"Moderate Performance",
IF(L254&gt;=0.4,"Low Performance",
"Very Low Performance")))))</f>
        <v>#REF!</v>
      </c>
      <c r="O254" s="7" t="e">
        <f>IF($L254=0,
"Failed minimum data validation; requires contextual review in FSF.",
"Ready for contextual review in FSF.")</f>
        <v>#REF!</v>
      </c>
    </row>
    <row r="255" spans="1:15" hidden="1">
      <c r="A255" s="7" t="e">
        <f>#REF!</f>
        <v>#REF!</v>
      </c>
      <c r="B255" s="7" t="e">
        <f>#REF!</f>
        <v>#REF!</v>
      </c>
      <c r="C255" s="7" t="e">
        <f>#REF!</f>
        <v>#REF!</v>
      </c>
      <c r="D255" s="7" t="e">
        <f>#REF!</f>
        <v>#REF!</v>
      </c>
      <c r="E255" s="7" t="e">
        <f>#REF!</f>
        <v>#REF!</v>
      </c>
      <c r="F255" s="7" t="e">
        <f>#REF!</f>
        <v>#REF!</v>
      </c>
      <c r="G255" s="7" t="e">
        <f>#REF!</f>
        <v>#REF!</v>
      </c>
      <c r="H255" s="7" t="e">
        <f>#REF!</f>
        <v>#REF!</v>
      </c>
      <c r="I255" s="7" t="e">
        <f>#REF!</f>
        <v>#REF!</v>
      </c>
      <c r="J255" s="7" t="e">
        <f t="shared" si="61"/>
        <v>#REF!</v>
      </c>
      <c r="K255" s="7" t="e">
        <f t="shared" si="62"/>
        <v>#REF!</v>
      </c>
      <c r="L255" s="7" t="e">
        <f>IF(D255&lt;&gt;"Valid","",#REF!*0.4+#REF!*0.6)</f>
        <v>#REF!</v>
      </c>
      <c r="M255" s="7"/>
      <c r="N255" s="7" t="e">
        <f>IF(D255&lt;&gt;"Valid","Not Assessed (Insufficient Valid Data)",LOOKUP(L255,tblPerformanceCategory[Min],tblPerformanceCategory[Performance Category]))</f>
        <v>#REF!</v>
      </c>
      <c r="O255" s="7" t="e">
        <f>IF(D255="Valid","Yes","No")</f>
        <v>#REF!</v>
      </c>
    </row>
    <row r="256" spans="1:15" hidden="1">
      <c r="A256" s="7" t="e">
        <f>#REF!</f>
        <v>#REF!</v>
      </c>
      <c r="B256" s="7" t="e">
        <f>#REF!</f>
        <v>#REF!</v>
      </c>
      <c r="C256" s="7" t="e">
        <f>#REF!</f>
        <v>#REF!</v>
      </c>
      <c r="D256" s="7" t="e">
        <f>#REF!</f>
        <v>#REF!</v>
      </c>
      <c r="E256" s="7" t="e">
        <f>#REF!</f>
        <v>#REF!</v>
      </c>
      <c r="F256" s="7" t="e">
        <f>#REF!</f>
        <v>#REF!</v>
      </c>
      <c r="G256" s="7" t="e">
        <f>#REF!</f>
        <v>#REF!</v>
      </c>
      <c r="H256" s="7" t="e">
        <f>#REF!</f>
        <v>#REF!</v>
      </c>
      <c r="I256" s="7" t="e">
        <f>#REF!</f>
        <v>#REF!</v>
      </c>
      <c r="J256" s="7" t="e">
        <f t="shared" si="61"/>
        <v>#REF!</v>
      </c>
      <c r="K256" s="7" t="e">
        <f t="shared" si="62"/>
        <v>#REF!</v>
      </c>
      <c r="L256" s="7" t="e">
        <f>IF(D256&lt;&gt;"Valid","",#REF!*0.4+#REF!*0.6)</f>
        <v>#REF!</v>
      </c>
      <c r="M256" s="7"/>
      <c r="N256" s="7" t="e">
        <f>IF(D256&lt;&gt;"Valid","Not Assessed (Insufficient Valid Data)",LOOKUP(L256,tblPerformanceCategory[Min],tblPerformanceCategory[Performance Category]))</f>
        <v>#REF!</v>
      </c>
      <c r="O256" s="7" t="e">
        <f>IF(D256="Valid","Yes","No")</f>
        <v>#REF!</v>
      </c>
    </row>
    <row r="257" spans="1:15" ht="42" customHeight="1">
      <c r="A257" s="7" t="str">
        <f>Derived_Indicators!A257</f>
        <v>Abuja Municipal Area Council</v>
      </c>
      <c r="B257" s="7" t="str">
        <f>Derived_Indicators!B257</f>
        <v>City Centre Ward</v>
      </c>
      <c r="C257" s="7" t="str">
        <f>Derived_Indicators!C257</f>
        <v>Mambilla Barrack Medical Centre</v>
      </c>
      <c r="D257" s="7" t="str">
        <f>Derived_Indicators!Q257</f>
        <v>Invalid</v>
      </c>
      <c r="E257" s="23">
        <f>Derived_Indicators!D257</f>
        <v>0.92130000000000001</v>
      </c>
      <c r="F257" s="23" t="str">
        <f>Derived_Indicators!E257</f>
        <v/>
      </c>
      <c r="G257" s="23">
        <f>Derived_Indicators!K257</f>
        <v>0.97674418604651159</v>
      </c>
      <c r="H257" s="23">
        <f>Derived_Indicators!M257</f>
        <v>1.2037037037037037</v>
      </c>
      <c r="I257" s="23">
        <f>Derived_Indicators!N257</f>
        <v>1.2592592592592593</v>
      </c>
      <c r="J257" s="23" t="str">
        <f>IF($D257&lt;&gt;"Valid","",AVERAGE(E257:F257))</f>
        <v/>
      </c>
      <c r="K257" s="23" t="str">
        <f>IF($D257&lt;&gt;"Valid","",AVERAGE(G257:I257))</f>
        <v/>
      </c>
      <c r="L257" s="23" t="str">
        <f>IF($D257&lt;&gt;"Valid","",AVERAGE(J257,K257))</f>
        <v/>
      </c>
      <c r="M257" s="21" t="str">
        <f>IF(AND($D257="Valid",ISNUMBER(L257)),RANK(L257,$L$2:$L$500,0),"")</f>
        <v/>
      </c>
      <c r="N257" s="7" t="str">
        <f>IF(L257="",
"Not Assessed",
IF(L257&gt;=0.85,"Excellent",
IF(L257&gt;=0.7,"Good",
IF(L257&gt;=0.55,"Moderate",
IF(L257&gt;=0.4,"Low",
"Very Low")))))</f>
        <v>Not Assessed</v>
      </c>
      <c r="O257" s="7" t="str">
        <f>IF($D257&lt;&gt;"Valid",
"Failed data validation; excluded from HFSI and requires contextual review in the Health Facility Selection Framework (HFSF).",
"Eligible for contextual assessment using the Health Facility Selection Framework (HFSF).")</f>
        <v>Failed data validation; excluded from HFSI and requires contextual review in the Health Facility Selection Framework (HFSF).</v>
      </c>
    </row>
    <row r="258" spans="1:15" hidden="1">
      <c r="A258" s="7" t="e">
        <f>#REF!</f>
        <v>#REF!</v>
      </c>
      <c r="B258" s="7" t="e">
        <f>#REF!</f>
        <v>#REF!</v>
      </c>
      <c r="C258" s="7" t="e">
        <f>#REF!</f>
        <v>#REF!</v>
      </c>
      <c r="D258" s="7" t="e">
        <f>#REF!</f>
        <v>#REF!</v>
      </c>
      <c r="E258" s="7" t="e">
        <f>#REF!</f>
        <v>#REF!</v>
      </c>
      <c r="F258" s="7" t="e">
        <f>#REF!</f>
        <v>#REF!</v>
      </c>
      <c r="G258" s="7" t="e">
        <f>#REF!</f>
        <v>#REF!</v>
      </c>
      <c r="H258" s="7" t="e">
        <f>#REF!</f>
        <v>#REF!</v>
      </c>
      <c r="I258" s="7" t="e">
        <f>#REF!</f>
        <v>#REF!</v>
      </c>
      <c r="J258" s="7" t="e">
        <f>IF(D258&lt;&gt;"Valid","",SUM(E258:F258))</f>
        <v>#REF!</v>
      </c>
      <c r="K258" s="7" t="e">
        <f>IF(D258&lt;&gt;"Valid","",SUM(G258:I258))</f>
        <v>#REF!</v>
      </c>
      <c r="L258" s="7" t="e">
        <f>IF(D258&lt;&gt;"Valid","",#REF!*0.4+#REF!*0.6)</f>
        <v>#REF!</v>
      </c>
      <c r="M258" s="7"/>
      <c r="N258" s="7" t="e">
        <f>IF(D258&lt;&gt;"Valid","Not Assessed (Insufficient Valid Data)",LOOKUP(L258,tblPerformanceCategory[Min],tblPerformanceCategory[Performance Category]))</f>
        <v>#REF!</v>
      </c>
      <c r="O258" s="7" t="e">
        <f>IF(D258="Valid","Yes","No")</f>
        <v>#REF!</v>
      </c>
    </row>
    <row r="259" spans="1:15" ht="42" hidden="1" customHeight="1">
      <c r="A259" s="7" t="e">
        <f>#REF!</f>
        <v>#REF!</v>
      </c>
      <c r="B259" s="7" t="e">
        <f>#REF!</f>
        <v>#REF!</v>
      </c>
      <c r="C259" s="7" t="e">
        <f>#REF!</f>
        <v>#REF!</v>
      </c>
      <c r="D259" s="7" t="e">
        <f>#REF!</f>
        <v>#REF!</v>
      </c>
      <c r="E259" s="7" t="e">
        <f>#REF!</f>
        <v>#REF!</v>
      </c>
      <c r="F259" s="7" t="e">
        <f>#REF!</f>
        <v>#REF!</v>
      </c>
      <c r="G259" s="7" t="e">
        <f>#REF!</f>
        <v>#REF!</v>
      </c>
      <c r="H259" s="7" t="e">
        <f>#REF!</f>
        <v>#REF!</v>
      </c>
      <c r="I259" s="7" t="e">
        <f>#REF!</f>
        <v>#REF!</v>
      </c>
      <c r="J259" s="7" t="e">
        <f>IF(D259&lt;&gt;"Valid","",SUM(E259:F259))</f>
        <v>#REF!</v>
      </c>
      <c r="K259" s="7" t="e">
        <f>IF(D259&lt;&gt;"Valid","",SUM(G259:I259))</f>
        <v>#REF!</v>
      </c>
      <c r="L259" s="7" t="e">
        <f>IF($D259&lt;&gt;"Valid",0,IFERROR(AVERAGE(#REF!,#REF!),0))</f>
        <v>#REF!</v>
      </c>
      <c r="M259" s="21" t="str">
        <f>IF(ISNUMBER(L259),_xlfn.RANK.EQ(L259,$L$2:$L$500,0),"")</f>
        <v/>
      </c>
      <c r="N259" s="7" t="e">
        <f>IF(L259=0,
"Not Assessed",
IF(L259&gt;=0.85,"Very High Performance",
IF(L259&gt;=0.7,"High Performance",
IF(L259&gt;=0.55,"Moderate Performance",
IF(L259&gt;=0.4,"Low Performance",
"Very Low Performance")))))</f>
        <v>#REF!</v>
      </c>
      <c r="O259" s="7" t="e">
        <f>IF($L259=0,
"Failed minimum data validation; requires contextual review in FSF.",
"Ready for contextual review in FSF.")</f>
        <v>#REF!</v>
      </c>
    </row>
    <row r="260" spans="1:15" ht="42" hidden="1" customHeight="1">
      <c r="A260" s="7" t="e">
        <f>#REF!</f>
        <v>#REF!</v>
      </c>
      <c r="B260" s="7" t="e">
        <f>#REF!</f>
        <v>#REF!</v>
      </c>
      <c r="C260" s="7" t="e">
        <f>#REF!</f>
        <v>#REF!</v>
      </c>
      <c r="D260" s="7" t="e">
        <f>#REF!</f>
        <v>#REF!</v>
      </c>
      <c r="E260" s="7" t="e">
        <f>#REF!</f>
        <v>#REF!</v>
      </c>
      <c r="F260" s="7" t="e">
        <f>#REF!</f>
        <v>#REF!</v>
      </c>
      <c r="G260" s="7" t="e">
        <f>#REF!</f>
        <v>#REF!</v>
      </c>
      <c r="H260" s="7" t="e">
        <f>#REF!</f>
        <v>#REF!</v>
      </c>
      <c r="I260" s="7" t="e">
        <f>#REF!</f>
        <v>#REF!</v>
      </c>
      <c r="J260" s="7" t="e">
        <f>IF(D260&lt;&gt;"Valid","",SUM(E260:F260))</f>
        <v>#REF!</v>
      </c>
      <c r="K260" s="7" t="e">
        <f>IF(D260&lt;&gt;"Valid","",SUM(G260:I260))</f>
        <v>#REF!</v>
      </c>
      <c r="L260" s="7" t="e">
        <f>IF($D260&lt;&gt;"Valid",0,IFERROR(AVERAGE(#REF!,#REF!),0))</f>
        <v>#REF!</v>
      </c>
      <c r="M260" s="21" t="str">
        <f>IF(ISNUMBER(L260),_xlfn.RANK.EQ(L260,$L$2:$L$500,0),"")</f>
        <v/>
      </c>
      <c r="N260" s="7" t="e">
        <f>IF(L260=0,
"Not Assessed",
IF(L260&gt;=0.85,"Very High Performance",
IF(L260&gt;=0.7,"High Performance",
IF(L260&gt;=0.55,"Moderate Performance",
IF(L260&gt;=0.4,"Low Performance",
"Very Low Performance")))))</f>
        <v>#REF!</v>
      </c>
      <c r="O260" s="7" t="e">
        <f>IF($L260=0,
"Failed minimum data validation; requires contextual review in FSF.",
"Ready for contextual review in FSF.")</f>
        <v>#REF!</v>
      </c>
    </row>
    <row r="261" spans="1:15" ht="42" hidden="1" customHeight="1">
      <c r="A261" s="7" t="e">
        <f>#REF!</f>
        <v>#REF!</v>
      </c>
      <c r="B261" s="7" t="e">
        <f>#REF!</f>
        <v>#REF!</v>
      </c>
      <c r="C261" s="7" t="e">
        <f>#REF!</f>
        <v>#REF!</v>
      </c>
      <c r="D261" s="7" t="e">
        <f>#REF!</f>
        <v>#REF!</v>
      </c>
      <c r="E261" s="7" t="e">
        <f>#REF!</f>
        <v>#REF!</v>
      </c>
      <c r="F261" s="7" t="e">
        <f>#REF!</f>
        <v>#REF!</v>
      </c>
      <c r="G261" s="7" t="e">
        <f>#REF!</f>
        <v>#REF!</v>
      </c>
      <c r="H261" s="7" t="e">
        <f>#REF!</f>
        <v>#REF!</v>
      </c>
      <c r="I261" s="7" t="e">
        <f>#REF!</f>
        <v>#REF!</v>
      </c>
      <c r="J261" s="7" t="e">
        <f>IF(D261&lt;&gt;"Valid","",SUM(E261:F261))</f>
        <v>#REF!</v>
      </c>
      <c r="K261" s="7" t="e">
        <f>IF(D261&lt;&gt;"Valid","",SUM(G261:I261))</f>
        <v>#REF!</v>
      </c>
      <c r="L261" s="7" t="e">
        <f>IF($D261&lt;&gt;"Valid",0,IFERROR(AVERAGE(#REF!,#REF!),0))</f>
        <v>#REF!</v>
      </c>
      <c r="M261" s="21" t="str">
        <f>IF(ISNUMBER(L261),_xlfn.RANK.EQ(L261,$L$2:$L$500,0),"")</f>
        <v/>
      </c>
      <c r="N261" s="7" t="e">
        <f>IF(L261=0,
"Not Assessed",
IF(L261&gt;=0.85,"Very High Performance",
IF(L261&gt;=0.7,"High Performance",
IF(L261&gt;=0.55,"Moderate Performance",
IF(L261&gt;=0.4,"Low Performance",
"Very Low Performance")))))</f>
        <v>#REF!</v>
      </c>
      <c r="O261" s="7" t="e">
        <f>IF($L261=0,
"Failed minimum data validation; requires contextual review in FSF.",
"Ready for contextual review in FSF.")</f>
        <v>#REF!</v>
      </c>
    </row>
    <row r="262" spans="1:15" hidden="1">
      <c r="A262" s="7" t="e">
        <f>#REF!</f>
        <v>#REF!</v>
      </c>
      <c r="B262" s="7" t="e">
        <f>#REF!</f>
        <v>#REF!</v>
      </c>
      <c r="C262" s="7" t="e">
        <f>#REF!</f>
        <v>#REF!</v>
      </c>
      <c r="D262" s="7" t="e">
        <f>#REF!</f>
        <v>#REF!</v>
      </c>
      <c r="E262" s="7" t="e">
        <f>#REF!</f>
        <v>#REF!</v>
      </c>
      <c r="F262" s="7" t="e">
        <f>#REF!</f>
        <v>#REF!</v>
      </c>
      <c r="G262" s="7" t="e">
        <f>#REF!</f>
        <v>#REF!</v>
      </c>
      <c r="H262" s="7" t="e">
        <f>#REF!</f>
        <v>#REF!</v>
      </c>
      <c r="I262" s="7" t="e">
        <f>#REF!</f>
        <v>#REF!</v>
      </c>
      <c r="J262" s="7" t="e">
        <f>IF(D262&lt;&gt;"Valid","",SUM(E262:F262))</f>
        <v>#REF!</v>
      </c>
      <c r="K262" s="7" t="e">
        <f>IF(D262&lt;&gt;"Valid","",SUM(G262:I262))</f>
        <v>#REF!</v>
      </c>
      <c r="L262" s="7" t="e">
        <f>IF(D262&lt;&gt;"Valid","",#REF!*0.4+#REF!*0.6)</f>
        <v>#REF!</v>
      </c>
      <c r="M262" s="7"/>
      <c r="N262" s="7" t="e">
        <f>IF(D262&lt;&gt;"Valid","Not Assessed (Insufficient Valid Data)",LOOKUP(L262,tblPerformanceCategory[Min],tblPerformanceCategory[Performance Category]))</f>
        <v>#REF!</v>
      </c>
      <c r="O262" s="7" t="e">
        <f>IF(D262="Valid","Yes","No")</f>
        <v>#REF!</v>
      </c>
    </row>
    <row r="263" spans="1:15" ht="42" customHeight="1">
      <c r="A263" s="7" t="str">
        <f>Derived_Indicators!A263</f>
        <v>Abuja Municipal Area Council</v>
      </c>
      <c r="B263" s="7" t="str">
        <f>Derived_Indicators!B263</f>
        <v>Gui Ward</v>
      </c>
      <c r="C263" s="7" t="str">
        <f>Derived_Indicators!C263</f>
        <v>Medical Missionaries of Mary Clinic and Maternity (Aco-airport Road)</v>
      </c>
      <c r="D263" s="7" t="str">
        <f>Derived_Indicators!Q263</f>
        <v>Invalid</v>
      </c>
      <c r="E263" s="23">
        <f>Derived_Indicators!D263</f>
        <v>1</v>
      </c>
      <c r="F263" s="23">
        <f>Derived_Indicators!E263</f>
        <v>0.91666666666666674</v>
      </c>
      <c r="G263" s="23">
        <f>Derived_Indicators!K263</f>
        <v>1.0214723926380369</v>
      </c>
      <c r="H263" s="23">
        <f>Derived_Indicators!M263</f>
        <v>0.64220183486238536</v>
      </c>
      <c r="I263" s="23">
        <f>Derived_Indicators!N263</f>
        <v>0.27981651376146788</v>
      </c>
      <c r="J263" s="23" t="str">
        <f>IF($D263&lt;&gt;"Valid","",AVERAGE(E263:F263))</f>
        <v/>
      </c>
      <c r="K263" s="23" t="str">
        <f>IF($D263&lt;&gt;"Valid","",AVERAGE(G263:I263))</f>
        <v/>
      </c>
      <c r="L263" s="23" t="str">
        <f>IF($D263&lt;&gt;"Valid","",AVERAGE(J263,K263))</f>
        <v/>
      </c>
      <c r="M263" s="21" t="str">
        <f>IF(AND($D263="Valid",ISNUMBER(L263)),RANK(L263,$L$2:$L$500,0),"")</f>
        <v/>
      </c>
      <c r="N263" s="7" t="str">
        <f>IF(L263="",
"Not Assessed",
IF(L263&gt;=0.85,"Excellent",
IF(L263&gt;=0.7,"Good",
IF(L263&gt;=0.55,"Moderate",
IF(L263&gt;=0.4,"Low",
"Very Low")))))</f>
        <v>Not Assessed</v>
      </c>
      <c r="O263" s="7" t="str">
        <f>IF($D263&lt;&gt;"Valid",
"Failed data validation; excluded from HFSI and requires contextual review in the Health Facility Selection Framework (HFSF).",
"Eligible for contextual assessment using the Health Facility Selection Framework (HFSF).")</f>
        <v>Failed data validation; excluded from HFSI and requires contextual review in the Health Facility Selection Framework (HFSF).</v>
      </c>
    </row>
    <row r="264" spans="1:15" hidden="1">
      <c r="A264" s="7" t="e">
        <f>#REF!</f>
        <v>#REF!</v>
      </c>
      <c r="B264" s="7" t="e">
        <f>#REF!</f>
        <v>#REF!</v>
      </c>
      <c r="C264" s="7" t="e">
        <f>#REF!</f>
        <v>#REF!</v>
      </c>
      <c r="D264" s="7" t="e">
        <f>#REF!</f>
        <v>#REF!</v>
      </c>
      <c r="E264" s="7" t="e">
        <f>#REF!</f>
        <v>#REF!</v>
      </c>
      <c r="F264" s="7" t="e">
        <f>#REF!</f>
        <v>#REF!</v>
      </c>
      <c r="G264" s="7" t="e">
        <f>#REF!</f>
        <v>#REF!</v>
      </c>
      <c r="H264" s="7" t="e">
        <f>#REF!</f>
        <v>#REF!</v>
      </c>
      <c r="I264" s="7" t="e">
        <f>#REF!</f>
        <v>#REF!</v>
      </c>
      <c r="J264" s="7" t="e">
        <f>IF(D264&lt;&gt;"Valid","",SUM(E264:F264))</f>
        <v>#REF!</v>
      </c>
      <c r="K264" s="7" t="e">
        <f>IF(D264&lt;&gt;"Valid","",SUM(G264:I264))</f>
        <v>#REF!</v>
      </c>
      <c r="L264" s="7" t="e">
        <f>IF(D264&lt;&gt;"Valid","",#REF!*0.4+#REF!*0.6)</f>
        <v>#REF!</v>
      </c>
      <c r="M264" s="7"/>
      <c r="N264" s="7" t="e">
        <f>IF(D264&lt;&gt;"Valid","Not Assessed (Insufficient Valid Data)",LOOKUP(L264,tblPerformanceCategory[Min],tblPerformanceCategory[Performance Category]))</f>
        <v>#REF!</v>
      </c>
      <c r="O264" s="7" t="e">
        <f>IF(D264="Valid","Yes","No")</f>
        <v>#REF!</v>
      </c>
    </row>
    <row r="265" spans="1:15" ht="42" customHeight="1">
      <c r="A265" s="7" t="str">
        <f>Derived_Indicators!A265</f>
        <v>Bwari Local Government Area</v>
      </c>
      <c r="B265" s="7" t="str">
        <f>Derived_Indicators!B265</f>
        <v>Kubwa Ward</v>
      </c>
      <c r="C265" s="7" t="str">
        <f>Derived_Indicators!C265</f>
        <v>Miracle Seed Clinic and Maternity</v>
      </c>
      <c r="D265" s="7" t="str">
        <f>Derived_Indicators!Q265</f>
        <v>No Data</v>
      </c>
      <c r="E265" s="23" t="str">
        <f>Derived_Indicators!D265</f>
        <v/>
      </c>
      <c r="F265" s="23" t="str">
        <f>Derived_Indicators!E265</f>
        <v/>
      </c>
      <c r="G265" s="23" t="str">
        <f>Derived_Indicators!K265</f>
        <v/>
      </c>
      <c r="H265" s="23" t="str">
        <f>Derived_Indicators!M265</f>
        <v/>
      </c>
      <c r="I265" s="23" t="str">
        <f>Derived_Indicators!N265</f>
        <v/>
      </c>
      <c r="J265" s="23" t="str">
        <f t="shared" ref="J265:J266" si="63">IF($D265&lt;&gt;"Valid","",AVERAGE(E265:F265))</f>
        <v/>
      </c>
      <c r="K265" s="23" t="str">
        <f t="shared" ref="K265:K266" si="64">IF($D265&lt;&gt;"Valid","",AVERAGE(G265:I265))</f>
        <v/>
      </c>
      <c r="L265" s="23" t="str">
        <f t="shared" ref="L265:L266" si="65">IF($D265&lt;&gt;"Valid","",AVERAGE(J265,K265))</f>
        <v/>
      </c>
      <c r="M265" s="21" t="str">
        <f t="shared" ref="M265:M266" si="66">IF(AND($D265="Valid",ISNUMBER(L265)),RANK(L265,$L$2:$L$500,0),"")</f>
        <v/>
      </c>
      <c r="N265" s="7" t="str">
        <f t="shared" ref="N265:N266" si="67">IF(L265="",
"Not Assessed",
IF(L265&gt;=0.85,"Excellent",
IF(L265&gt;=0.7,"Good",
IF(L265&gt;=0.55,"Moderate",
IF(L265&gt;=0.4,"Low",
"Very Low")))))</f>
        <v>Not Assessed</v>
      </c>
      <c r="O265" s="7" t="str">
        <f t="shared" ref="O265:O266" si="68">IF($D265&lt;&gt;"Valid",
"Failed data validation; excluded from HFSI and requires contextual review in the Health Facility Selection Framework (HFSF).",
"Eligible for contextual assessment using the Health Facility Selection Framework (HFSF).")</f>
        <v>Failed data validation; excluded from HFSI and requires contextual review in the Health Facility Selection Framework (HFSF).</v>
      </c>
    </row>
    <row r="266" spans="1:15" ht="42" customHeight="1">
      <c r="A266" s="7" t="str">
        <f>Derived_Indicators!A266</f>
        <v>Abuja Municipal Area Council</v>
      </c>
      <c r="B266" s="7" t="str">
        <f>Derived_Indicators!B266</f>
        <v>City Centre Ward</v>
      </c>
      <c r="C266" s="7" t="str">
        <f>Derived_Indicators!C266</f>
        <v>Mogadishu (DHQTrs) Medical Centre</v>
      </c>
      <c r="D266" s="7" t="str">
        <f>Derived_Indicators!Q266</f>
        <v>Invalid</v>
      </c>
      <c r="E266" s="23">
        <f>Derived_Indicators!D266</f>
        <v>0.9375</v>
      </c>
      <c r="F266" s="23">
        <f>Derived_Indicators!E266</f>
        <v>1</v>
      </c>
      <c r="G266" s="23">
        <f>Derived_Indicators!K266</f>
        <v>1.25</v>
      </c>
      <c r="H266" s="23">
        <f>Derived_Indicators!M266</f>
        <v>0.73282442748091603</v>
      </c>
      <c r="I266" s="23">
        <f>Derived_Indicators!N266</f>
        <v>0.96946564885496178</v>
      </c>
      <c r="J266" s="23" t="str">
        <f t="shared" si="63"/>
        <v/>
      </c>
      <c r="K266" s="23" t="str">
        <f t="shared" si="64"/>
        <v/>
      </c>
      <c r="L266" s="23" t="str">
        <f t="shared" si="65"/>
        <v/>
      </c>
      <c r="M266" s="21" t="str">
        <f t="shared" si="66"/>
        <v/>
      </c>
      <c r="N266" s="7" t="str">
        <f t="shared" si="67"/>
        <v>Not Assessed</v>
      </c>
      <c r="O266" s="7" t="str">
        <f t="shared" si="68"/>
        <v>Failed data validation; excluded from HFSI and requires contextual review in the Health Facility Selection Framework (HFSF).</v>
      </c>
    </row>
    <row r="267" spans="1:15" ht="42" hidden="1" customHeight="1">
      <c r="A267" s="7" t="e">
        <f>#REF!</f>
        <v>#REF!</v>
      </c>
      <c r="B267" s="7" t="e">
        <f>#REF!</f>
        <v>#REF!</v>
      </c>
      <c r="C267" s="7" t="e">
        <f>#REF!</f>
        <v>#REF!</v>
      </c>
      <c r="D267" s="7" t="e">
        <f>#REF!</f>
        <v>#REF!</v>
      </c>
      <c r="E267" s="7" t="e">
        <f>#REF!</f>
        <v>#REF!</v>
      </c>
      <c r="F267" s="7" t="e">
        <f>#REF!</f>
        <v>#REF!</v>
      </c>
      <c r="G267" s="7" t="e">
        <f>#REF!</f>
        <v>#REF!</v>
      </c>
      <c r="H267" s="7" t="e">
        <f>#REF!</f>
        <v>#REF!</v>
      </c>
      <c r="I267" s="7" t="e">
        <f>#REF!</f>
        <v>#REF!</v>
      </c>
      <c r="J267" s="7" t="e">
        <f>IF(D267&lt;&gt;"Valid","",SUM(E267:F267))</f>
        <v>#REF!</v>
      </c>
      <c r="K267" s="7" t="e">
        <f>IF(D267&lt;&gt;"Valid","",SUM(G267:I267))</f>
        <v>#REF!</v>
      </c>
      <c r="L267" s="7" t="e">
        <f>IF($D267&lt;&gt;"Valid",0,IFERROR(AVERAGE(#REF!,#REF!),0))</f>
        <v>#REF!</v>
      </c>
      <c r="M267" s="21" t="str">
        <f>IF(ISNUMBER(L267),_xlfn.RANK.EQ(L267,$L$2:$L$500,0),"")</f>
        <v/>
      </c>
      <c r="N267" s="7" t="e">
        <f>IF(L267=0,
"Not Assessed",
IF(L267&gt;=0.85,"Very High Performance",
IF(L267&gt;=0.7,"High Performance",
IF(L267&gt;=0.55,"Moderate Performance",
IF(L267&gt;=0.4,"Low Performance",
"Very Low Performance")))))</f>
        <v>#REF!</v>
      </c>
      <c r="O267" s="7" t="e">
        <f>IF($L267=0,
"Failed minimum data validation; requires contextual review in FSF.",
"Ready for contextual review in FSF.")</f>
        <v>#REF!</v>
      </c>
    </row>
    <row r="268" spans="1:15" hidden="1">
      <c r="A268" s="7" t="e">
        <f>#REF!</f>
        <v>#REF!</v>
      </c>
      <c r="B268" s="7" t="e">
        <f>#REF!</f>
        <v>#REF!</v>
      </c>
      <c r="C268" s="7" t="e">
        <f>#REF!</f>
        <v>#REF!</v>
      </c>
      <c r="D268" s="7" t="e">
        <f>#REF!</f>
        <v>#REF!</v>
      </c>
      <c r="E268" s="7" t="e">
        <f>#REF!</f>
        <v>#REF!</v>
      </c>
      <c r="F268" s="7" t="e">
        <f>#REF!</f>
        <v>#REF!</v>
      </c>
      <c r="G268" s="7" t="e">
        <f>#REF!</f>
        <v>#REF!</v>
      </c>
      <c r="H268" s="7" t="e">
        <f>#REF!</f>
        <v>#REF!</v>
      </c>
      <c r="I268" s="7" t="e">
        <f>#REF!</f>
        <v>#REF!</v>
      </c>
      <c r="J268" s="7" t="e">
        <f>IF(D268&lt;&gt;"Valid","",SUM(E268:F268))</f>
        <v>#REF!</v>
      </c>
      <c r="K268" s="7" t="e">
        <f>IF(D268&lt;&gt;"Valid","",SUM(G268:I268))</f>
        <v>#REF!</v>
      </c>
      <c r="L268" s="7" t="e">
        <f>IF(D268&lt;&gt;"Valid","",#REF!*0.4+#REF!*0.6)</f>
        <v>#REF!</v>
      </c>
      <c r="M268" s="7"/>
      <c r="N268" s="7" t="e">
        <f>IF(D268&lt;&gt;"Valid","Not Assessed (Insufficient Valid Data)",LOOKUP(L268,tblPerformanceCategory[Min],tblPerformanceCategory[Performance Category]))</f>
        <v>#REF!</v>
      </c>
      <c r="O268" s="7" t="e">
        <f>IF(D268="Valid","Yes","No")</f>
        <v>#REF!</v>
      </c>
    </row>
    <row r="269" spans="1:15" ht="42" customHeight="1">
      <c r="A269" s="7" t="str">
        <f>Derived_Indicators!A269</f>
        <v>Abuja Municipal Area Council</v>
      </c>
      <c r="B269" s="7" t="str">
        <f>Derived_Indicators!B269</f>
        <v>Orozo Ward</v>
      </c>
      <c r="C269" s="7" t="str">
        <f>Derived_Indicators!C269</f>
        <v>Munape Primary Health Centre</v>
      </c>
      <c r="D269" s="7" t="str">
        <f>Derived_Indicators!Q269</f>
        <v>Incomplete</v>
      </c>
      <c r="E269" s="23">
        <f>Derived_Indicators!D269</f>
        <v>1</v>
      </c>
      <c r="F269" s="23" t="str">
        <f>Derived_Indicators!E269</f>
        <v/>
      </c>
      <c r="G269" s="23">
        <f>Derived_Indicators!K269</f>
        <v>0.48275862068965519</v>
      </c>
      <c r="H269" s="23" t="str">
        <f>Derived_Indicators!M269</f>
        <v/>
      </c>
      <c r="I269" s="23" t="str">
        <f>Derived_Indicators!N269</f>
        <v/>
      </c>
      <c r="J269" s="23" t="str">
        <f>IF($D269&lt;&gt;"Valid","",AVERAGE(E269:F269))</f>
        <v/>
      </c>
      <c r="K269" s="23" t="str">
        <f>IF($D269&lt;&gt;"Valid","",AVERAGE(G269:I269))</f>
        <v/>
      </c>
      <c r="L269" s="23" t="str">
        <f>IF($D269&lt;&gt;"Valid","",AVERAGE(J269,K269))</f>
        <v/>
      </c>
      <c r="M269" s="21" t="str">
        <f>IF(AND($D269="Valid",ISNUMBER(L269)),RANK(L269,$L$2:$L$500,0),"")</f>
        <v/>
      </c>
      <c r="N269" s="7" t="str">
        <f>IF(L269="",
"Not Assessed",
IF(L269&gt;=0.85,"Excellent",
IF(L269&gt;=0.7,"Good",
IF(L269&gt;=0.55,"Moderate",
IF(L269&gt;=0.4,"Low",
"Very Low")))))</f>
        <v>Not Assessed</v>
      </c>
      <c r="O269" s="7" t="str">
        <f>IF($D269&lt;&gt;"Valid",
"Failed data validation; excluded from HFSI and requires contextual review in the Health Facility Selection Framework (HFSF).",
"Eligible for contextual assessment using the Health Facility Selection Framework (HFSF).")</f>
        <v>Failed data validation; excluded from HFSI and requires contextual review in the Health Facility Selection Framework (HFSF).</v>
      </c>
    </row>
    <row r="270" spans="1:15" hidden="1">
      <c r="A270" s="7" t="e">
        <f>#REF!</f>
        <v>#REF!</v>
      </c>
      <c r="B270" s="7" t="e">
        <f>#REF!</f>
        <v>#REF!</v>
      </c>
      <c r="C270" s="7" t="e">
        <f>#REF!</f>
        <v>#REF!</v>
      </c>
      <c r="D270" s="7" t="e">
        <f>#REF!</f>
        <v>#REF!</v>
      </c>
      <c r="E270" s="7" t="e">
        <f>#REF!</f>
        <v>#REF!</v>
      </c>
      <c r="F270" s="7" t="e">
        <f>#REF!</f>
        <v>#REF!</v>
      </c>
      <c r="G270" s="7" t="e">
        <f>#REF!</f>
        <v>#REF!</v>
      </c>
      <c r="H270" s="7" t="e">
        <f>#REF!</f>
        <v>#REF!</v>
      </c>
      <c r="I270" s="7" t="e">
        <f>#REF!</f>
        <v>#REF!</v>
      </c>
      <c r="J270" s="7" t="e">
        <f>IF(D270&lt;&gt;"Valid","",SUM(E270:F270))</f>
        <v>#REF!</v>
      </c>
      <c r="K270" s="7" t="e">
        <f>IF(D270&lt;&gt;"Valid","",SUM(G270:I270))</f>
        <v>#REF!</v>
      </c>
      <c r="L270" s="7" t="e">
        <f>IF(D270&lt;&gt;"Valid","",#REF!*0.4+#REF!*0.6)</f>
        <v>#REF!</v>
      </c>
      <c r="M270" s="7"/>
      <c r="N270" s="7" t="e">
        <f>IF(D270&lt;&gt;"Valid","Not Assessed (Insufficient Valid Data)",LOOKUP(L270,tblPerformanceCategory[Min],tblPerformanceCategory[Performance Category]))</f>
        <v>#REF!</v>
      </c>
      <c r="O270" s="7" t="e">
        <f>IF(D270="Valid","Yes","No")</f>
        <v>#REF!</v>
      </c>
    </row>
    <row r="271" spans="1:15" ht="42" customHeight="1">
      <c r="A271" s="7" t="str">
        <f>Derived_Indicators!A271</f>
        <v>Abuja Municipal Area Council</v>
      </c>
      <c r="B271" s="7" t="str">
        <f>Derived_Indicators!B271</f>
        <v>Gwarimpa Ward</v>
      </c>
      <c r="C271" s="7" t="str">
        <f>Derived_Indicators!C271</f>
        <v>Nakowa Maternity Home</v>
      </c>
      <c r="D271" s="7" t="str">
        <f>Derived_Indicators!Q271</f>
        <v>Invalid</v>
      </c>
      <c r="E271" s="23">
        <f>Derived_Indicators!D271</f>
        <v>1</v>
      </c>
      <c r="F271" s="23" t="str">
        <f>Derived_Indicators!E271</f>
        <v/>
      </c>
      <c r="G271" s="23">
        <f>Derived_Indicators!K271</f>
        <v>1.3529411764705883</v>
      </c>
      <c r="H271" s="23">
        <f>Derived_Indicators!M271</f>
        <v>0.45454545454545453</v>
      </c>
      <c r="I271" s="23">
        <f>Derived_Indicators!N271</f>
        <v>1.3636363636363635</v>
      </c>
      <c r="J271" s="23" t="str">
        <f>IF($D271&lt;&gt;"Valid","",AVERAGE(E271:F271))</f>
        <v/>
      </c>
      <c r="K271" s="23" t="str">
        <f>IF($D271&lt;&gt;"Valid","",AVERAGE(G271:I271))</f>
        <v/>
      </c>
      <c r="L271" s="23" t="str">
        <f>IF($D271&lt;&gt;"Valid","",AVERAGE(J271,K271))</f>
        <v/>
      </c>
      <c r="M271" s="21" t="str">
        <f>IF(AND($D271="Valid",ISNUMBER(L271)),RANK(L271,$L$2:$L$500,0),"")</f>
        <v/>
      </c>
      <c r="N271" s="7" t="str">
        <f>IF(L271="",
"Not Assessed",
IF(L271&gt;=0.85,"Excellent",
IF(L271&gt;=0.7,"Good",
IF(L271&gt;=0.55,"Moderate",
IF(L271&gt;=0.4,"Low",
"Very Low")))))</f>
        <v>Not Assessed</v>
      </c>
      <c r="O271" s="7" t="str">
        <f>IF($D271&lt;&gt;"Valid",
"Failed data validation; excluded from HFSI and requires contextual review in the Health Facility Selection Framework (HFSF).",
"Eligible for contextual assessment using the Health Facility Selection Framework (HFSF).")</f>
        <v>Failed data validation; excluded from HFSI and requires contextual review in the Health Facility Selection Framework (HFSF).</v>
      </c>
    </row>
    <row r="272" spans="1:15" hidden="1">
      <c r="A272" s="7" t="e">
        <f>#REF!</f>
        <v>#REF!</v>
      </c>
      <c r="B272" s="7" t="e">
        <f>#REF!</f>
        <v>#REF!</v>
      </c>
      <c r="C272" s="7" t="e">
        <f>#REF!</f>
        <v>#REF!</v>
      </c>
      <c r="D272" s="7" t="e">
        <f>#REF!</f>
        <v>#REF!</v>
      </c>
      <c r="E272" s="7" t="e">
        <f>#REF!</f>
        <v>#REF!</v>
      </c>
      <c r="F272" s="7" t="e">
        <f>#REF!</f>
        <v>#REF!</v>
      </c>
      <c r="G272" s="7" t="e">
        <f>#REF!</f>
        <v>#REF!</v>
      </c>
      <c r="H272" s="7" t="e">
        <f>#REF!</f>
        <v>#REF!</v>
      </c>
      <c r="I272" s="7" t="e">
        <f>#REF!</f>
        <v>#REF!</v>
      </c>
      <c r="J272" s="7" t="e">
        <f>IF(D272&lt;&gt;"Valid","",SUM(E272:F272))</f>
        <v>#REF!</v>
      </c>
      <c r="K272" s="7" t="e">
        <f>IF(D272&lt;&gt;"Valid","",SUM(G272:I272))</f>
        <v>#REF!</v>
      </c>
      <c r="L272" s="7" t="e">
        <f>IF(D272&lt;&gt;"Valid","",#REF!*0.4+#REF!*0.6)</f>
        <v>#REF!</v>
      </c>
      <c r="M272" s="7"/>
      <c r="N272" s="7" t="e">
        <f>IF(D272&lt;&gt;"Valid","Not Assessed (Insufficient Valid Data)",LOOKUP(L272,tblPerformanceCategory[Min],tblPerformanceCategory[Performance Category]))</f>
        <v>#REF!</v>
      </c>
      <c r="O272" s="7" t="e">
        <f>IF(D272="Valid","Yes","No")</f>
        <v>#REF!</v>
      </c>
    </row>
    <row r="273" spans="1:15" ht="42" customHeight="1">
      <c r="A273" s="7" t="str">
        <f>Derived_Indicators!A273</f>
        <v>Abuja Municipal Area Council</v>
      </c>
      <c r="B273" s="7" t="str">
        <f>Derived_Indicators!B273</f>
        <v>City Centre Ward</v>
      </c>
      <c r="C273" s="7" t="str">
        <f>Derived_Indicators!C273</f>
        <v>National Assembly Staff Clinic</v>
      </c>
      <c r="D273" s="7" t="str">
        <f>Derived_Indicators!Q273</f>
        <v>No Data</v>
      </c>
      <c r="E273" s="23" t="str">
        <f>Derived_Indicators!D273</f>
        <v/>
      </c>
      <c r="F273" s="23" t="str">
        <f>Derived_Indicators!E273</f>
        <v/>
      </c>
      <c r="G273" s="23">
        <f>Derived_Indicators!K273</f>
        <v>1.3055555555555556</v>
      </c>
      <c r="H273" s="23" t="str">
        <f>Derived_Indicators!M273</f>
        <v/>
      </c>
      <c r="I273" s="23" t="str">
        <f>Derived_Indicators!N273</f>
        <v/>
      </c>
      <c r="J273" s="23" t="str">
        <f t="shared" ref="J273:J275" si="69">IF($D273&lt;&gt;"Valid","",AVERAGE(E273:F273))</f>
        <v/>
      </c>
      <c r="K273" s="23" t="str">
        <f t="shared" ref="K273:K275" si="70">IF($D273&lt;&gt;"Valid","",AVERAGE(G273:I273))</f>
        <v/>
      </c>
      <c r="L273" s="23" t="str">
        <f t="shared" ref="L273:L275" si="71">IF($D273&lt;&gt;"Valid","",AVERAGE(J273,K273))</f>
        <v/>
      </c>
      <c r="M273" s="21" t="str">
        <f t="shared" ref="M273:M275" si="72">IF(AND($D273="Valid",ISNUMBER(L273)),RANK(L273,$L$2:$L$500,0),"")</f>
        <v/>
      </c>
      <c r="N273" s="7" t="str">
        <f t="shared" ref="N273:N275" si="73">IF(L273="",
"Not Assessed",
IF(L273&gt;=0.85,"Excellent",
IF(L273&gt;=0.7,"Good",
IF(L273&gt;=0.55,"Moderate",
IF(L273&gt;=0.4,"Low",
"Very Low")))))</f>
        <v>Not Assessed</v>
      </c>
      <c r="O273" s="7" t="str">
        <f t="shared" ref="O273:O275" si="74">IF($D273&lt;&gt;"Valid",
"Failed data validation; excluded from HFSI and requires contextual review in the Health Facility Selection Framework (HFSF).",
"Eligible for contextual assessment using the Health Facility Selection Framework (HFSF).")</f>
        <v>Failed data validation; excluded from HFSI and requires contextual review in the Health Facility Selection Framework (HFSF).</v>
      </c>
    </row>
    <row r="274" spans="1:15" ht="42" customHeight="1">
      <c r="A274" s="7" t="str">
        <f>Derived_Indicators!A274</f>
        <v>Bwari Local Government Area</v>
      </c>
      <c r="B274" s="7" t="str">
        <f>Derived_Indicators!B274</f>
        <v>Ushafa Ward</v>
      </c>
      <c r="C274" s="7" t="str">
        <f>Derived_Indicators!C274</f>
        <v>National Defence College Clinic (Ushafa)</v>
      </c>
      <c r="D274" s="7" t="str">
        <f>Derived_Indicators!Q274</f>
        <v>Incomplete</v>
      </c>
      <c r="E274" s="23">
        <f>Derived_Indicators!D274</f>
        <v>0.95454545454545459</v>
      </c>
      <c r="F274" s="23">
        <f>Derived_Indicators!E274</f>
        <v>0.75</v>
      </c>
      <c r="G274" s="23">
        <f>Derived_Indicators!K274</f>
        <v>1.3</v>
      </c>
      <c r="H274" s="23" t="str">
        <f>Derived_Indicators!M274</f>
        <v/>
      </c>
      <c r="I274" s="23" t="str">
        <f>Derived_Indicators!N274</f>
        <v/>
      </c>
      <c r="J274" s="23" t="str">
        <f t="shared" si="69"/>
        <v/>
      </c>
      <c r="K274" s="23" t="str">
        <f t="shared" si="70"/>
        <v/>
      </c>
      <c r="L274" s="23" t="str">
        <f t="shared" si="71"/>
        <v/>
      </c>
      <c r="M274" s="21" t="str">
        <f t="shared" si="72"/>
        <v/>
      </c>
      <c r="N274" s="7" t="str">
        <f t="shared" si="73"/>
        <v>Not Assessed</v>
      </c>
      <c r="O274" s="7" t="str">
        <f t="shared" si="74"/>
        <v>Failed data validation; excluded from HFSI and requires contextual review in the Health Facility Selection Framework (HFSF).</v>
      </c>
    </row>
    <row r="275" spans="1:15" ht="42" customHeight="1">
      <c r="A275" s="7" t="str">
        <f>Derived_Indicators!A275</f>
        <v>Abuja Municipal Area Council</v>
      </c>
      <c r="B275" s="7" t="str">
        <f>Derived_Indicators!B275</f>
        <v>City Centre Ward</v>
      </c>
      <c r="C275" s="7" t="str">
        <f>Derived_Indicators!C275</f>
        <v>National Hospital (Abuja)</v>
      </c>
      <c r="D275" s="7" t="str">
        <f>Derived_Indicators!Q275</f>
        <v>Invalid</v>
      </c>
      <c r="E275" s="23" t="str">
        <f>Derived_Indicators!D275</f>
        <v/>
      </c>
      <c r="F275" s="23" t="str">
        <f>Derived_Indicators!E275</f>
        <v/>
      </c>
      <c r="G275" s="23">
        <f>Derived_Indicators!K275</f>
        <v>1.0180722891566265</v>
      </c>
      <c r="H275" s="23">
        <f>Derived_Indicators!M275</f>
        <v>4.6530612244897958</v>
      </c>
      <c r="I275" s="23">
        <f>Derived_Indicators!N275</f>
        <v>3.4217687074829932</v>
      </c>
      <c r="J275" s="23" t="str">
        <f t="shared" si="69"/>
        <v/>
      </c>
      <c r="K275" s="23" t="str">
        <f t="shared" si="70"/>
        <v/>
      </c>
      <c r="L275" s="23" t="str">
        <f t="shared" si="71"/>
        <v/>
      </c>
      <c r="M275" s="21" t="str">
        <f t="shared" si="72"/>
        <v/>
      </c>
      <c r="N275" s="7" t="str">
        <f t="shared" si="73"/>
        <v>Not Assessed</v>
      </c>
      <c r="O275" s="7" t="str">
        <f t="shared" si="74"/>
        <v>Failed data validation; excluded from HFSI and requires contextual review in the Health Facility Selection Framework (HFSF).</v>
      </c>
    </row>
    <row r="276" spans="1:15" hidden="1">
      <c r="A276" s="7" t="e">
        <f>#REF!</f>
        <v>#REF!</v>
      </c>
      <c r="B276" s="7" t="e">
        <f>#REF!</f>
        <v>#REF!</v>
      </c>
      <c r="C276" s="7" t="e">
        <f>#REF!</f>
        <v>#REF!</v>
      </c>
      <c r="D276" s="7" t="e">
        <f>#REF!</f>
        <v>#REF!</v>
      </c>
      <c r="E276" s="7" t="e">
        <f>#REF!</f>
        <v>#REF!</v>
      </c>
      <c r="F276" s="7" t="e">
        <f>#REF!</f>
        <v>#REF!</v>
      </c>
      <c r="G276" s="7" t="e">
        <f>#REF!</f>
        <v>#REF!</v>
      </c>
      <c r="H276" s="7" t="e">
        <f>#REF!</f>
        <v>#REF!</v>
      </c>
      <c r="I276" s="7" t="e">
        <f>#REF!</f>
        <v>#REF!</v>
      </c>
      <c r="J276" s="7" t="e">
        <f>IF(D276&lt;&gt;"Valid","",SUM(E276:F276))</f>
        <v>#REF!</v>
      </c>
      <c r="K276" s="7" t="e">
        <f>IF(D276&lt;&gt;"Valid","",SUM(G276:I276))</f>
        <v>#REF!</v>
      </c>
      <c r="L276" s="7" t="e">
        <f>IF(D276&lt;&gt;"Valid","",#REF!*0.4+#REF!*0.6)</f>
        <v>#REF!</v>
      </c>
      <c r="M276" s="7"/>
      <c r="N276" s="7" t="e">
        <f>IF(D276&lt;&gt;"Valid","Not Assessed (Insufficient Valid Data)",LOOKUP(L276,tblPerformanceCategory[Min],tblPerformanceCategory[Performance Category]))</f>
        <v>#REF!</v>
      </c>
      <c r="O276" s="7" t="e">
        <f>IF(D276="Valid","Yes","No")</f>
        <v>#REF!</v>
      </c>
    </row>
    <row r="277" spans="1:15" ht="42" hidden="1" customHeight="1">
      <c r="A277" s="7" t="e">
        <f>#REF!</f>
        <v>#REF!</v>
      </c>
      <c r="B277" s="7" t="e">
        <f>#REF!</f>
        <v>#REF!</v>
      </c>
      <c r="C277" s="7" t="e">
        <f>#REF!</f>
        <v>#REF!</v>
      </c>
      <c r="D277" s="7" t="e">
        <f>#REF!</f>
        <v>#REF!</v>
      </c>
      <c r="E277" s="7" t="e">
        <f>#REF!</f>
        <v>#REF!</v>
      </c>
      <c r="F277" s="7" t="e">
        <f>#REF!</f>
        <v>#REF!</v>
      </c>
      <c r="G277" s="7" t="e">
        <f>#REF!</f>
        <v>#REF!</v>
      </c>
      <c r="H277" s="7" t="e">
        <f>#REF!</f>
        <v>#REF!</v>
      </c>
      <c r="I277" s="7" t="e">
        <f>#REF!</f>
        <v>#REF!</v>
      </c>
      <c r="J277" s="7" t="e">
        <f>IF(D277&lt;&gt;"Valid","",SUM(E277:F277))</f>
        <v>#REF!</v>
      </c>
      <c r="K277" s="7" t="e">
        <f>IF(D277&lt;&gt;"Valid","",SUM(G277:I277))</f>
        <v>#REF!</v>
      </c>
      <c r="L277" s="7" t="e">
        <f>IF($D277&lt;&gt;"Valid",0,IFERROR(AVERAGE(#REF!,#REF!),0))</f>
        <v>#REF!</v>
      </c>
      <c r="M277" s="21" t="str">
        <f>IF(ISNUMBER(L277),_xlfn.RANK.EQ(L277,$L$2:$L$500,0),"")</f>
        <v/>
      </c>
      <c r="N277" s="7" t="e">
        <f>IF(L277=0,
"Not Assessed",
IF(L277&gt;=0.85,"Very High Performance",
IF(L277&gt;=0.7,"High Performance",
IF(L277&gt;=0.55,"Moderate Performance",
IF(L277&gt;=0.4,"Low Performance",
"Very Low Performance")))))</f>
        <v>#REF!</v>
      </c>
      <c r="O277" s="7" t="e">
        <f>IF($L277=0,
"Failed minimum data validation; requires contextual review in FSF.",
"Ready for contextual review in FSF.")</f>
        <v>#REF!</v>
      </c>
    </row>
    <row r="278" spans="1:15" ht="42" customHeight="1">
      <c r="A278" s="7" t="str">
        <f>Derived_Indicators!A278</f>
        <v>Abuja Municipal Area Council</v>
      </c>
      <c r="B278" s="7" t="str">
        <f>Derived_Indicators!B278</f>
        <v>Karu Ward</v>
      </c>
      <c r="C278" s="7" t="str">
        <f>Derived_Indicators!C278</f>
        <v>Nigeria Custom Medical Centre</v>
      </c>
      <c r="D278" s="7" t="str">
        <f>Derived_Indicators!Q278</f>
        <v>Valid</v>
      </c>
      <c r="E278" s="23">
        <f>Derived_Indicators!D278</f>
        <v>0.95</v>
      </c>
      <c r="F278" s="23" t="str">
        <f>Derived_Indicators!E278</f>
        <v/>
      </c>
      <c r="G278" s="23">
        <f>Derived_Indicators!K278</f>
        <v>0.87207207207207205</v>
      </c>
      <c r="H278" s="23">
        <f>Derived_Indicators!M278</f>
        <v>0.18763440860215053</v>
      </c>
      <c r="I278" s="23">
        <f>Derived_Indicators!N278</f>
        <v>3.4408602150537634E-2</v>
      </c>
      <c r="J278" s="23">
        <f t="shared" ref="J278:J279" si="75">IF($D278&lt;&gt;"Valid","",AVERAGE(E278:F278))</f>
        <v>0.95</v>
      </c>
      <c r="K278" s="23">
        <f t="shared" ref="K278:K279" si="76">IF($D278&lt;&gt;"Valid","",AVERAGE(G278:I278))</f>
        <v>0.36470502760825335</v>
      </c>
      <c r="L278" s="23">
        <f t="shared" ref="L278:L279" si="77">IF($D278&lt;&gt;"Valid","",AVERAGE(J278,K278))</f>
        <v>0.65735251380412663</v>
      </c>
      <c r="M278" s="21" t="e">
        <f t="shared" ref="M278:M279" si="78">IF(AND($D278="Valid",ISNUMBER(L278)),RANK(L278,$L$2:$L$500,0),"")</f>
        <v>#REF!</v>
      </c>
      <c r="N278" s="7" t="str">
        <f t="shared" ref="N278:N279" si="79">IF(L278="",
"Not Assessed",
IF(L278&gt;=0.85,"Excellent",
IF(L278&gt;=0.7,"Good",
IF(L278&gt;=0.55,"Moderate",
IF(L278&gt;=0.4,"Low",
"Very Low")))))</f>
        <v>Moderate</v>
      </c>
      <c r="O278" s="7" t="str">
        <f t="shared" ref="O278:O279" si="80">IF($D278&lt;&gt;"Valid",
"Failed data validation; excluded from HFSI and requires contextual review in the Health Facility Selection Framework (HFSF).",
"Eligible for contextual assessment using the Health Facility Selection Framework (HFSF).")</f>
        <v>Eligible for contextual assessment using the Health Facility Selection Framework (HFSF).</v>
      </c>
    </row>
    <row r="279" spans="1:15" ht="42" customHeight="1">
      <c r="A279" s="7" t="str">
        <f>Derived_Indicators!A279</f>
        <v>Abuja Municipal Area Council</v>
      </c>
      <c r="B279" s="7" t="str">
        <f>Derived_Indicators!B279</f>
        <v>Gwarimpa Ward</v>
      </c>
      <c r="C279" s="7" t="str">
        <f>Derived_Indicators!C279</f>
        <v>Nisa Premier Hospital</v>
      </c>
      <c r="D279" s="7" t="str">
        <f>Derived_Indicators!Q279</f>
        <v>Valid</v>
      </c>
      <c r="E279" s="23">
        <f>Derived_Indicators!D279</f>
        <v>1</v>
      </c>
      <c r="F279" s="23">
        <f>Derived_Indicators!E279</f>
        <v>0.82857142857142863</v>
      </c>
      <c r="G279" s="23">
        <f>Derived_Indicators!K279</f>
        <v>0.91060025542784162</v>
      </c>
      <c r="H279" s="23">
        <f>Derived_Indicators!M279</f>
        <v>0.4140576404727348</v>
      </c>
      <c r="I279" s="23">
        <f>Derived_Indicators!N279</f>
        <v>0.41177690234294007</v>
      </c>
      <c r="J279" s="23">
        <f t="shared" si="75"/>
        <v>0.91428571428571437</v>
      </c>
      <c r="K279" s="23">
        <f t="shared" si="76"/>
        <v>0.57881159941450544</v>
      </c>
      <c r="L279" s="23">
        <f t="shared" si="77"/>
        <v>0.74654865685010985</v>
      </c>
      <c r="M279" s="21" t="e">
        <f t="shared" si="78"/>
        <v>#REF!</v>
      </c>
      <c r="N279" s="7" t="str">
        <f t="shared" si="79"/>
        <v>Good</v>
      </c>
      <c r="O279" s="7" t="str">
        <f t="shared" si="80"/>
        <v>Eligible for contextual assessment using the Health Facility Selection Framework (HFSF).</v>
      </c>
    </row>
    <row r="280" spans="1:15" ht="42" hidden="1" customHeight="1">
      <c r="A280" s="7" t="e">
        <f>#REF!</f>
        <v>#REF!</v>
      </c>
      <c r="B280" s="7" t="e">
        <f>#REF!</f>
        <v>#REF!</v>
      </c>
      <c r="C280" s="7" t="e">
        <f>#REF!</f>
        <v>#REF!</v>
      </c>
      <c r="D280" s="7" t="e">
        <f>#REF!</f>
        <v>#REF!</v>
      </c>
      <c r="E280" s="7" t="e">
        <f>#REF!</f>
        <v>#REF!</v>
      </c>
      <c r="F280" s="7" t="e">
        <f>#REF!</f>
        <v>#REF!</v>
      </c>
      <c r="G280" s="7" t="e">
        <f>#REF!</f>
        <v>#REF!</v>
      </c>
      <c r="H280" s="7" t="e">
        <f>#REF!</f>
        <v>#REF!</v>
      </c>
      <c r="I280" s="7" t="e">
        <f>#REF!</f>
        <v>#REF!</v>
      </c>
      <c r="J280" s="7" t="e">
        <f>IF(D280&lt;&gt;"Valid","",SUM(E280:F280))</f>
        <v>#REF!</v>
      </c>
      <c r="K280" s="7" t="e">
        <f>IF(D280&lt;&gt;"Valid","",SUM(G280:I280))</f>
        <v>#REF!</v>
      </c>
      <c r="L280" s="7" t="e">
        <f>IF($D280&lt;&gt;"Valid",0,IFERROR(AVERAGE(#REF!,#REF!),0))</f>
        <v>#REF!</v>
      </c>
      <c r="M280" s="21" t="str">
        <f>IF(ISNUMBER(L280),_xlfn.RANK.EQ(L280,$L$2:$L$500,0),"")</f>
        <v/>
      </c>
      <c r="N280" s="7" t="e">
        <f>IF(L280=0,
"Not Assessed",
IF(L280&gt;=0.85,"Very High Performance",
IF(L280&gt;=0.7,"High Performance",
IF(L280&gt;=0.55,"Moderate Performance",
IF(L280&gt;=0.4,"Low Performance",
"Very Low Performance")))))</f>
        <v>#REF!</v>
      </c>
      <c r="O280" s="7" t="e">
        <f>IF($L280=0,
"Failed minimum data validation; requires contextual review in FSF.",
"Ready for contextual review in FSF.")</f>
        <v>#REF!</v>
      </c>
    </row>
    <row r="281" spans="1:15" ht="42" customHeight="1">
      <c r="A281" s="7" t="str">
        <f>Derived_Indicators!A281</f>
        <v>Abuja Municipal Area Council</v>
      </c>
      <c r="B281" s="7" t="str">
        <f>Derived_Indicators!B281</f>
        <v>Wuse Ward</v>
      </c>
      <c r="C281" s="7" t="str">
        <f>Derived_Indicators!C281</f>
        <v>NNPC Medical Services</v>
      </c>
      <c r="D281" s="7" t="str">
        <f>Derived_Indicators!Q281</f>
        <v>Invalid</v>
      </c>
      <c r="E281" s="23">
        <f>Derived_Indicators!D281</f>
        <v>2.342857142857143</v>
      </c>
      <c r="F281" s="23" t="str">
        <f>Derived_Indicators!E281</f>
        <v/>
      </c>
      <c r="G281" s="23">
        <f>Derived_Indicators!K281</f>
        <v>1.2244897959183674</v>
      </c>
      <c r="H281" s="23">
        <f>Derived_Indicators!M281</f>
        <v>1.4413793103448276</v>
      </c>
      <c r="I281" s="23">
        <f>Derived_Indicators!N281</f>
        <v>0.23448275862068965</v>
      </c>
      <c r="J281" s="23" t="str">
        <f>IF($D281&lt;&gt;"Valid","",AVERAGE(E281:F281))</f>
        <v/>
      </c>
      <c r="K281" s="23" t="str">
        <f>IF($D281&lt;&gt;"Valid","",AVERAGE(G281:I281))</f>
        <v/>
      </c>
      <c r="L281" s="23" t="str">
        <f>IF($D281&lt;&gt;"Valid","",AVERAGE(J281,K281))</f>
        <v/>
      </c>
      <c r="M281" s="21" t="str">
        <f>IF(AND($D281="Valid",ISNUMBER(L281)),RANK(L281,$L$2:$L$500,0),"")</f>
        <v/>
      </c>
      <c r="N281" s="7" t="str">
        <f>IF(L281="",
"Not Assessed",
IF(L281&gt;=0.85,"Excellent",
IF(L281&gt;=0.7,"Good",
IF(L281&gt;=0.55,"Moderate",
IF(L281&gt;=0.4,"Low",
"Very Low")))))</f>
        <v>Not Assessed</v>
      </c>
      <c r="O281" s="7" t="str">
        <f>IF($D281&lt;&gt;"Valid",
"Failed data validation; excluded from HFSI and requires contextual review in the Health Facility Selection Framework (HFSF).",
"Eligible for contextual assessment using the Health Facility Selection Framework (HFSF).")</f>
        <v>Failed data validation; excluded from HFSI and requires contextual review in the Health Facility Selection Framework (HFSF).</v>
      </c>
    </row>
    <row r="282" spans="1:15" ht="42" hidden="1" customHeight="1">
      <c r="A282" s="7" t="e">
        <f>#REF!</f>
        <v>#REF!</v>
      </c>
      <c r="B282" s="7" t="e">
        <f>#REF!</f>
        <v>#REF!</v>
      </c>
      <c r="C282" s="7" t="e">
        <f>#REF!</f>
        <v>#REF!</v>
      </c>
      <c r="D282" s="7" t="e">
        <f>#REF!</f>
        <v>#REF!</v>
      </c>
      <c r="E282" s="7" t="e">
        <f>#REF!</f>
        <v>#REF!</v>
      </c>
      <c r="F282" s="7" t="e">
        <f>#REF!</f>
        <v>#REF!</v>
      </c>
      <c r="G282" s="7" t="e">
        <f>#REF!</f>
        <v>#REF!</v>
      </c>
      <c r="H282" s="7" t="e">
        <f>#REF!</f>
        <v>#REF!</v>
      </c>
      <c r="I282" s="7" t="e">
        <f>#REF!</f>
        <v>#REF!</v>
      </c>
      <c r="J282" s="7" t="e">
        <f t="shared" ref="J282:J287" si="81">IF(D282&lt;&gt;"Valid","",SUM(E282:F282))</f>
        <v>#REF!</v>
      </c>
      <c r="K282" s="7" t="e">
        <f t="shared" ref="K282:K287" si="82">IF(D282&lt;&gt;"Valid","",SUM(G282:I282))</f>
        <v>#REF!</v>
      </c>
      <c r="L282" s="7" t="e">
        <f>IF($D282&lt;&gt;"Valid",0,IFERROR(AVERAGE(#REF!,#REF!),0))</f>
        <v>#REF!</v>
      </c>
      <c r="M282" s="21" t="str">
        <f>IF(ISNUMBER(L282),_xlfn.RANK.EQ(L282,$L$2:$L$500,0),"")</f>
        <v/>
      </c>
      <c r="N282" s="7" t="e">
        <f>IF(L282=0,
"Not Assessed",
IF(L282&gt;=0.85,"Very High Performance",
IF(L282&gt;=0.7,"High Performance",
IF(L282&gt;=0.55,"Moderate Performance",
IF(L282&gt;=0.4,"Low Performance",
"Very Low Performance")))))</f>
        <v>#REF!</v>
      </c>
      <c r="O282" s="7" t="e">
        <f>IF($L282=0,
"Failed minimum data validation; requires contextual review in FSF.",
"Ready for contextual review in FSF.")</f>
        <v>#REF!</v>
      </c>
    </row>
    <row r="283" spans="1:15" hidden="1">
      <c r="A283" s="7" t="e">
        <f>#REF!</f>
        <v>#REF!</v>
      </c>
      <c r="B283" s="7" t="e">
        <f>#REF!</f>
        <v>#REF!</v>
      </c>
      <c r="C283" s="7" t="e">
        <f>#REF!</f>
        <v>#REF!</v>
      </c>
      <c r="D283" s="7" t="e">
        <f>#REF!</f>
        <v>#REF!</v>
      </c>
      <c r="E283" s="7" t="e">
        <f>#REF!</f>
        <v>#REF!</v>
      </c>
      <c r="F283" s="7" t="e">
        <f>#REF!</f>
        <v>#REF!</v>
      </c>
      <c r="G283" s="7" t="e">
        <f>#REF!</f>
        <v>#REF!</v>
      </c>
      <c r="H283" s="7" t="e">
        <f>#REF!</f>
        <v>#REF!</v>
      </c>
      <c r="I283" s="7" t="e">
        <f>#REF!</f>
        <v>#REF!</v>
      </c>
      <c r="J283" s="7" t="e">
        <f t="shared" si="81"/>
        <v>#REF!</v>
      </c>
      <c r="K283" s="7" t="e">
        <f t="shared" si="82"/>
        <v>#REF!</v>
      </c>
      <c r="L283" s="7" t="e">
        <f>IF(D283&lt;&gt;"Valid","",#REF!*0.4+#REF!*0.6)</f>
        <v>#REF!</v>
      </c>
      <c r="M283" s="7"/>
      <c r="N283" s="7" t="e">
        <f>IF(D283&lt;&gt;"Valid","Not Assessed (Insufficient Valid Data)",LOOKUP(L283,tblPerformanceCategory[Min],tblPerformanceCategory[Performance Category]))</f>
        <v>#REF!</v>
      </c>
      <c r="O283" s="7" t="e">
        <f>IF(D283="Valid","Yes","No")</f>
        <v>#REF!</v>
      </c>
    </row>
    <row r="284" spans="1:15" ht="42" hidden="1" customHeight="1">
      <c r="A284" s="7" t="e">
        <f>#REF!</f>
        <v>#REF!</v>
      </c>
      <c r="B284" s="7" t="e">
        <f>#REF!</f>
        <v>#REF!</v>
      </c>
      <c r="C284" s="7" t="e">
        <f>#REF!</f>
        <v>#REF!</v>
      </c>
      <c r="D284" s="7" t="e">
        <f>#REF!</f>
        <v>#REF!</v>
      </c>
      <c r="E284" s="7" t="e">
        <f>#REF!</f>
        <v>#REF!</v>
      </c>
      <c r="F284" s="7" t="e">
        <f>#REF!</f>
        <v>#REF!</v>
      </c>
      <c r="G284" s="7" t="e">
        <f>#REF!</f>
        <v>#REF!</v>
      </c>
      <c r="H284" s="7" t="e">
        <f>#REF!</f>
        <v>#REF!</v>
      </c>
      <c r="I284" s="7" t="e">
        <f>#REF!</f>
        <v>#REF!</v>
      </c>
      <c r="J284" s="7" t="e">
        <f t="shared" si="81"/>
        <v>#REF!</v>
      </c>
      <c r="K284" s="7" t="e">
        <f t="shared" si="82"/>
        <v>#REF!</v>
      </c>
      <c r="L284" s="7" t="e">
        <f>IF($D284&lt;&gt;"Valid",0,IFERROR(AVERAGE(#REF!,#REF!),0))</f>
        <v>#REF!</v>
      </c>
      <c r="M284" s="21" t="str">
        <f>IF(ISNUMBER(L284),_xlfn.RANK.EQ(L284,$L$2:$L$500,0),"")</f>
        <v/>
      </c>
      <c r="N284" s="7" t="e">
        <f>IF(L284=0,
"Not Assessed",
IF(L284&gt;=0.85,"Very High Performance",
IF(L284&gt;=0.7,"High Performance",
IF(L284&gt;=0.55,"Moderate Performance",
IF(L284&gt;=0.4,"Low Performance",
"Very Low Performance")))))</f>
        <v>#REF!</v>
      </c>
      <c r="O284" s="7" t="e">
        <f>IF($L284=0,
"Failed minimum data validation; requires contextual review in FSF.",
"Ready for contextual review in FSF.")</f>
        <v>#REF!</v>
      </c>
    </row>
    <row r="285" spans="1:15" ht="42" hidden="1" customHeight="1">
      <c r="A285" s="7" t="e">
        <f>#REF!</f>
        <v>#REF!</v>
      </c>
      <c r="B285" s="7" t="e">
        <f>#REF!</f>
        <v>#REF!</v>
      </c>
      <c r="C285" s="7" t="e">
        <f>#REF!</f>
        <v>#REF!</v>
      </c>
      <c r="D285" s="7" t="e">
        <f>#REF!</f>
        <v>#REF!</v>
      </c>
      <c r="E285" s="7" t="e">
        <f>#REF!</f>
        <v>#REF!</v>
      </c>
      <c r="F285" s="7" t="e">
        <f>#REF!</f>
        <v>#REF!</v>
      </c>
      <c r="G285" s="7" t="e">
        <f>#REF!</f>
        <v>#REF!</v>
      </c>
      <c r="H285" s="7" t="e">
        <f>#REF!</f>
        <v>#REF!</v>
      </c>
      <c r="I285" s="7" t="e">
        <f>#REF!</f>
        <v>#REF!</v>
      </c>
      <c r="J285" s="7" t="e">
        <f t="shared" si="81"/>
        <v>#REF!</v>
      </c>
      <c r="K285" s="7" t="e">
        <f t="shared" si="82"/>
        <v>#REF!</v>
      </c>
      <c r="L285" s="7" t="e">
        <f>IF($D285&lt;&gt;"Valid",0,IFERROR(AVERAGE(#REF!,#REF!),0))</f>
        <v>#REF!</v>
      </c>
      <c r="M285" s="21" t="str">
        <f>IF(ISNUMBER(L285),_xlfn.RANK.EQ(L285,$L$2:$L$500,0),"")</f>
        <v/>
      </c>
      <c r="N285" s="7" t="e">
        <f>IF(L285=0,
"Not Assessed",
IF(L285&gt;=0.85,"Very High Performance",
IF(L285&gt;=0.7,"High Performance",
IF(L285&gt;=0.55,"Moderate Performance",
IF(L285&gt;=0.4,"Low Performance",
"Very Low Performance")))))</f>
        <v>#REF!</v>
      </c>
      <c r="O285" s="7" t="e">
        <f>IF($L285=0,
"Failed minimum data validation; requires contextual review in FSF.",
"Ready for contextual review in FSF.")</f>
        <v>#REF!</v>
      </c>
    </row>
    <row r="286" spans="1:15" hidden="1">
      <c r="A286" s="7" t="e">
        <f>#REF!</f>
        <v>#REF!</v>
      </c>
      <c r="B286" s="7" t="e">
        <f>#REF!</f>
        <v>#REF!</v>
      </c>
      <c r="C286" s="7" t="e">
        <f>#REF!</f>
        <v>#REF!</v>
      </c>
      <c r="D286" s="7" t="e">
        <f>#REF!</f>
        <v>#REF!</v>
      </c>
      <c r="E286" s="7" t="e">
        <f>#REF!</f>
        <v>#REF!</v>
      </c>
      <c r="F286" s="7" t="e">
        <f>#REF!</f>
        <v>#REF!</v>
      </c>
      <c r="G286" s="7" t="e">
        <f>#REF!</f>
        <v>#REF!</v>
      </c>
      <c r="H286" s="7" t="e">
        <f>#REF!</f>
        <v>#REF!</v>
      </c>
      <c r="I286" s="7" t="e">
        <f>#REF!</f>
        <v>#REF!</v>
      </c>
      <c r="J286" s="7" t="e">
        <f t="shared" si="81"/>
        <v>#REF!</v>
      </c>
      <c r="K286" s="7" t="e">
        <f t="shared" si="82"/>
        <v>#REF!</v>
      </c>
      <c r="L286" s="7" t="e">
        <f>IF(D286&lt;&gt;"Valid","",#REF!*0.4+#REF!*0.6)</f>
        <v>#REF!</v>
      </c>
      <c r="M286" s="7"/>
      <c r="N286" s="7" t="e">
        <f>IF(D286&lt;&gt;"Valid","Not Assessed (Insufficient Valid Data)",LOOKUP(L286,tblPerformanceCategory[Min],tblPerformanceCategory[Performance Category]))</f>
        <v>#REF!</v>
      </c>
      <c r="O286" s="7" t="e">
        <f>IF(D286="Valid","Yes","No")</f>
        <v>#REF!</v>
      </c>
    </row>
    <row r="287" spans="1:15" hidden="1">
      <c r="A287" s="7" t="e">
        <f>#REF!</f>
        <v>#REF!</v>
      </c>
      <c r="B287" s="7" t="e">
        <f>#REF!</f>
        <v>#REF!</v>
      </c>
      <c r="C287" s="7" t="e">
        <f>#REF!</f>
        <v>#REF!</v>
      </c>
      <c r="D287" s="7" t="e">
        <f>#REF!</f>
        <v>#REF!</v>
      </c>
      <c r="E287" s="7" t="e">
        <f>#REF!</f>
        <v>#REF!</v>
      </c>
      <c r="F287" s="7" t="e">
        <f>#REF!</f>
        <v>#REF!</v>
      </c>
      <c r="G287" s="7" t="e">
        <f>#REF!</f>
        <v>#REF!</v>
      </c>
      <c r="H287" s="7" t="e">
        <f>#REF!</f>
        <v>#REF!</v>
      </c>
      <c r="I287" s="7" t="e">
        <f>#REF!</f>
        <v>#REF!</v>
      </c>
      <c r="J287" s="7" t="e">
        <f t="shared" si="81"/>
        <v>#REF!</v>
      </c>
      <c r="K287" s="7" t="e">
        <f t="shared" si="82"/>
        <v>#REF!</v>
      </c>
      <c r="L287" s="7" t="e">
        <f>IF(D287&lt;&gt;"Valid","",#REF!*0.4+#REF!*0.6)</f>
        <v>#REF!</v>
      </c>
      <c r="M287" s="7"/>
      <c r="N287" s="7" t="e">
        <f>IF(D287&lt;&gt;"Valid","Not Assessed (Insufficient Valid Data)",LOOKUP(L287,tblPerformanceCategory[Min],tblPerformanceCategory[Performance Category]))</f>
        <v>#REF!</v>
      </c>
      <c r="O287" s="7" t="e">
        <f>IF(D287="Valid","Yes","No")</f>
        <v>#REF!</v>
      </c>
    </row>
    <row r="288" spans="1:15" ht="42" customHeight="1">
      <c r="A288" s="7" t="str">
        <f>Derived_Indicators!A288</f>
        <v>Bwari Local Government Area</v>
      </c>
      <c r="B288" s="7" t="str">
        <f>Derived_Indicators!B288</f>
        <v>Kubwa Ward</v>
      </c>
      <c r="C288" s="7" t="str">
        <f>Derived_Indicators!C288</f>
        <v>Old Dei Dei Primary Health Clinic</v>
      </c>
      <c r="D288" s="7" t="str">
        <f>Derived_Indicators!Q288</f>
        <v>Invalid</v>
      </c>
      <c r="E288" s="23">
        <f>Derived_Indicators!D288</f>
        <v>0.91429000000000005</v>
      </c>
      <c r="F288" s="23">
        <f>Derived_Indicators!E288</f>
        <v>0.91666999999999998</v>
      </c>
      <c r="G288" s="23">
        <f>Derived_Indicators!K288</f>
        <v>1.0884773662551441</v>
      </c>
      <c r="H288" s="23">
        <f>Derived_Indicators!M288</f>
        <v>0.22789115646258504</v>
      </c>
      <c r="I288" s="23">
        <f>Derived_Indicators!N288</f>
        <v>0.24829931972789115</v>
      </c>
      <c r="J288" s="23" t="str">
        <f>IF($D288&lt;&gt;"Valid","",AVERAGE(E288:F288))</f>
        <v/>
      </c>
      <c r="K288" s="23" t="str">
        <f>IF($D288&lt;&gt;"Valid","",AVERAGE(G288:I288))</f>
        <v/>
      </c>
      <c r="L288" s="23" t="str">
        <f>IF($D288&lt;&gt;"Valid","",AVERAGE(J288,K288))</f>
        <v/>
      </c>
      <c r="M288" s="21" t="str">
        <f>IF(AND($D288="Valid",ISNUMBER(L288)),RANK(L288,$L$2:$L$500,0),"")</f>
        <v/>
      </c>
      <c r="N288" s="7" t="str">
        <f>IF(L288="",
"Not Assessed",
IF(L288&gt;=0.85,"Excellent",
IF(L288&gt;=0.7,"Good",
IF(L288&gt;=0.55,"Moderate",
IF(L288&gt;=0.4,"Low",
"Very Low")))))</f>
        <v>Not Assessed</v>
      </c>
      <c r="O288" s="7" t="str">
        <f>IF($D288&lt;&gt;"Valid",
"Failed data validation; excluded from HFSI and requires contextual review in the Health Facility Selection Framework (HFSF).",
"Eligible for contextual assessment using the Health Facility Selection Framework (HFSF).")</f>
        <v>Failed data validation; excluded from HFSI and requires contextual review in the Health Facility Selection Framework (HFSF).</v>
      </c>
    </row>
    <row r="289" spans="1:15" ht="42" hidden="1" customHeight="1">
      <c r="A289" s="7" t="e">
        <f>#REF!</f>
        <v>#REF!</v>
      </c>
      <c r="B289" s="7" t="e">
        <f>#REF!</f>
        <v>#REF!</v>
      </c>
      <c r="C289" s="7" t="e">
        <f>#REF!</f>
        <v>#REF!</v>
      </c>
      <c r="D289" s="7" t="e">
        <f>#REF!</f>
        <v>#REF!</v>
      </c>
      <c r="E289" s="7" t="e">
        <f>#REF!</f>
        <v>#REF!</v>
      </c>
      <c r="F289" s="7" t="e">
        <f>#REF!</f>
        <v>#REF!</v>
      </c>
      <c r="G289" s="7" t="e">
        <f>#REF!</f>
        <v>#REF!</v>
      </c>
      <c r="H289" s="7" t="e">
        <f>#REF!</f>
        <v>#REF!</v>
      </c>
      <c r="I289" s="7" t="e">
        <f>#REF!</f>
        <v>#REF!</v>
      </c>
      <c r="J289" s="7" t="e">
        <f>IF(D289&lt;&gt;"Valid","",SUM(E289:F289))</f>
        <v>#REF!</v>
      </c>
      <c r="K289" s="7" t="e">
        <f>IF(D289&lt;&gt;"Valid","",SUM(G289:I289))</f>
        <v>#REF!</v>
      </c>
      <c r="L289" s="7" t="e">
        <f>IF($D289&lt;&gt;"Valid",0,IFERROR(AVERAGE(#REF!,#REF!),0))</f>
        <v>#REF!</v>
      </c>
      <c r="M289" s="21" t="str">
        <f>IF(ISNUMBER(L289),_xlfn.RANK.EQ(L289,$L$2:$L$500,0),"")</f>
        <v/>
      </c>
      <c r="N289" s="7" t="e">
        <f>IF(L289=0,
"Not Assessed",
IF(L289&gt;=0.85,"Very High Performance",
IF(L289&gt;=0.7,"High Performance",
IF(L289&gt;=0.55,"Moderate Performance",
IF(L289&gt;=0.4,"Low Performance",
"Very Low Performance")))))</f>
        <v>#REF!</v>
      </c>
      <c r="O289" s="7" t="e">
        <f>IF($L289=0,
"Failed minimum data validation; requires contextual review in FSF.",
"Ready for contextual review in FSF.")</f>
        <v>#REF!</v>
      </c>
    </row>
    <row r="290" spans="1:15" ht="42" hidden="1" customHeight="1">
      <c r="A290" s="7" t="e">
        <f>#REF!</f>
        <v>#REF!</v>
      </c>
      <c r="B290" s="7" t="e">
        <f>#REF!</f>
        <v>#REF!</v>
      </c>
      <c r="C290" s="7" t="e">
        <f>#REF!</f>
        <v>#REF!</v>
      </c>
      <c r="D290" s="7" t="e">
        <f>#REF!</f>
        <v>#REF!</v>
      </c>
      <c r="E290" s="7" t="e">
        <f>#REF!</f>
        <v>#REF!</v>
      </c>
      <c r="F290" s="7" t="e">
        <f>#REF!</f>
        <v>#REF!</v>
      </c>
      <c r="G290" s="7" t="e">
        <f>#REF!</f>
        <v>#REF!</v>
      </c>
      <c r="H290" s="7" t="e">
        <f>#REF!</f>
        <v>#REF!</v>
      </c>
      <c r="I290" s="7" t="e">
        <f>#REF!</f>
        <v>#REF!</v>
      </c>
      <c r="J290" s="7" t="e">
        <f>IF(D290&lt;&gt;"Valid","",SUM(E290:F290))</f>
        <v>#REF!</v>
      </c>
      <c r="K290" s="7" t="e">
        <f>IF(D290&lt;&gt;"Valid","",SUM(G290:I290))</f>
        <v>#REF!</v>
      </c>
      <c r="L290" s="7" t="e">
        <f>IF($D290&lt;&gt;"Valid",0,IFERROR(AVERAGE(#REF!,#REF!),0))</f>
        <v>#REF!</v>
      </c>
      <c r="M290" s="21" t="str">
        <f>IF(ISNUMBER(L290),_xlfn.RANK.EQ(L290,$L$2:$L$500,0),"")</f>
        <v/>
      </c>
      <c r="N290" s="7" t="e">
        <f>IF(L290=0,
"Not Assessed",
IF(L290&gt;=0.85,"Very High Performance",
IF(L290&gt;=0.7,"High Performance",
IF(L290&gt;=0.55,"Moderate Performance",
IF(L290&gt;=0.4,"Low Performance",
"Very Low Performance")))))</f>
        <v>#REF!</v>
      </c>
      <c r="O290" s="7" t="e">
        <f>IF($L290=0,
"Failed minimum data validation; requires contextual review in FSF.",
"Ready for contextual review in FSF.")</f>
        <v>#REF!</v>
      </c>
    </row>
    <row r="291" spans="1:15" ht="42" hidden="1" customHeight="1">
      <c r="A291" s="7" t="e">
        <f>#REF!</f>
        <v>#REF!</v>
      </c>
      <c r="B291" s="7" t="e">
        <f>#REF!</f>
        <v>#REF!</v>
      </c>
      <c r="C291" s="7" t="e">
        <f>#REF!</f>
        <v>#REF!</v>
      </c>
      <c r="D291" s="7" t="e">
        <f>#REF!</f>
        <v>#REF!</v>
      </c>
      <c r="E291" s="7" t="e">
        <f>#REF!</f>
        <v>#REF!</v>
      </c>
      <c r="F291" s="7" t="e">
        <f>#REF!</f>
        <v>#REF!</v>
      </c>
      <c r="G291" s="7" t="e">
        <f>#REF!</f>
        <v>#REF!</v>
      </c>
      <c r="H291" s="7" t="e">
        <f>#REF!</f>
        <v>#REF!</v>
      </c>
      <c r="I291" s="7" t="e">
        <f>#REF!</f>
        <v>#REF!</v>
      </c>
      <c r="J291" s="7" t="e">
        <f>IF(D291&lt;&gt;"Valid","",SUM(E291:F291))</f>
        <v>#REF!</v>
      </c>
      <c r="K291" s="7" t="e">
        <f>IF(D291&lt;&gt;"Valid","",SUM(G291:I291))</f>
        <v>#REF!</v>
      </c>
      <c r="L291" s="7" t="e">
        <f>IF($D291&lt;&gt;"Valid",0,IFERROR(AVERAGE(#REF!,#REF!),0))</f>
        <v>#REF!</v>
      </c>
      <c r="M291" s="21" t="str">
        <f>IF(ISNUMBER(L291),_xlfn.RANK.EQ(L291,$L$2:$L$500,0),"")</f>
        <v/>
      </c>
      <c r="N291" s="7" t="e">
        <f>IF(L291=0,
"Not Assessed",
IF(L291&gt;=0.85,"Very High Performance",
IF(L291&gt;=0.7,"High Performance",
IF(L291&gt;=0.55,"Moderate Performance",
IF(L291&gt;=0.4,"Low Performance",
"Very Low Performance")))))</f>
        <v>#REF!</v>
      </c>
      <c r="O291" s="7" t="e">
        <f>IF($L291=0,
"Failed minimum data validation; requires contextual review in FSF.",
"Ready for contextual review in FSF.")</f>
        <v>#REF!</v>
      </c>
    </row>
    <row r="292" spans="1:15" ht="42" customHeight="1">
      <c r="A292" s="7" t="str">
        <f>Derived_Indicators!A292</f>
        <v>Bwari Local Government Area</v>
      </c>
      <c r="B292" s="7" t="str">
        <f>Derived_Indicators!B292</f>
        <v>Usuma Ward</v>
      </c>
      <c r="C292" s="7" t="str">
        <f>Derived_Indicators!C292</f>
        <v>Owner Occupier Primary Health Centre</v>
      </c>
      <c r="D292" s="7" t="str">
        <f>Derived_Indicators!Q292</f>
        <v>Invalid</v>
      </c>
      <c r="E292" s="23">
        <f>Derived_Indicators!D292</f>
        <v>0.97853636363636354</v>
      </c>
      <c r="F292" s="23">
        <f>Derived_Indicators!E292</f>
        <v>0.85</v>
      </c>
      <c r="G292" s="23">
        <f>Derived_Indicators!K292</f>
        <v>6.6586538461538458</v>
      </c>
      <c r="H292" s="23">
        <f>Derived_Indicators!M292</f>
        <v>0.76635514018691586</v>
      </c>
      <c r="I292" s="23">
        <f>Derived_Indicators!N292</f>
        <v>0.31775700934579437</v>
      </c>
      <c r="J292" s="23" t="str">
        <f>IF($D292&lt;&gt;"Valid","",AVERAGE(E292:F292))</f>
        <v/>
      </c>
      <c r="K292" s="23" t="str">
        <f>IF($D292&lt;&gt;"Valid","",AVERAGE(G292:I292))</f>
        <v/>
      </c>
      <c r="L292" s="23" t="str">
        <f>IF($D292&lt;&gt;"Valid","",AVERAGE(J292,K292))</f>
        <v/>
      </c>
      <c r="M292" s="21" t="str">
        <f>IF(AND($D292="Valid",ISNUMBER(L292)),RANK(L292,$L$2:$L$500,0),"")</f>
        <v/>
      </c>
      <c r="N292" s="7" t="str">
        <f>IF(L292="",
"Not Assessed",
IF(L292&gt;=0.85,"Excellent",
IF(L292&gt;=0.7,"Good",
IF(L292&gt;=0.55,"Moderate",
IF(L292&gt;=0.4,"Low",
"Very Low")))))</f>
        <v>Not Assessed</v>
      </c>
      <c r="O292" s="7" t="str">
        <f>IF($D292&lt;&gt;"Valid",
"Failed data validation; excluded from HFSI and requires contextual review in the Health Facility Selection Framework (HFSF).",
"Eligible for contextual assessment using the Health Facility Selection Framework (HFSF).")</f>
        <v>Failed data validation; excluded from HFSI and requires contextual review in the Health Facility Selection Framework (HFSF).</v>
      </c>
    </row>
    <row r="293" spans="1:15" hidden="1">
      <c r="A293" s="7" t="e">
        <f>#REF!</f>
        <v>#REF!</v>
      </c>
      <c r="B293" s="7" t="e">
        <f>#REF!</f>
        <v>#REF!</v>
      </c>
      <c r="C293" s="7" t="e">
        <f>#REF!</f>
        <v>#REF!</v>
      </c>
      <c r="D293" s="7" t="e">
        <f>#REF!</f>
        <v>#REF!</v>
      </c>
      <c r="E293" s="7" t="e">
        <f>#REF!</f>
        <v>#REF!</v>
      </c>
      <c r="F293" s="7" t="e">
        <f>#REF!</f>
        <v>#REF!</v>
      </c>
      <c r="G293" s="7" t="e">
        <f>#REF!</f>
        <v>#REF!</v>
      </c>
      <c r="H293" s="7" t="e">
        <f>#REF!</f>
        <v>#REF!</v>
      </c>
      <c r="I293" s="7" t="e">
        <f>#REF!</f>
        <v>#REF!</v>
      </c>
      <c r="J293" s="7" t="e">
        <f>IF(D293&lt;&gt;"Valid","",SUM(E293:F293))</f>
        <v>#REF!</v>
      </c>
      <c r="K293" s="7" t="e">
        <f>IF(D293&lt;&gt;"Valid","",SUM(G293:I293))</f>
        <v>#REF!</v>
      </c>
      <c r="L293" s="7" t="e">
        <f>IF(D293&lt;&gt;"Valid","",#REF!*0.4+#REF!*0.6)</f>
        <v>#REF!</v>
      </c>
      <c r="M293" s="7"/>
      <c r="N293" s="7" t="e">
        <f>IF(D293&lt;&gt;"Valid","Not Assessed (Insufficient Valid Data)",LOOKUP(L293,tblPerformanceCategory[Min],tblPerformanceCategory[Performance Category]))</f>
        <v>#REF!</v>
      </c>
      <c r="O293" s="7" t="e">
        <f>IF(D293="Valid","Yes","No")</f>
        <v>#REF!</v>
      </c>
    </row>
    <row r="294" spans="1:15" ht="42" hidden="1" customHeight="1">
      <c r="A294" s="7" t="e">
        <f>#REF!</f>
        <v>#REF!</v>
      </c>
      <c r="B294" s="7" t="e">
        <f>#REF!</f>
        <v>#REF!</v>
      </c>
      <c r="C294" s="7" t="e">
        <f>#REF!</f>
        <v>#REF!</v>
      </c>
      <c r="D294" s="7" t="e">
        <f>#REF!</f>
        <v>#REF!</v>
      </c>
      <c r="E294" s="7" t="e">
        <f>#REF!</f>
        <v>#REF!</v>
      </c>
      <c r="F294" s="7" t="e">
        <f>#REF!</f>
        <v>#REF!</v>
      </c>
      <c r="G294" s="7" t="e">
        <f>#REF!</f>
        <v>#REF!</v>
      </c>
      <c r="H294" s="7" t="e">
        <f>#REF!</f>
        <v>#REF!</v>
      </c>
      <c r="I294" s="7" t="e">
        <f>#REF!</f>
        <v>#REF!</v>
      </c>
      <c r="J294" s="7" t="e">
        <f>IF(D294&lt;&gt;"Valid","",SUM(E294:F294))</f>
        <v>#REF!</v>
      </c>
      <c r="K294" s="7" t="e">
        <f>IF(D294&lt;&gt;"Valid","",SUM(G294:I294))</f>
        <v>#REF!</v>
      </c>
      <c r="L294" s="7" t="e">
        <f>IF($D294&lt;&gt;"Valid",0,IFERROR(AVERAGE(#REF!,#REF!),0))</f>
        <v>#REF!</v>
      </c>
      <c r="M294" s="21" t="str">
        <f>IF(ISNUMBER(L294),_xlfn.RANK.EQ(L294,$L$2:$L$500,0),"")</f>
        <v/>
      </c>
      <c r="N294" s="7" t="e">
        <f>IF(L294=0,
"Not Assessed",
IF(L294&gt;=0.85,"Very High Performance",
IF(L294&gt;=0.7,"High Performance",
IF(L294&gt;=0.55,"Moderate Performance",
IF(L294&gt;=0.4,"Low Performance",
"Very Low Performance")))))</f>
        <v>#REF!</v>
      </c>
      <c r="O294" s="7" t="e">
        <f>IF($L294=0,
"Failed minimum data validation; requires contextual review in FSF.",
"Ready for contextual review in FSF.")</f>
        <v>#REF!</v>
      </c>
    </row>
    <row r="295" spans="1:15" hidden="1">
      <c r="A295" s="7" t="e">
        <f>#REF!</f>
        <v>#REF!</v>
      </c>
      <c r="B295" s="7" t="e">
        <f>#REF!</f>
        <v>#REF!</v>
      </c>
      <c r="C295" s="7" t="e">
        <f>#REF!</f>
        <v>#REF!</v>
      </c>
      <c r="D295" s="7" t="e">
        <f>#REF!</f>
        <v>#REF!</v>
      </c>
      <c r="E295" s="7" t="e">
        <f>#REF!</f>
        <v>#REF!</v>
      </c>
      <c r="F295" s="7" t="e">
        <f>#REF!</f>
        <v>#REF!</v>
      </c>
      <c r="G295" s="7" t="e">
        <f>#REF!</f>
        <v>#REF!</v>
      </c>
      <c r="H295" s="7" t="e">
        <f>#REF!</f>
        <v>#REF!</v>
      </c>
      <c r="I295" s="7" t="e">
        <f>#REF!</f>
        <v>#REF!</v>
      </c>
      <c r="J295" s="7" t="e">
        <f>IF(D295&lt;&gt;"Valid","",SUM(E295:F295))</f>
        <v>#REF!</v>
      </c>
      <c r="K295" s="7" t="e">
        <f>IF(D295&lt;&gt;"Valid","",SUM(G295:I295))</f>
        <v>#REF!</v>
      </c>
      <c r="L295" s="7" t="e">
        <f>IF(D295&lt;&gt;"Valid","",#REF!*0.4+#REF!*0.6)</f>
        <v>#REF!</v>
      </c>
      <c r="M295" s="7"/>
      <c r="N295" s="7" t="e">
        <f>IF(D295&lt;&gt;"Valid","Not Assessed (Insufficient Valid Data)",LOOKUP(L295,tblPerformanceCategory[Min],tblPerformanceCategory[Performance Category]))</f>
        <v>#REF!</v>
      </c>
      <c r="O295" s="7" t="e">
        <f>IF(D295="Valid","Yes","No")</f>
        <v>#REF!</v>
      </c>
    </row>
    <row r="296" spans="1:15" hidden="1">
      <c r="A296" s="7" t="e">
        <f>#REF!</f>
        <v>#REF!</v>
      </c>
      <c r="B296" s="7" t="e">
        <f>#REF!</f>
        <v>#REF!</v>
      </c>
      <c r="C296" s="7" t="e">
        <f>#REF!</f>
        <v>#REF!</v>
      </c>
      <c r="D296" s="7" t="e">
        <f>#REF!</f>
        <v>#REF!</v>
      </c>
      <c r="E296" s="7" t="e">
        <f>#REF!</f>
        <v>#REF!</v>
      </c>
      <c r="F296" s="7" t="e">
        <f>#REF!</f>
        <v>#REF!</v>
      </c>
      <c r="G296" s="7" t="e">
        <f>#REF!</f>
        <v>#REF!</v>
      </c>
      <c r="H296" s="7" t="e">
        <f>#REF!</f>
        <v>#REF!</v>
      </c>
      <c r="I296" s="7" t="e">
        <f>#REF!</f>
        <v>#REF!</v>
      </c>
      <c r="J296" s="7" t="e">
        <f>IF(D296&lt;&gt;"Valid","",SUM(E296:F296))</f>
        <v>#REF!</v>
      </c>
      <c r="K296" s="7" t="e">
        <f>IF(D296&lt;&gt;"Valid","",SUM(G296:I296))</f>
        <v>#REF!</v>
      </c>
      <c r="L296" s="7" t="e">
        <f>IF(D296&lt;&gt;"Valid","",#REF!*0.4+#REF!*0.6)</f>
        <v>#REF!</v>
      </c>
      <c r="M296" s="7"/>
      <c r="N296" s="7" t="e">
        <f>IF(D296&lt;&gt;"Valid","Not Assessed (Insufficient Valid Data)",LOOKUP(L296,tblPerformanceCategory[Min],tblPerformanceCategory[Performance Category]))</f>
        <v>#REF!</v>
      </c>
      <c r="O296" s="7" t="e">
        <f>IF(D296="Valid","Yes","No")</f>
        <v>#REF!</v>
      </c>
    </row>
    <row r="297" spans="1:15" hidden="1">
      <c r="A297" s="7" t="e">
        <f>#REF!</f>
        <v>#REF!</v>
      </c>
      <c r="B297" s="7" t="e">
        <f>#REF!</f>
        <v>#REF!</v>
      </c>
      <c r="C297" s="7" t="e">
        <f>#REF!</f>
        <v>#REF!</v>
      </c>
      <c r="D297" s="7" t="e">
        <f>#REF!</f>
        <v>#REF!</v>
      </c>
      <c r="E297" s="7" t="e">
        <f>#REF!</f>
        <v>#REF!</v>
      </c>
      <c r="F297" s="7" t="e">
        <f>#REF!</f>
        <v>#REF!</v>
      </c>
      <c r="G297" s="7" t="e">
        <f>#REF!</f>
        <v>#REF!</v>
      </c>
      <c r="H297" s="7" t="e">
        <f>#REF!</f>
        <v>#REF!</v>
      </c>
      <c r="I297" s="7" t="e">
        <f>#REF!</f>
        <v>#REF!</v>
      </c>
      <c r="J297" s="7" t="e">
        <f>IF(D297&lt;&gt;"Valid","",SUM(E297:F297))</f>
        <v>#REF!</v>
      </c>
      <c r="K297" s="7" t="e">
        <f>IF(D297&lt;&gt;"Valid","",SUM(G297:I297))</f>
        <v>#REF!</v>
      </c>
      <c r="L297" s="7" t="e">
        <f>IF(D297&lt;&gt;"Valid","",#REF!*0.4+#REF!*0.6)</f>
        <v>#REF!</v>
      </c>
      <c r="M297" s="7"/>
      <c r="N297" s="7" t="e">
        <f>IF(D297&lt;&gt;"Valid","Not Assessed (Insufficient Valid Data)",LOOKUP(L297,tblPerformanceCategory[Min],tblPerformanceCategory[Performance Category]))</f>
        <v>#REF!</v>
      </c>
      <c r="O297" s="7" t="e">
        <f>IF(D297="Valid","Yes","No")</f>
        <v>#REF!</v>
      </c>
    </row>
    <row r="298" spans="1:15" ht="42" customHeight="1">
      <c r="A298" s="7" t="str">
        <f>Derived_Indicators!A298</f>
        <v>Abuja Municipal Area Council</v>
      </c>
      <c r="B298" s="7" t="str">
        <f>Derived_Indicators!B298</f>
        <v>Nyanya Ward</v>
      </c>
      <c r="C298" s="7" t="str">
        <f>Derived_Indicators!C298</f>
        <v>Pan Raf Hospital</v>
      </c>
      <c r="D298" s="7" t="str">
        <f>Derived_Indicators!Q298</f>
        <v>Valid</v>
      </c>
      <c r="E298" s="23">
        <f>Derived_Indicators!D298</f>
        <v>1</v>
      </c>
      <c r="F298" s="23">
        <f>Derived_Indicators!E298</f>
        <v>1</v>
      </c>
      <c r="G298" s="23">
        <f>Derived_Indicators!K298</f>
        <v>0.96234309623430958</v>
      </c>
      <c r="H298" s="23">
        <f>Derived_Indicators!M298</f>
        <v>0.90909090909090906</v>
      </c>
      <c r="I298" s="23">
        <f>Derived_Indicators!N298</f>
        <v>0.40909090909090912</v>
      </c>
      <c r="J298" s="23">
        <f>IF($D298&lt;&gt;"Valid","",AVERAGE(E298:F298))</f>
        <v>1</v>
      </c>
      <c r="K298" s="23">
        <f>IF($D298&lt;&gt;"Valid","",AVERAGE(G298:I298))</f>
        <v>0.7601749714720426</v>
      </c>
      <c r="L298" s="23">
        <f>IF($D298&lt;&gt;"Valid","",AVERAGE(J298,K298))</f>
        <v>0.88008748573602125</v>
      </c>
      <c r="M298" s="21" t="e">
        <f>IF(AND($D298="Valid",ISNUMBER(L298)),RANK(L298,$L$2:$L$500,0),"")</f>
        <v>#REF!</v>
      </c>
      <c r="N298" s="7" t="str">
        <f>IF(L298="",
"Not Assessed",
IF(L298&gt;=0.85,"Excellent",
IF(L298&gt;=0.7,"Good",
IF(L298&gt;=0.55,"Moderate",
IF(L298&gt;=0.4,"Low",
"Very Low")))))</f>
        <v>Excellent</v>
      </c>
      <c r="O298" s="7" t="str">
        <f>IF($D298&lt;&gt;"Valid",
"Failed data validation; excluded from HFSI and requires contextual review in the Health Facility Selection Framework (HFSF).",
"Eligible for contextual assessment using the Health Facility Selection Framework (HFSF).")</f>
        <v>Eligible for contextual assessment using the Health Facility Selection Framework (HFSF).</v>
      </c>
    </row>
    <row r="299" spans="1:15" hidden="1">
      <c r="A299" s="7" t="e">
        <f>#REF!</f>
        <v>#REF!</v>
      </c>
      <c r="B299" s="7" t="e">
        <f>#REF!</f>
        <v>#REF!</v>
      </c>
      <c r="C299" s="7" t="e">
        <f>#REF!</f>
        <v>#REF!</v>
      </c>
      <c r="D299" s="7" t="e">
        <f>#REF!</f>
        <v>#REF!</v>
      </c>
      <c r="E299" s="7" t="e">
        <f>#REF!</f>
        <v>#REF!</v>
      </c>
      <c r="F299" s="7" t="e">
        <f>#REF!</f>
        <v>#REF!</v>
      </c>
      <c r="G299" s="7" t="e">
        <f>#REF!</f>
        <v>#REF!</v>
      </c>
      <c r="H299" s="7" t="e">
        <f>#REF!</f>
        <v>#REF!</v>
      </c>
      <c r="I299" s="7" t="e">
        <f>#REF!</f>
        <v>#REF!</v>
      </c>
      <c r="J299" s="7" t="e">
        <f t="shared" ref="J299:J306" si="83">IF(D299&lt;&gt;"Valid","",SUM(E299:F299))</f>
        <v>#REF!</v>
      </c>
      <c r="K299" s="7" t="e">
        <f t="shared" ref="K299:K306" si="84">IF(D299&lt;&gt;"Valid","",SUM(G299:I299))</f>
        <v>#REF!</v>
      </c>
      <c r="L299" s="7" t="e">
        <f>IF(D299&lt;&gt;"Valid","",#REF!*0.4+#REF!*0.6)</f>
        <v>#REF!</v>
      </c>
      <c r="M299" s="7"/>
      <c r="N299" s="7" t="e">
        <f>IF(D299&lt;&gt;"Valid","Not Assessed (Insufficient Valid Data)",LOOKUP(L299,tblPerformanceCategory[Min],tblPerformanceCategory[Performance Category]))</f>
        <v>#REF!</v>
      </c>
      <c r="O299" s="7" t="e">
        <f>IF(D299="Valid","Yes","No")</f>
        <v>#REF!</v>
      </c>
    </row>
    <row r="300" spans="1:15" hidden="1">
      <c r="A300" s="7" t="e">
        <f>#REF!</f>
        <v>#REF!</v>
      </c>
      <c r="B300" s="7" t="e">
        <f>#REF!</f>
        <v>#REF!</v>
      </c>
      <c r="C300" s="7" t="e">
        <f>#REF!</f>
        <v>#REF!</v>
      </c>
      <c r="D300" s="7" t="e">
        <f>#REF!</f>
        <v>#REF!</v>
      </c>
      <c r="E300" s="7" t="e">
        <f>#REF!</f>
        <v>#REF!</v>
      </c>
      <c r="F300" s="7" t="e">
        <f>#REF!</f>
        <v>#REF!</v>
      </c>
      <c r="G300" s="7" t="e">
        <f>#REF!</f>
        <v>#REF!</v>
      </c>
      <c r="H300" s="7" t="e">
        <f>#REF!</f>
        <v>#REF!</v>
      </c>
      <c r="I300" s="7" t="e">
        <f>#REF!</f>
        <v>#REF!</v>
      </c>
      <c r="J300" s="7" t="e">
        <f t="shared" si="83"/>
        <v>#REF!</v>
      </c>
      <c r="K300" s="7" t="e">
        <f t="shared" si="84"/>
        <v>#REF!</v>
      </c>
      <c r="L300" s="7" t="e">
        <f>IF(D300&lt;&gt;"Valid","",#REF!*0.4+#REF!*0.6)</f>
        <v>#REF!</v>
      </c>
      <c r="M300" s="7"/>
      <c r="N300" s="7" t="e">
        <f>IF(D300&lt;&gt;"Valid","Not Assessed (Insufficient Valid Data)",LOOKUP(L300,tblPerformanceCategory[Min],tblPerformanceCategory[Performance Category]))</f>
        <v>#REF!</v>
      </c>
      <c r="O300" s="7" t="e">
        <f>IF(D300="Valid","Yes","No")</f>
        <v>#REF!</v>
      </c>
    </row>
    <row r="301" spans="1:15" ht="42" hidden="1" customHeight="1">
      <c r="A301" s="7" t="e">
        <f>#REF!</f>
        <v>#REF!</v>
      </c>
      <c r="B301" s="7" t="e">
        <f>#REF!</f>
        <v>#REF!</v>
      </c>
      <c r="C301" s="7" t="e">
        <f>#REF!</f>
        <v>#REF!</v>
      </c>
      <c r="D301" s="7" t="e">
        <f>#REF!</f>
        <v>#REF!</v>
      </c>
      <c r="E301" s="7" t="e">
        <f>#REF!</f>
        <v>#REF!</v>
      </c>
      <c r="F301" s="7" t="e">
        <f>#REF!</f>
        <v>#REF!</v>
      </c>
      <c r="G301" s="7" t="e">
        <f>#REF!</f>
        <v>#REF!</v>
      </c>
      <c r="H301" s="7" t="e">
        <f>#REF!</f>
        <v>#REF!</v>
      </c>
      <c r="I301" s="7" t="e">
        <f>#REF!</f>
        <v>#REF!</v>
      </c>
      <c r="J301" s="7" t="e">
        <f t="shared" si="83"/>
        <v>#REF!</v>
      </c>
      <c r="K301" s="7" t="e">
        <f t="shared" si="84"/>
        <v>#REF!</v>
      </c>
      <c r="L301" s="7" t="e">
        <f>IF($D301&lt;&gt;"Valid",0,IFERROR(AVERAGE(#REF!,#REF!),0))</f>
        <v>#REF!</v>
      </c>
      <c r="M301" s="21" t="str">
        <f>IF(ISNUMBER(L301),_xlfn.RANK.EQ(L301,$L$2:$L$500,0),"")</f>
        <v/>
      </c>
      <c r="N301" s="7" t="e">
        <f>IF(L301=0,
"Not Assessed",
IF(L301&gt;=0.85,"Very High Performance",
IF(L301&gt;=0.7,"High Performance",
IF(L301&gt;=0.55,"Moderate Performance",
IF(L301&gt;=0.4,"Low Performance",
"Very Low Performance")))))</f>
        <v>#REF!</v>
      </c>
      <c r="O301" s="7" t="e">
        <f>IF($L301=0,
"Failed minimum data validation; requires contextual review in FSF.",
"Ready for contextual review in FSF.")</f>
        <v>#REF!</v>
      </c>
    </row>
    <row r="302" spans="1:15" hidden="1">
      <c r="A302" s="7" t="e">
        <f>#REF!</f>
        <v>#REF!</v>
      </c>
      <c r="B302" s="7" t="e">
        <f>#REF!</f>
        <v>#REF!</v>
      </c>
      <c r="C302" s="7" t="e">
        <f>#REF!</f>
        <v>#REF!</v>
      </c>
      <c r="D302" s="7" t="e">
        <f>#REF!</f>
        <v>#REF!</v>
      </c>
      <c r="E302" s="7" t="e">
        <f>#REF!</f>
        <v>#REF!</v>
      </c>
      <c r="F302" s="7" t="e">
        <f>#REF!</f>
        <v>#REF!</v>
      </c>
      <c r="G302" s="7" t="e">
        <f>#REF!</f>
        <v>#REF!</v>
      </c>
      <c r="H302" s="7" t="e">
        <f>#REF!</f>
        <v>#REF!</v>
      </c>
      <c r="I302" s="7" t="e">
        <f>#REF!</f>
        <v>#REF!</v>
      </c>
      <c r="J302" s="7" t="e">
        <f t="shared" si="83"/>
        <v>#REF!</v>
      </c>
      <c r="K302" s="7" t="e">
        <f t="shared" si="84"/>
        <v>#REF!</v>
      </c>
      <c r="L302" s="7" t="e">
        <f>IF(D302&lt;&gt;"Valid","",#REF!*0.4+#REF!*0.6)</f>
        <v>#REF!</v>
      </c>
      <c r="M302" s="7"/>
      <c r="N302" s="7" t="e">
        <f>IF(D302&lt;&gt;"Valid","Not Assessed (Insufficient Valid Data)",LOOKUP(L302,tblPerformanceCategory[Min],tblPerformanceCategory[Performance Category]))</f>
        <v>#REF!</v>
      </c>
      <c r="O302" s="7" t="e">
        <f>IF(D302="Valid","Yes","No")</f>
        <v>#REF!</v>
      </c>
    </row>
    <row r="303" spans="1:15" ht="42" hidden="1" customHeight="1">
      <c r="A303" s="7" t="e">
        <f>#REF!</f>
        <v>#REF!</v>
      </c>
      <c r="B303" s="7" t="e">
        <f>#REF!</f>
        <v>#REF!</v>
      </c>
      <c r="C303" s="7" t="e">
        <f>#REF!</f>
        <v>#REF!</v>
      </c>
      <c r="D303" s="7" t="e">
        <f>#REF!</f>
        <v>#REF!</v>
      </c>
      <c r="E303" s="7" t="e">
        <f>#REF!</f>
        <v>#REF!</v>
      </c>
      <c r="F303" s="7" t="e">
        <f>#REF!</f>
        <v>#REF!</v>
      </c>
      <c r="G303" s="7" t="e">
        <f>#REF!</f>
        <v>#REF!</v>
      </c>
      <c r="H303" s="7" t="e">
        <f>#REF!</f>
        <v>#REF!</v>
      </c>
      <c r="I303" s="7" t="e">
        <f>#REF!</f>
        <v>#REF!</v>
      </c>
      <c r="J303" s="7" t="e">
        <f t="shared" si="83"/>
        <v>#REF!</v>
      </c>
      <c r="K303" s="7" t="e">
        <f t="shared" si="84"/>
        <v>#REF!</v>
      </c>
      <c r="L303" s="7" t="e">
        <f>IF($D303&lt;&gt;"Valid",0,IFERROR(AVERAGE(#REF!,#REF!),0))</f>
        <v>#REF!</v>
      </c>
      <c r="M303" s="21" t="str">
        <f>IF(ISNUMBER(L303),_xlfn.RANK.EQ(L303,$L$2:$L$500,0),"")</f>
        <v/>
      </c>
      <c r="N303" s="7" t="e">
        <f>IF(L303=0,
"Not Assessed",
IF(L303&gt;=0.85,"Very High Performance",
IF(L303&gt;=0.7,"High Performance",
IF(L303&gt;=0.55,"Moderate Performance",
IF(L303&gt;=0.4,"Low Performance",
"Very Low Performance")))))</f>
        <v>#REF!</v>
      </c>
      <c r="O303" s="7" t="e">
        <f>IF($L303=0,
"Failed minimum data validation; requires contextual review in FSF.",
"Ready for contextual review in FSF.")</f>
        <v>#REF!</v>
      </c>
    </row>
    <row r="304" spans="1:15" hidden="1">
      <c r="A304" s="7" t="e">
        <f>#REF!</f>
        <v>#REF!</v>
      </c>
      <c r="B304" s="7" t="e">
        <f>#REF!</f>
        <v>#REF!</v>
      </c>
      <c r="C304" s="7" t="e">
        <f>#REF!</f>
        <v>#REF!</v>
      </c>
      <c r="D304" s="7" t="e">
        <f>#REF!</f>
        <v>#REF!</v>
      </c>
      <c r="E304" s="7" t="e">
        <f>#REF!</f>
        <v>#REF!</v>
      </c>
      <c r="F304" s="7" t="e">
        <f>#REF!</f>
        <v>#REF!</v>
      </c>
      <c r="G304" s="7" t="e">
        <f>#REF!</f>
        <v>#REF!</v>
      </c>
      <c r="H304" s="7" t="e">
        <f>#REF!</f>
        <v>#REF!</v>
      </c>
      <c r="I304" s="7" t="e">
        <f>#REF!</f>
        <v>#REF!</v>
      </c>
      <c r="J304" s="7" t="e">
        <f t="shared" si="83"/>
        <v>#REF!</v>
      </c>
      <c r="K304" s="7" t="e">
        <f t="shared" si="84"/>
        <v>#REF!</v>
      </c>
      <c r="L304" s="7" t="e">
        <f>IF(D304&lt;&gt;"Valid","",#REF!*0.4+#REF!*0.6)</f>
        <v>#REF!</v>
      </c>
      <c r="M304" s="7"/>
      <c r="N304" s="7" t="e">
        <f>IF(D304&lt;&gt;"Valid","Not Assessed (Insufficient Valid Data)",LOOKUP(L304,tblPerformanceCategory[Min],tblPerformanceCategory[Performance Category]))</f>
        <v>#REF!</v>
      </c>
      <c r="O304" s="7" t="e">
        <f>IF(D304="Valid","Yes","No")</f>
        <v>#REF!</v>
      </c>
    </row>
    <row r="305" spans="1:15" hidden="1">
      <c r="A305" s="7" t="e">
        <f>#REF!</f>
        <v>#REF!</v>
      </c>
      <c r="B305" s="7" t="e">
        <f>#REF!</f>
        <v>#REF!</v>
      </c>
      <c r="C305" s="7" t="e">
        <f>#REF!</f>
        <v>#REF!</v>
      </c>
      <c r="D305" s="7" t="e">
        <f>#REF!</f>
        <v>#REF!</v>
      </c>
      <c r="E305" s="7" t="e">
        <f>#REF!</f>
        <v>#REF!</v>
      </c>
      <c r="F305" s="7" t="e">
        <f>#REF!</f>
        <v>#REF!</v>
      </c>
      <c r="G305" s="7" t="e">
        <f>#REF!</f>
        <v>#REF!</v>
      </c>
      <c r="H305" s="7" t="e">
        <f>#REF!</f>
        <v>#REF!</v>
      </c>
      <c r="I305" s="7" t="e">
        <f>#REF!</f>
        <v>#REF!</v>
      </c>
      <c r="J305" s="7" t="e">
        <f t="shared" si="83"/>
        <v>#REF!</v>
      </c>
      <c r="K305" s="7" t="e">
        <f t="shared" si="84"/>
        <v>#REF!</v>
      </c>
      <c r="L305" s="7" t="e">
        <f>IF(D305&lt;&gt;"Valid","",#REF!*0.4+#REF!*0.6)</f>
        <v>#REF!</v>
      </c>
      <c r="M305" s="7"/>
      <c r="N305" s="7" t="e">
        <f>IF(D305&lt;&gt;"Valid","Not Assessed (Insufficient Valid Data)",LOOKUP(L305,tblPerformanceCategory[Min],tblPerformanceCategory[Performance Category]))</f>
        <v>#REF!</v>
      </c>
      <c r="O305" s="7" t="e">
        <f>IF(D305="Valid","Yes","No")</f>
        <v>#REF!</v>
      </c>
    </row>
    <row r="306" spans="1:15" ht="42" hidden="1" customHeight="1">
      <c r="A306" s="7" t="e">
        <f>#REF!</f>
        <v>#REF!</v>
      </c>
      <c r="B306" s="7" t="e">
        <f>#REF!</f>
        <v>#REF!</v>
      </c>
      <c r="C306" s="7" t="e">
        <f>#REF!</f>
        <v>#REF!</v>
      </c>
      <c r="D306" s="7" t="e">
        <f>#REF!</f>
        <v>#REF!</v>
      </c>
      <c r="E306" s="7" t="e">
        <f>#REF!</f>
        <v>#REF!</v>
      </c>
      <c r="F306" s="7" t="e">
        <f>#REF!</f>
        <v>#REF!</v>
      </c>
      <c r="G306" s="7" t="e">
        <f>#REF!</f>
        <v>#REF!</v>
      </c>
      <c r="H306" s="7" t="e">
        <f>#REF!</f>
        <v>#REF!</v>
      </c>
      <c r="I306" s="7" t="e">
        <f>#REF!</f>
        <v>#REF!</v>
      </c>
      <c r="J306" s="7" t="e">
        <f t="shared" si="83"/>
        <v>#REF!</v>
      </c>
      <c r="K306" s="7" t="e">
        <f t="shared" si="84"/>
        <v>#REF!</v>
      </c>
      <c r="L306" s="7" t="e">
        <f>IF($D306&lt;&gt;"Valid",0,IFERROR(AVERAGE(#REF!,#REF!),0))</f>
        <v>#REF!</v>
      </c>
      <c r="M306" s="21" t="str">
        <f>IF(ISNUMBER(L306),_xlfn.RANK.EQ(L306,$L$2:$L$500,0),"")</f>
        <v/>
      </c>
      <c r="N306" s="7" t="e">
        <f>IF(L306=0,
"Not Assessed",
IF(L306&gt;=0.85,"Very High Performance",
IF(L306&gt;=0.7,"High Performance",
IF(L306&gt;=0.55,"Moderate Performance",
IF(L306&gt;=0.4,"Low Performance",
"Very Low Performance")))))</f>
        <v>#REF!</v>
      </c>
      <c r="O306" s="7" t="e">
        <f>IF($L306=0,
"Failed minimum data validation; requires contextual review in FSF.",
"Ready for contextual review in FSF.")</f>
        <v>#REF!</v>
      </c>
    </row>
    <row r="307" spans="1:15" ht="42" customHeight="1">
      <c r="A307" s="7" t="str">
        <f>Derived_Indicators!A307</f>
        <v>Bwari Local Government Area</v>
      </c>
      <c r="B307" s="7" t="str">
        <f>Derived_Indicators!B307</f>
        <v>Shere Ward</v>
      </c>
      <c r="C307" s="7" t="str">
        <f>Derived_Indicators!C307</f>
        <v>Piko Primary Health Clinic</v>
      </c>
      <c r="D307" s="7" t="str">
        <f>Derived_Indicators!Q307</f>
        <v>Invalid</v>
      </c>
      <c r="E307" s="23">
        <f>Derived_Indicators!D307</f>
        <v>1</v>
      </c>
      <c r="F307" s="23">
        <f>Derived_Indicators!E307</f>
        <v>1</v>
      </c>
      <c r="G307" s="23">
        <f>Derived_Indicators!K307</f>
        <v>0.66666666666666663</v>
      </c>
      <c r="H307" s="23">
        <f>Derived_Indicators!M307</f>
        <v>0.30232558139534882</v>
      </c>
      <c r="I307" s="23">
        <f>Derived_Indicators!N307</f>
        <v>0.34883720930232559</v>
      </c>
      <c r="J307" s="23" t="str">
        <f>IF($D307&lt;&gt;"Valid","",AVERAGE(E307:F307))</f>
        <v/>
      </c>
      <c r="K307" s="23" t="str">
        <f>IF($D307&lt;&gt;"Valid","",AVERAGE(G307:I307))</f>
        <v/>
      </c>
      <c r="L307" s="23" t="str">
        <f>IF($D307&lt;&gt;"Valid","",AVERAGE(J307,K307))</f>
        <v/>
      </c>
      <c r="M307" s="21" t="str">
        <f>IF(AND($D307="Valid",ISNUMBER(L307)),RANK(L307,$L$2:$L$500,0),"")</f>
        <v/>
      </c>
      <c r="N307" s="7" t="str">
        <f>IF(L307="",
"Not Assessed",
IF(L307&gt;=0.85,"Excellent",
IF(L307&gt;=0.7,"Good",
IF(L307&gt;=0.55,"Moderate",
IF(L307&gt;=0.4,"Low",
"Very Low")))))</f>
        <v>Not Assessed</v>
      </c>
      <c r="O307" s="7" t="str">
        <f>IF($D307&lt;&gt;"Valid",
"Failed data validation; excluded from HFSI and requires contextual review in the Health Facility Selection Framework (HFSF).",
"Eligible for contextual assessment using the Health Facility Selection Framework (HFSF).")</f>
        <v>Failed data validation; excluded from HFSI and requires contextual review in the Health Facility Selection Framework (HFSF).</v>
      </c>
    </row>
    <row r="308" spans="1:15" hidden="1">
      <c r="A308" s="7" t="e">
        <f>#REF!</f>
        <v>#REF!</v>
      </c>
      <c r="B308" s="7" t="e">
        <f>#REF!</f>
        <v>#REF!</v>
      </c>
      <c r="C308" s="7" t="e">
        <f>#REF!</f>
        <v>#REF!</v>
      </c>
      <c r="D308" s="7" t="e">
        <f>#REF!</f>
        <v>#REF!</v>
      </c>
      <c r="E308" s="7" t="e">
        <f>#REF!</f>
        <v>#REF!</v>
      </c>
      <c r="F308" s="7" t="e">
        <f>#REF!</f>
        <v>#REF!</v>
      </c>
      <c r="G308" s="7" t="e">
        <f>#REF!</f>
        <v>#REF!</v>
      </c>
      <c r="H308" s="7" t="e">
        <f>#REF!</f>
        <v>#REF!</v>
      </c>
      <c r="I308" s="7" t="e">
        <f>#REF!</f>
        <v>#REF!</v>
      </c>
      <c r="J308" s="7" t="e">
        <f>IF(D308&lt;&gt;"Valid","",SUM(E308:F308))</f>
        <v>#REF!</v>
      </c>
      <c r="K308" s="7" t="e">
        <f>IF(D308&lt;&gt;"Valid","",SUM(G308:I308))</f>
        <v>#REF!</v>
      </c>
      <c r="L308" s="7" t="e">
        <f>IF(D308&lt;&gt;"Valid","",#REF!*0.4+#REF!*0.6)</f>
        <v>#REF!</v>
      </c>
      <c r="M308" s="7"/>
      <c r="N308" s="7" t="e">
        <f>IF(D308&lt;&gt;"Valid","Not Assessed (Insufficient Valid Data)",LOOKUP(L308,tblPerformanceCategory[Min],tblPerformanceCategory[Performance Category]))</f>
        <v>#REF!</v>
      </c>
      <c r="O308" s="7" t="e">
        <f>IF(D308="Valid","Yes","No")</f>
        <v>#REF!</v>
      </c>
    </row>
    <row r="309" spans="1:15" hidden="1">
      <c r="A309" s="7" t="e">
        <f>#REF!</f>
        <v>#REF!</v>
      </c>
      <c r="B309" s="7" t="e">
        <f>#REF!</f>
        <v>#REF!</v>
      </c>
      <c r="C309" s="7" t="e">
        <f>#REF!</f>
        <v>#REF!</v>
      </c>
      <c r="D309" s="7" t="e">
        <f>#REF!</f>
        <v>#REF!</v>
      </c>
      <c r="E309" s="7" t="e">
        <f>#REF!</f>
        <v>#REF!</v>
      </c>
      <c r="F309" s="7" t="e">
        <f>#REF!</f>
        <v>#REF!</v>
      </c>
      <c r="G309" s="7" t="e">
        <f>#REF!</f>
        <v>#REF!</v>
      </c>
      <c r="H309" s="7" t="e">
        <f>#REF!</f>
        <v>#REF!</v>
      </c>
      <c r="I309" s="7" t="e">
        <f>#REF!</f>
        <v>#REF!</v>
      </c>
      <c r="J309" s="7" t="e">
        <f>IF(D309&lt;&gt;"Valid","",SUM(E309:F309))</f>
        <v>#REF!</v>
      </c>
      <c r="K309" s="7" t="e">
        <f>IF(D309&lt;&gt;"Valid","",SUM(G309:I309))</f>
        <v>#REF!</v>
      </c>
      <c r="L309" s="7" t="e">
        <f>IF(D309&lt;&gt;"Valid","",#REF!*0.4+#REF!*0.6)</f>
        <v>#REF!</v>
      </c>
      <c r="M309" s="7"/>
      <c r="N309" s="7" t="e">
        <f>IF(D309&lt;&gt;"Valid","Not Assessed (Insufficient Valid Data)",LOOKUP(L309,tblPerformanceCategory[Min],tblPerformanceCategory[Performance Category]))</f>
        <v>#REF!</v>
      </c>
      <c r="O309" s="7" t="e">
        <f>IF(D309="Valid","Yes","No")</f>
        <v>#REF!</v>
      </c>
    </row>
    <row r="310" spans="1:15" ht="42" hidden="1" customHeight="1">
      <c r="A310" s="7" t="e">
        <f>#REF!</f>
        <v>#REF!</v>
      </c>
      <c r="B310" s="7" t="e">
        <f>#REF!</f>
        <v>#REF!</v>
      </c>
      <c r="C310" s="7" t="e">
        <f>#REF!</f>
        <v>#REF!</v>
      </c>
      <c r="D310" s="7" t="e">
        <f>#REF!</f>
        <v>#REF!</v>
      </c>
      <c r="E310" s="7" t="e">
        <f>#REF!</f>
        <v>#REF!</v>
      </c>
      <c r="F310" s="7" t="e">
        <f>#REF!</f>
        <v>#REF!</v>
      </c>
      <c r="G310" s="7" t="e">
        <f>#REF!</f>
        <v>#REF!</v>
      </c>
      <c r="H310" s="7" t="e">
        <f>#REF!</f>
        <v>#REF!</v>
      </c>
      <c r="I310" s="7" t="e">
        <f>#REF!</f>
        <v>#REF!</v>
      </c>
      <c r="J310" s="7" t="e">
        <f>IF(D310&lt;&gt;"Valid","",SUM(E310:F310))</f>
        <v>#REF!</v>
      </c>
      <c r="K310" s="7" t="e">
        <f>IF(D310&lt;&gt;"Valid","",SUM(G310:I310))</f>
        <v>#REF!</v>
      </c>
      <c r="L310" s="7" t="e">
        <f>IF($D310&lt;&gt;"Valid",0,IFERROR(AVERAGE(#REF!,#REF!),0))</f>
        <v>#REF!</v>
      </c>
      <c r="M310" s="21" t="str">
        <f>IF(ISNUMBER(L310),_xlfn.RANK.EQ(L310,$L$2:$L$500,0),"")</f>
        <v/>
      </c>
      <c r="N310" s="7" t="e">
        <f>IF(L310=0,
"Not Assessed",
IF(L310&gt;=0.85,"Very High Performance",
IF(L310&gt;=0.7,"High Performance",
IF(L310&gt;=0.55,"Moderate Performance",
IF(L310&gt;=0.4,"Low Performance",
"Very Low Performance")))))</f>
        <v>#REF!</v>
      </c>
      <c r="O310" s="7" t="e">
        <f>IF($L310=0,
"Failed minimum data validation; requires contextual review in FSF.",
"Ready for contextual review in FSF.")</f>
        <v>#REF!</v>
      </c>
    </row>
    <row r="311" spans="1:15" ht="42" customHeight="1">
      <c r="A311" s="7" t="str">
        <f>Derived_Indicators!A311</f>
        <v>Abuja Municipal Area Council</v>
      </c>
      <c r="B311" s="7" t="str">
        <f>Derived_Indicators!B311</f>
        <v>Kabusa Ward</v>
      </c>
      <c r="C311" s="7" t="str">
        <f>Derived_Indicators!C311</f>
        <v>Pyakasa Primary Health Care Center</v>
      </c>
      <c r="D311" s="7" t="str">
        <f>Derived_Indicators!Q311</f>
        <v>Valid</v>
      </c>
      <c r="E311" s="23">
        <f>Derived_Indicators!D311</f>
        <v>0.97727272727272729</v>
      </c>
      <c r="F311" s="23" t="str">
        <f>Derived_Indicators!E311</f>
        <v/>
      </c>
      <c r="G311" s="23">
        <f>Derived_Indicators!K311</f>
        <v>0.96914700544464605</v>
      </c>
      <c r="H311" s="23">
        <f>Derived_Indicators!M311</f>
        <v>0.47761194029850745</v>
      </c>
      <c r="I311" s="23">
        <f>Derived_Indicators!N311</f>
        <v>6.4676616915422883E-2</v>
      </c>
      <c r="J311" s="23">
        <f>IF($D311&lt;&gt;"Valid","",AVERAGE(E311:F311))</f>
        <v>0.97727272727272729</v>
      </c>
      <c r="K311" s="23">
        <f>IF($D311&lt;&gt;"Valid","",AVERAGE(G311:I311))</f>
        <v>0.50381185421952546</v>
      </c>
      <c r="L311" s="23">
        <f>IF($D311&lt;&gt;"Valid","",AVERAGE(J311,K311))</f>
        <v>0.74054229074612632</v>
      </c>
      <c r="M311" s="21" t="e">
        <f>IF(AND($D311="Valid",ISNUMBER(L311)),RANK(L311,$L$2:$L$500,0),"")</f>
        <v>#REF!</v>
      </c>
      <c r="N311" s="7" t="str">
        <f>IF(L311="",
"Not Assessed",
IF(L311&gt;=0.85,"Excellent",
IF(L311&gt;=0.7,"Good",
IF(L311&gt;=0.55,"Moderate",
IF(L311&gt;=0.4,"Low",
"Very Low")))))</f>
        <v>Good</v>
      </c>
      <c r="O311" s="7" t="str">
        <f>IF($D311&lt;&gt;"Valid",
"Failed data validation; excluded from HFSI and requires contextual review in the Health Facility Selection Framework (HFSF).",
"Eligible for contextual assessment using the Health Facility Selection Framework (HFSF).")</f>
        <v>Eligible for contextual assessment using the Health Facility Selection Framework (HFSF).</v>
      </c>
    </row>
    <row r="312" spans="1:15" ht="42" hidden="1" customHeight="1">
      <c r="A312" s="7" t="e">
        <f>#REF!</f>
        <v>#REF!</v>
      </c>
      <c r="B312" s="7" t="e">
        <f>#REF!</f>
        <v>#REF!</v>
      </c>
      <c r="C312" s="7" t="e">
        <f>#REF!</f>
        <v>#REF!</v>
      </c>
      <c r="D312" s="7" t="e">
        <f>#REF!</f>
        <v>#REF!</v>
      </c>
      <c r="E312" s="7" t="e">
        <f>#REF!</f>
        <v>#REF!</v>
      </c>
      <c r="F312" s="7" t="e">
        <f>#REF!</f>
        <v>#REF!</v>
      </c>
      <c r="G312" s="7" t="e">
        <f>#REF!</f>
        <v>#REF!</v>
      </c>
      <c r="H312" s="7" t="e">
        <f>#REF!</f>
        <v>#REF!</v>
      </c>
      <c r="I312" s="7" t="e">
        <f>#REF!</f>
        <v>#REF!</v>
      </c>
      <c r="J312" s="7" t="e">
        <f t="shared" ref="J312:J317" si="85">IF(D312&lt;&gt;"Valid","",SUM(E312:F312))</f>
        <v>#REF!</v>
      </c>
      <c r="K312" s="7" t="e">
        <f t="shared" ref="K312:K317" si="86">IF(D312&lt;&gt;"Valid","",SUM(G312:I312))</f>
        <v>#REF!</v>
      </c>
      <c r="L312" s="7" t="e">
        <f>IF($D312&lt;&gt;"Valid",0,IFERROR(AVERAGE(#REF!,#REF!),0))</f>
        <v>#REF!</v>
      </c>
      <c r="M312" s="21" t="str">
        <f>IF(ISNUMBER(L312),_xlfn.RANK.EQ(L312,$L$2:$L$500,0),"")</f>
        <v/>
      </c>
      <c r="N312" s="7" t="e">
        <f>IF(L312=0,
"Not Assessed",
IF(L312&gt;=0.85,"Very High Performance",
IF(L312&gt;=0.7,"High Performance",
IF(L312&gt;=0.55,"Moderate Performance",
IF(L312&gt;=0.4,"Low Performance",
"Very Low Performance")))))</f>
        <v>#REF!</v>
      </c>
      <c r="O312" s="7" t="e">
        <f>IF($L312=0,
"Failed minimum data validation; requires contextual review in FSF.",
"Ready for contextual review in FSF.")</f>
        <v>#REF!</v>
      </c>
    </row>
    <row r="313" spans="1:15" hidden="1">
      <c r="A313" s="7" t="e">
        <f>#REF!</f>
        <v>#REF!</v>
      </c>
      <c r="B313" s="7" t="e">
        <f>#REF!</f>
        <v>#REF!</v>
      </c>
      <c r="C313" s="7" t="e">
        <f>#REF!</f>
        <v>#REF!</v>
      </c>
      <c r="D313" s="7" t="e">
        <f>#REF!</f>
        <v>#REF!</v>
      </c>
      <c r="E313" s="7" t="e">
        <f>#REF!</f>
        <v>#REF!</v>
      </c>
      <c r="F313" s="7" t="e">
        <f>#REF!</f>
        <v>#REF!</v>
      </c>
      <c r="G313" s="7" t="e">
        <f>#REF!</f>
        <v>#REF!</v>
      </c>
      <c r="H313" s="7" t="e">
        <f>#REF!</f>
        <v>#REF!</v>
      </c>
      <c r="I313" s="7" t="e">
        <f>#REF!</f>
        <v>#REF!</v>
      </c>
      <c r="J313" s="7" t="e">
        <f t="shared" si="85"/>
        <v>#REF!</v>
      </c>
      <c r="K313" s="7" t="e">
        <f t="shared" si="86"/>
        <v>#REF!</v>
      </c>
      <c r="L313" s="7" t="e">
        <f>IF(D313&lt;&gt;"Valid","",#REF!*0.4+#REF!*0.6)</f>
        <v>#REF!</v>
      </c>
      <c r="M313" s="7"/>
      <c r="N313" s="7" t="e">
        <f>IF(D313&lt;&gt;"Valid","Not Assessed (Insufficient Valid Data)",LOOKUP(L313,tblPerformanceCategory[Min],tblPerformanceCategory[Performance Category]))</f>
        <v>#REF!</v>
      </c>
      <c r="O313" s="7" t="e">
        <f>IF(D313="Valid","Yes","No")</f>
        <v>#REF!</v>
      </c>
    </row>
    <row r="314" spans="1:15" hidden="1">
      <c r="A314" s="7" t="e">
        <f>#REF!</f>
        <v>#REF!</v>
      </c>
      <c r="B314" s="7" t="e">
        <f>#REF!</f>
        <v>#REF!</v>
      </c>
      <c r="C314" s="7" t="e">
        <f>#REF!</f>
        <v>#REF!</v>
      </c>
      <c r="D314" s="7" t="e">
        <f>#REF!</f>
        <v>#REF!</v>
      </c>
      <c r="E314" s="7" t="e">
        <f>#REF!</f>
        <v>#REF!</v>
      </c>
      <c r="F314" s="7" t="e">
        <f>#REF!</f>
        <v>#REF!</v>
      </c>
      <c r="G314" s="7" t="e">
        <f>#REF!</f>
        <v>#REF!</v>
      </c>
      <c r="H314" s="7" t="e">
        <f>#REF!</f>
        <v>#REF!</v>
      </c>
      <c r="I314" s="7" t="e">
        <f>#REF!</f>
        <v>#REF!</v>
      </c>
      <c r="J314" s="7" t="e">
        <f t="shared" si="85"/>
        <v>#REF!</v>
      </c>
      <c r="K314" s="7" t="e">
        <f t="shared" si="86"/>
        <v>#REF!</v>
      </c>
      <c r="L314" s="7" t="e">
        <f>IF(D314&lt;&gt;"Valid","",#REF!*0.4+#REF!*0.6)</f>
        <v>#REF!</v>
      </c>
      <c r="M314" s="7"/>
      <c r="N314" s="7" t="e">
        <f>IF(D314&lt;&gt;"Valid","Not Assessed (Insufficient Valid Data)",LOOKUP(L314,tblPerformanceCategory[Min],tblPerformanceCategory[Performance Category]))</f>
        <v>#REF!</v>
      </c>
      <c r="O314" s="7" t="e">
        <f>IF(D314="Valid","Yes","No")</f>
        <v>#REF!</v>
      </c>
    </row>
    <row r="315" spans="1:15" hidden="1">
      <c r="A315" s="7" t="e">
        <f>#REF!</f>
        <v>#REF!</v>
      </c>
      <c r="B315" s="7" t="e">
        <f>#REF!</f>
        <v>#REF!</v>
      </c>
      <c r="C315" s="7" t="e">
        <f>#REF!</f>
        <v>#REF!</v>
      </c>
      <c r="D315" s="7" t="e">
        <f>#REF!</f>
        <v>#REF!</v>
      </c>
      <c r="E315" s="7" t="e">
        <f>#REF!</f>
        <v>#REF!</v>
      </c>
      <c r="F315" s="7" t="e">
        <f>#REF!</f>
        <v>#REF!</v>
      </c>
      <c r="G315" s="7" t="e">
        <f>#REF!</f>
        <v>#REF!</v>
      </c>
      <c r="H315" s="7" t="e">
        <f>#REF!</f>
        <v>#REF!</v>
      </c>
      <c r="I315" s="7" t="e">
        <f>#REF!</f>
        <v>#REF!</v>
      </c>
      <c r="J315" s="7" t="e">
        <f t="shared" si="85"/>
        <v>#REF!</v>
      </c>
      <c r="K315" s="7" t="e">
        <f t="shared" si="86"/>
        <v>#REF!</v>
      </c>
      <c r="L315" s="7" t="e">
        <f>IF(D315&lt;&gt;"Valid","",#REF!*0.4+#REF!*0.6)</f>
        <v>#REF!</v>
      </c>
      <c r="M315" s="7"/>
      <c r="N315" s="7" t="e">
        <f>IF(D315&lt;&gt;"Valid","Not Assessed (Insufficient Valid Data)",LOOKUP(L315,tblPerformanceCategory[Min],tblPerformanceCategory[Performance Category]))</f>
        <v>#REF!</v>
      </c>
      <c r="O315" s="7" t="e">
        <f>IF(D315="Valid","Yes","No")</f>
        <v>#REF!</v>
      </c>
    </row>
    <row r="316" spans="1:15" hidden="1">
      <c r="A316" s="7" t="e">
        <f>#REF!</f>
        <v>#REF!</v>
      </c>
      <c r="B316" s="7" t="e">
        <f>#REF!</f>
        <v>#REF!</v>
      </c>
      <c r="C316" s="7" t="e">
        <f>#REF!</f>
        <v>#REF!</v>
      </c>
      <c r="D316" s="7" t="e">
        <f>#REF!</f>
        <v>#REF!</v>
      </c>
      <c r="E316" s="7" t="e">
        <f>#REF!</f>
        <v>#REF!</v>
      </c>
      <c r="F316" s="7" t="e">
        <f>#REF!</f>
        <v>#REF!</v>
      </c>
      <c r="G316" s="7" t="e">
        <f>#REF!</f>
        <v>#REF!</v>
      </c>
      <c r="H316" s="7" t="e">
        <f>#REF!</f>
        <v>#REF!</v>
      </c>
      <c r="I316" s="7" t="e">
        <f>#REF!</f>
        <v>#REF!</v>
      </c>
      <c r="J316" s="7" t="e">
        <f t="shared" si="85"/>
        <v>#REF!</v>
      </c>
      <c r="K316" s="7" t="e">
        <f t="shared" si="86"/>
        <v>#REF!</v>
      </c>
      <c r="L316" s="7" t="e">
        <f>IF(D316&lt;&gt;"Valid","",#REF!*0.4+#REF!*0.6)</f>
        <v>#REF!</v>
      </c>
      <c r="M316" s="7"/>
      <c r="N316" s="7" t="e">
        <f>IF(D316&lt;&gt;"Valid","Not Assessed (Insufficient Valid Data)",LOOKUP(L316,tblPerformanceCategory[Min],tblPerformanceCategory[Performance Category]))</f>
        <v>#REF!</v>
      </c>
      <c r="O316" s="7" t="e">
        <f>IF(D316="Valid","Yes","No")</f>
        <v>#REF!</v>
      </c>
    </row>
    <row r="317" spans="1:15" ht="42" hidden="1" customHeight="1">
      <c r="A317" s="7" t="e">
        <f>#REF!</f>
        <v>#REF!</v>
      </c>
      <c r="B317" s="7" t="e">
        <f>#REF!</f>
        <v>#REF!</v>
      </c>
      <c r="C317" s="7" t="e">
        <f>#REF!</f>
        <v>#REF!</v>
      </c>
      <c r="D317" s="7" t="e">
        <f>#REF!</f>
        <v>#REF!</v>
      </c>
      <c r="E317" s="7" t="e">
        <f>#REF!</f>
        <v>#REF!</v>
      </c>
      <c r="F317" s="7" t="e">
        <f>#REF!</f>
        <v>#REF!</v>
      </c>
      <c r="G317" s="7" t="e">
        <f>#REF!</f>
        <v>#REF!</v>
      </c>
      <c r="H317" s="7" t="e">
        <f>#REF!</f>
        <v>#REF!</v>
      </c>
      <c r="I317" s="7" t="e">
        <f>#REF!</f>
        <v>#REF!</v>
      </c>
      <c r="J317" s="7" t="e">
        <f t="shared" si="85"/>
        <v>#REF!</v>
      </c>
      <c r="K317" s="7" t="e">
        <f t="shared" si="86"/>
        <v>#REF!</v>
      </c>
      <c r="L317" s="7" t="e">
        <f>IF($D317&lt;&gt;"Valid",0,IFERROR(AVERAGE(#REF!,#REF!),0))</f>
        <v>#REF!</v>
      </c>
      <c r="M317" s="21" t="str">
        <f>IF(ISNUMBER(L317),_xlfn.RANK.EQ(L317,$L$2:$L$500,0),"")</f>
        <v/>
      </c>
      <c r="N317" s="7" t="e">
        <f>IF(L317=0,
"Not Assessed",
IF(L317&gt;=0.85,"Very High Performance",
IF(L317&gt;=0.7,"High Performance",
IF(L317&gt;=0.55,"Moderate Performance",
IF(L317&gt;=0.4,"Low Performance",
"Very Low Performance")))))</f>
        <v>#REF!</v>
      </c>
      <c r="O317" s="7" t="e">
        <f>IF($L317=0,
"Failed minimum data validation; requires contextual review in FSF.",
"Ready for contextual review in FSF.")</f>
        <v>#REF!</v>
      </c>
    </row>
    <row r="318" spans="1:15" ht="42" customHeight="1">
      <c r="A318" s="7" t="str">
        <f>Derived_Indicators!A318</f>
        <v>Abuja Municipal Area Council</v>
      </c>
      <c r="B318" s="7" t="str">
        <f>Derived_Indicators!B318</f>
        <v>Gwarimpa Ward</v>
      </c>
      <c r="C318" s="7" t="str">
        <f>Derived_Indicators!C318</f>
        <v>Royal Care Clinic and Maternity</v>
      </c>
      <c r="D318" s="7" t="str">
        <f>Derived_Indicators!Q318</f>
        <v>No Data</v>
      </c>
      <c r="E318" s="23" t="str">
        <f>Derived_Indicators!D318</f>
        <v/>
      </c>
      <c r="F318" s="23" t="str">
        <f>Derived_Indicators!E318</f>
        <v/>
      </c>
      <c r="G318" s="23" t="str">
        <f>Derived_Indicators!K318</f>
        <v/>
      </c>
      <c r="H318" s="23" t="str">
        <f>Derived_Indicators!M318</f>
        <v/>
      </c>
      <c r="I318" s="23" t="str">
        <f>Derived_Indicators!N318</f>
        <v/>
      </c>
      <c r="J318" s="23" t="str">
        <f>IF($D318&lt;&gt;"Valid","",AVERAGE(E318:F318))</f>
        <v/>
      </c>
      <c r="K318" s="23" t="str">
        <f>IF($D318&lt;&gt;"Valid","",AVERAGE(G318:I318))</f>
        <v/>
      </c>
      <c r="L318" s="23" t="str">
        <f>IF($D318&lt;&gt;"Valid","",AVERAGE(J318,K318))</f>
        <v/>
      </c>
      <c r="M318" s="21" t="str">
        <f>IF(AND($D318="Valid",ISNUMBER(L318)),RANK(L318,$L$2:$L$500,0),"")</f>
        <v/>
      </c>
      <c r="N318" s="7" t="str">
        <f>IF(L318="",
"Not Assessed",
IF(L318&gt;=0.85,"Excellent",
IF(L318&gt;=0.7,"Good",
IF(L318&gt;=0.55,"Moderate",
IF(L318&gt;=0.4,"Low",
"Very Low")))))</f>
        <v>Not Assessed</v>
      </c>
      <c r="O318" s="7" t="str">
        <f>IF($D318&lt;&gt;"Valid",
"Failed data validation; excluded from HFSI and requires contextual review in the Health Facility Selection Framework (HFSF).",
"Eligible for contextual assessment using the Health Facility Selection Framework (HFSF).")</f>
        <v>Failed data validation; excluded from HFSI and requires contextual review in the Health Facility Selection Framework (HFSF).</v>
      </c>
    </row>
    <row r="319" spans="1:15" hidden="1">
      <c r="A319" s="7" t="e">
        <f>#REF!</f>
        <v>#REF!</v>
      </c>
      <c r="B319" s="7" t="e">
        <f>#REF!</f>
        <v>#REF!</v>
      </c>
      <c r="C319" s="7" t="e">
        <f>#REF!</f>
        <v>#REF!</v>
      </c>
      <c r="D319" s="7" t="e">
        <f>#REF!</f>
        <v>#REF!</v>
      </c>
      <c r="E319" s="7" t="e">
        <f>#REF!</f>
        <v>#REF!</v>
      </c>
      <c r="F319" s="7" t="e">
        <f>#REF!</f>
        <v>#REF!</v>
      </c>
      <c r="G319" s="7" t="e">
        <f>#REF!</f>
        <v>#REF!</v>
      </c>
      <c r="H319" s="7" t="e">
        <f>#REF!</f>
        <v>#REF!</v>
      </c>
      <c r="I319" s="7" t="e">
        <f>#REF!</f>
        <v>#REF!</v>
      </c>
      <c r="J319" s="7" t="e">
        <f>IF(D319&lt;&gt;"Valid","",SUM(E319:F319))</f>
        <v>#REF!</v>
      </c>
      <c r="K319" s="7" t="e">
        <f>IF(D319&lt;&gt;"Valid","",SUM(G319:I319))</f>
        <v>#REF!</v>
      </c>
      <c r="L319" s="7" t="e">
        <f>IF(D319&lt;&gt;"Valid","",#REF!*0.4+#REF!*0.6)</f>
        <v>#REF!</v>
      </c>
      <c r="M319" s="7"/>
      <c r="N319" s="7" t="e">
        <f>IF(D319&lt;&gt;"Valid","Not Assessed (Insufficient Valid Data)",LOOKUP(L319,tblPerformanceCategory[Min],tblPerformanceCategory[Performance Category]))</f>
        <v>#REF!</v>
      </c>
      <c r="O319" s="7" t="e">
        <f>IF(D319="Valid","Yes","No")</f>
        <v>#REF!</v>
      </c>
    </row>
    <row r="320" spans="1:15" hidden="1">
      <c r="A320" s="7" t="e">
        <f>#REF!</f>
        <v>#REF!</v>
      </c>
      <c r="B320" s="7" t="e">
        <f>#REF!</f>
        <v>#REF!</v>
      </c>
      <c r="C320" s="7" t="e">
        <f>#REF!</f>
        <v>#REF!</v>
      </c>
      <c r="D320" s="7" t="e">
        <f>#REF!</f>
        <v>#REF!</v>
      </c>
      <c r="E320" s="7" t="e">
        <f>#REF!</f>
        <v>#REF!</v>
      </c>
      <c r="F320" s="7" t="e">
        <f>#REF!</f>
        <v>#REF!</v>
      </c>
      <c r="G320" s="7" t="e">
        <f>#REF!</f>
        <v>#REF!</v>
      </c>
      <c r="H320" s="7" t="e">
        <f>#REF!</f>
        <v>#REF!</v>
      </c>
      <c r="I320" s="7" t="e">
        <f>#REF!</f>
        <v>#REF!</v>
      </c>
      <c r="J320" s="7" t="e">
        <f>IF(D320&lt;&gt;"Valid","",SUM(E320:F320))</f>
        <v>#REF!</v>
      </c>
      <c r="K320" s="7" t="e">
        <f>IF(D320&lt;&gt;"Valid","",SUM(G320:I320))</f>
        <v>#REF!</v>
      </c>
      <c r="L320" s="7" t="e">
        <f>IF(D320&lt;&gt;"Valid","",#REF!*0.4+#REF!*0.6)</f>
        <v>#REF!</v>
      </c>
      <c r="M320" s="7"/>
      <c r="N320" s="7" t="e">
        <f>IF(D320&lt;&gt;"Valid","Not Assessed (Insufficient Valid Data)",LOOKUP(L320,tblPerformanceCategory[Min],tblPerformanceCategory[Performance Category]))</f>
        <v>#REF!</v>
      </c>
      <c r="O320" s="7" t="e">
        <f>IF(D320="Valid","Yes","No")</f>
        <v>#REF!</v>
      </c>
    </row>
    <row r="321" spans="1:15" hidden="1">
      <c r="A321" s="7" t="e">
        <f>#REF!</f>
        <v>#REF!</v>
      </c>
      <c r="B321" s="7" t="e">
        <f>#REF!</f>
        <v>#REF!</v>
      </c>
      <c r="C321" s="7" t="e">
        <f>#REF!</f>
        <v>#REF!</v>
      </c>
      <c r="D321" s="7" t="e">
        <f>#REF!</f>
        <v>#REF!</v>
      </c>
      <c r="E321" s="7" t="e">
        <f>#REF!</f>
        <v>#REF!</v>
      </c>
      <c r="F321" s="7" t="e">
        <f>#REF!</f>
        <v>#REF!</v>
      </c>
      <c r="G321" s="7" t="e">
        <f>#REF!</f>
        <v>#REF!</v>
      </c>
      <c r="H321" s="7" t="e">
        <f>#REF!</f>
        <v>#REF!</v>
      </c>
      <c r="I321" s="7" t="e">
        <f>#REF!</f>
        <v>#REF!</v>
      </c>
      <c r="J321" s="7" t="e">
        <f>IF(D321&lt;&gt;"Valid","",SUM(E321:F321))</f>
        <v>#REF!</v>
      </c>
      <c r="K321" s="7" t="e">
        <f>IF(D321&lt;&gt;"Valid","",SUM(G321:I321))</f>
        <v>#REF!</v>
      </c>
      <c r="L321" s="7" t="e">
        <f>IF(D321&lt;&gt;"Valid","",#REF!*0.4+#REF!*0.6)</f>
        <v>#REF!</v>
      </c>
      <c r="M321" s="7"/>
      <c r="N321" s="7" t="e">
        <f>IF(D321&lt;&gt;"Valid","Not Assessed (Insufficient Valid Data)",LOOKUP(L321,tblPerformanceCategory[Min],tblPerformanceCategory[Performance Category]))</f>
        <v>#REF!</v>
      </c>
      <c r="O321" s="7" t="e">
        <f>IF(D321="Valid","Yes","No")</f>
        <v>#REF!</v>
      </c>
    </row>
    <row r="322" spans="1:15" ht="42" customHeight="1">
      <c r="A322" s="7" t="str">
        <f>Derived_Indicators!A322</f>
        <v>Bwari Local Government Area</v>
      </c>
      <c r="B322" s="7" t="str">
        <f>Derived_Indicators!B322</f>
        <v>Kuduru Ward</v>
      </c>
      <c r="C322" s="7" t="str">
        <f>Derived_Indicators!C322</f>
        <v>Sabon Gari Primary Health Clinic</v>
      </c>
      <c r="D322" s="7" t="str">
        <f>Derived_Indicators!Q322</f>
        <v>Valid</v>
      </c>
      <c r="E322" s="23">
        <f>Derived_Indicators!D322</f>
        <v>0.94444545454545448</v>
      </c>
      <c r="F322" s="23">
        <f>Derived_Indicators!E322</f>
        <v>0.83333333333333326</v>
      </c>
      <c r="G322" s="23">
        <f>Derived_Indicators!K322</f>
        <v>0.99226305609284338</v>
      </c>
      <c r="H322" s="23">
        <f>Derived_Indicators!M322</f>
        <v>0.34707903780068727</v>
      </c>
      <c r="I322" s="23">
        <f>Derived_Indicators!N322</f>
        <v>0.27147766323024053</v>
      </c>
      <c r="J322" s="23">
        <f>IF($D322&lt;&gt;"Valid","",AVERAGE(E322:F322))</f>
        <v>0.88888939393939381</v>
      </c>
      <c r="K322" s="23">
        <f>IF($D322&lt;&gt;"Valid","",AVERAGE(G322:I322))</f>
        <v>0.53693991904125704</v>
      </c>
      <c r="L322" s="23">
        <f>IF($D322&lt;&gt;"Valid","",AVERAGE(J322,K322))</f>
        <v>0.71291465649032548</v>
      </c>
      <c r="M322" s="21" t="e">
        <f>IF(AND($D322="Valid",ISNUMBER(L322)),RANK(L322,$L$2:$L$500,0),"")</f>
        <v>#REF!</v>
      </c>
      <c r="N322" s="7" t="str">
        <f>IF(L322="",
"Not Assessed",
IF(L322&gt;=0.85,"Excellent",
IF(L322&gt;=0.7,"Good",
IF(L322&gt;=0.55,"Moderate",
IF(L322&gt;=0.4,"Low",
"Very Low")))))</f>
        <v>Good</v>
      </c>
      <c r="O322" s="7" t="str">
        <f>IF($D322&lt;&gt;"Valid",
"Failed data validation; excluded from HFSI and requires contextual review in the Health Facility Selection Framework (HFSF).",
"Eligible for contextual assessment using the Health Facility Selection Framework (HFSF).")</f>
        <v>Eligible for contextual assessment using the Health Facility Selection Framework (HFSF).</v>
      </c>
    </row>
    <row r="323" spans="1:15" ht="42" hidden="1" customHeight="1">
      <c r="A323" s="7" t="e">
        <f>#REF!</f>
        <v>#REF!</v>
      </c>
      <c r="B323" s="7" t="e">
        <f>#REF!</f>
        <v>#REF!</v>
      </c>
      <c r="C323" s="7" t="e">
        <f>#REF!</f>
        <v>#REF!</v>
      </c>
      <c r="D323" s="7" t="e">
        <f>#REF!</f>
        <v>#REF!</v>
      </c>
      <c r="E323" s="7" t="e">
        <f>#REF!</f>
        <v>#REF!</v>
      </c>
      <c r="F323" s="7" t="e">
        <f>#REF!</f>
        <v>#REF!</v>
      </c>
      <c r="G323" s="7" t="e">
        <f>#REF!</f>
        <v>#REF!</v>
      </c>
      <c r="H323" s="7" t="e">
        <f>#REF!</f>
        <v>#REF!</v>
      </c>
      <c r="I323" s="7" t="e">
        <f>#REF!</f>
        <v>#REF!</v>
      </c>
      <c r="J323" s="7" t="e">
        <f>IF(D323&lt;&gt;"Valid","",SUM(E323:F323))</f>
        <v>#REF!</v>
      </c>
      <c r="K323" s="7" t="e">
        <f>IF(D323&lt;&gt;"Valid","",SUM(G323:I323))</f>
        <v>#REF!</v>
      </c>
      <c r="L323" s="7" t="e">
        <f>IF($D323&lt;&gt;"Valid",0,IFERROR(AVERAGE(#REF!,#REF!),0))</f>
        <v>#REF!</v>
      </c>
      <c r="M323" s="21" t="str">
        <f>IF(ISNUMBER(L323),_xlfn.RANK.EQ(L323,$L$2:$L$500,0),"")</f>
        <v/>
      </c>
      <c r="N323" s="7" t="e">
        <f>IF(L323=0,
"Not Assessed",
IF(L323&gt;=0.85,"Very High Performance",
IF(L323&gt;=0.7,"High Performance",
IF(L323&gt;=0.55,"Moderate Performance",
IF(L323&gt;=0.4,"Low Performance",
"Very Low Performance")))))</f>
        <v>#REF!</v>
      </c>
      <c r="O323" s="7" t="e">
        <f>IF($L323=0,
"Failed minimum data validation; requires contextual review in FSF.",
"Ready for contextual review in FSF.")</f>
        <v>#REF!</v>
      </c>
    </row>
    <row r="324" spans="1:15" ht="42" customHeight="1">
      <c r="A324" s="7" t="str">
        <f>Derived_Indicators!A324</f>
        <v>Abuja Municipal Area Council</v>
      </c>
      <c r="B324" s="7" t="str">
        <f>Derived_Indicators!B324</f>
        <v>Nyanya Ward</v>
      </c>
      <c r="C324" s="7" t="str">
        <f>Derived_Indicators!C324</f>
        <v>Saffron Hospital</v>
      </c>
      <c r="D324" s="7" t="str">
        <f>Derived_Indicators!Q324</f>
        <v>Invalid</v>
      </c>
      <c r="E324" s="23">
        <f>Derived_Indicators!D324</f>
        <v>1</v>
      </c>
      <c r="F324" s="23" t="str">
        <f>Derived_Indicators!E324</f>
        <v/>
      </c>
      <c r="G324" s="23">
        <f>Derived_Indicators!K324</f>
        <v>0.5714285714285714</v>
      </c>
      <c r="H324" s="23">
        <f>Derived_Indicators!M324</f>
        <v>0.27777777777777779</v>
      </c>
      <c r="I324" s="23">
        <f>Derived_Indicators!N324</f>
        <v>1.7777777777777777</v>
      </c>
      <c r="J324" s="23" t="str">
        <f>IF($D324&lt;&gt;"Valid","",AVERAGE(E324:F324))</f>
        <v/>
      </c>
      <c r="K324" s="23" t="str">
        <f>IF($D324&lt;&gt;"Valid","",AVERAGE(G324:I324))</f>
        <v/>
      </c>
      <c r="L324" s="23" t="str">
        <f>IF($D324&lt;&gt;"Valid","",AVERAGE(J324,K324))</f>
        <v/>
      </c>
      <c r="M324" s="21" t="str">
        <f>IF(AND($D324="Valid",ISNUMBER(L324)),RANK(L324,$L$2:$L$500,0),"")</f>
        <v/>
      </c>
      <c r="N324" s="7" t="str">
        <f>IF(L324="",
"Not Assessed",
IF(L324&gt;=0.85,"Excellent",
IF(L324&gt;=0.7,"Good",
IF(L324&gt;=0.55,"Moderate",
IF(L324&gt;=0.4,"Low",
"Very Low")))))</f>
        <v>Not Assessed</v>
      </c>
      <c r="O324" s="7" t="str">
        <f>IF($D324&lt;&gt;"Valid",
"Failed data validation; excluded from HFSI and requires contextual review in the Health Facility Selection Framework (HFSF).",
"Eligible for contextual assessment using the Health Facility Selection Framework (HFSF).")</f>
        <v>Failed data validation; excluded from HFSI and requires contextual review in the Health Facility Selection Framework (HFSF).</v>
      </c>
    </row>
    <row r="325" spans="1:15" ht="42" hidden="1" customHeight="1">
      <c r="A325" s="7" t="e">
        <f>#REF!</f>
        <v>#REF!</v>
      </c>
      <c r="B325" s="7" t="e">
        <f>#REF!</f>
        <v>#REF!</v>
      </c>
      <c r="C325" s="7" t="e">
        <f>#REF!</f>
        <v>#REF!</v>
      </c>
      <c r="D325" s="7" t="e">
        <f>#REF!</f>
        <v>#REF!</v>
      </c>
      <c r="E325" s="7" t="e">
        <f>#REF!</f>
        <v>#REF!</v>
      </c>
      <c r="F325" s="7" t="e">
        <f>#REF!</f>
        <v>#REF!</v>
      </c>
      <c r="G325" s="7" t="e">
        <f>#REF!</f>
        <v>#REF!</v>
      </c>
      <c r="H325" s="7" t="e">
        <f>#REF!</f>
        <v>#REF!</v>
      </c>
      <c r="I325" s="7" t="e">
        <f>#REF!</f>
        <v>#REF!</v>
      </c>
      <c r="J325" s="7" t="e">
        <f>IF(D325&lt;&gt;"Valid","",SUM(E325:F325))</f>
        <v>#REF!</v>
      </c>
      <c r="K325" s="7" t="e">
        <f>IF(D325&lt;&gt;"Valid","",SUM(G325:I325))</f>
        <v>#REF!</v>
      </c>
      <c r="L325" s="7" t="e">
        <f>IF($D325&lt;&gt;"Valid",0,IFERROR(AVERAGE(#REF!,#REF!),0))</f>
        <v>#REF!</v>
      </c>
      <c r="M325" s="21" t="str">
        <f>IF(ISNUMBER(L325),_xlfn.RANK.EQ(L325,$L$2:$L$500,0),"")</f>
        <v/>
      </c>
      <c r="N325" s="7" t="e">
        <f>IF(L325=0,
"Not Assessed",
IF(L325&gt;=0.85,"Very High Performance",
IF(L325&gt;=0.7,"High Performance",
IF(L325&gt;=0.55,"Moderate Performance",
IF(L325&gt;=0.4,"Low Performance",
"Very Low Performance")))))</f>
        <v>#REF!</v>
      </c>
      <c r="O325" s="7" t="e">
        <f>IF($L325=0,
"Failed minimum data validation; requires contextual review in FSF.",
"Ready for contextual review in FSF.")</f>
        <v>#REF!</v>
      </c>
    </row>
    <row r="326" spans="1:15" ht="42" customHeight="1">
      <c r="A326" s="7" t="str">
        <f>Derived_Indicators!A326</f>
        <v>Abuja Municipal Area Council</v>
      </c>
      <c r="B326" s="7" t="str">
        <f>Derived_Indicators!B326</f>
        <v>Gwarimpa Ward</v>
      </c>
      <c r="C326" s="7" t="str">
        <f>Derived_Indicators!C326</f>
        <v>Salama Infirmary Hospital &amp; Maternity Ltd</v>
      </c>
      <c r="D326" s="7" t="str">
        <f>Derived_Indicators!Q326</f>
        <v>Invalid</v>
      </c>
      <c r="E326" s="23" t="str">
        <f>Derived_Indicators!D326</f>
        <v/>
      </c>
      <c r="F326" s="23" t="str">
        <f>Derived_Indicators!E326</f>
        <v/>
      </c>
      <c r="G326" s="23">
        <f>Derived_Indicators!K326</f>
        <v>1.5</v>
      </c>
      <c r="H326" s="23">
        <f>Derived_Indicators!M326</f>
        <v>0.6428571428571429</v>
      </c>
      <c r="I326" s="23">
        <f>Derived_Indicators!N326</f>
        <v>0.7857142857142857</v>
      </c>
      <c r="J326" s="23" t="str">
        <f t="shared" ref="J326:J328" si="87">IF($D326&lt;&gt;"Valid","",AVERAGE(E326:F326))</f>
        <v/>
      </c>
      <c r="K326" s="23" t="str">
        <f t="shared" ref="K326:K328" si="88">IF($D326&lt;&gt;"Valid","",AVERAGE(G326:I326))</f>
        <v/>
      </c>
      <c r="L326" s="23" t="str">
        <f t="shared" ref="L326:L328" si="89">IF($D326&lt;&gt;"Valid","",AVERAGE(J326,K326))</f>
        <v/>
      </c>
      <c r="M326" s="21" t="str">
        <f t="shared" ref="M326:M328" si="90">IF(AND($D326="Valid",ISNUMBER(L326)),RANK(L326,$L$2:$L$500,0),"")</f>
        <v/>
      </c>
      <c r="N326" s="7" t="str">
        <f t="shared" ref="N326:N328" si="91">IF(L326="",
"Not Assessed",
IF(L326&gt;=0.85,"Excellent",
IF(L326&gt;=0.7,"Good",
IF(L326&gt;=0.55,"Moderate",
IF(L326&gt;=0.4,"Low",
"Very Low")))))</f>
        <v>Not Assessed</v>
      </c>
      <c r="O326" s="7" t="str">
        <f t="shared" ref="O326:O328" si="92">IF($D326&lt;&gt;"Valid",
"Failed data validation; excluded from HFSI and requires contextual review in the Health Facility Selection Framework (HFSF).",
"Eligible for contextual assessment using the Health Facility Selection Framework (HFSF).")</f>
        <v>Failed data validation; excluded from HFSI and requires contextual review in the Health Facility Selection Framework (HFSF).</v>
      </c>
    </row>
    <row r="327" spans="1:15" ht="42" customHeight="1">
      <c r="A327" s="7" t="str">
        <f>Derived_Indicators!A327</f>
        <v>Abuja Municipal Area Council</v>
      </c>
      <c r="B327" s="7" t="str">
        <f>Derived_Indicators!B327</f>
        <v>Wuse Ward</v>
      </c>
      <c r="C327" s="7" t="str">
        <f>Derived_Indicators!C327</f>
        <v>Sami Wadata Clinic (Wuse)</v>
      </c>
      <c r="D327" s="7" t="str">
        <f>Derived_Indicators!Q327</f>
        <v>Invalid</v>
      </c>
      <c r="E327" s="23" t="str">
        <f>Derived_Indicators!D327</f>
        <v/>
      </c>
      <c r="F327" s="23" t="str">
        <f>Derived_Indicators!E327</f>
        <v/>
      </c>
      <c r="G327" s="23">
        <f>Derived_Indicators!K327</f>
        <v>1</v>
      </c>
      <c r="H327" s="23">
        <f>Derived_Indicators!M327</f>
        <v>1.4</v>
      </c>
      <c r="I327" s="23">
        <f>Derived_Indicators!N327</f>
        <v>0.88</v>
      </c>
      <c r="J327" s="23" t="str">
        <f t="shared" si="87"/>
        <v/>
      </c>
      <c r="K327" s="23" t="str">
        <f t="shared" si="88"/>
        <v/>
      </c>
      <c r="L327" s="23" t="str">
        <f t="shared" si="89"/>
        <v/>
      </c>
      <c r="M327" s="21" t="str">
        <f t="shared" si="90"/>
        <v/>
      </c>
      <c r="N327" s="7" t="str">
        <f t="shared" si="91"/>
        <v>Not Assessed</v>
      </c>
      <c r="O327" s="7" t="str">
        <f t="shared" si="92"/>
        <v>Failed data validation; excluded from HFSI and requires contextual review in the Health Facility Selection Framework (HFSF).</v>
      </c>
    </row>
    <row r="328" spans="1:15" ht="42" customHeight="1">
      <c r="A328" s="7" t="str">
        <f>Derived_Indicators!A328</f>
        <v>Abuja Municipal Area Council</v>
      </c>
      <c r="B328" s="7" t="str">
        <f>Derived_Indicators!B328</f>
        <v>Wuse Ward</v>
      </c>
      <c r="C328" s="7" t="str">
        <f>Derived_Indicators!C328</f>
        <v>Sauki Private Hospital</v>
      </c>
      <c r="D328" s="7" t="str">
        <f>Derived_Indicators!Q328</f>
        <v>Valid</v>
      </c>
      <c r="E328" s="23">
        <f>Derived_Indicators!D328</f>
        <v>1</v>
      </c>
      <c r="F328" s="23">
        <f>Derived_Indicators!E328</f>
        <v>1</v>
      </c>
      <c r="G328" s="23">
        <f>Derived_Indicators!K328</f>
        <v>0.9135802469135802</v>
      </c>
      <c r="H328" s="23">
        <f>Derived_Indicators!M328</f>
        <v>0.8666666666666667</v>
      </c>
      <c r="I328" s="23">
        <f>Derived_Indicators!N328</f>
        <v>0.66666666666666663</v>
      </c>
      <c r="J328" s="23">
        <f t="shared" si="87"/>
        <v>1</v>
      </c>
      <c r="K328" s="23">
        <f t="shared" si="88"/>
        <v>0.81563786008230454</v>
      </c>
      <c r="L328" s="23">
        <f t="shared" si="89"/>
        <v>0.90781893004115233</v>
      </c>
      <c r="M328" s="21" t="e">
        <f t="shared" si="90"/>
        <v>#REF!</v>
      </c>
      <c r="N328" s="7" t="str">
        <f t="shared" si="91"/>
        <v>Excellent</v>
      </c>
      <c r="O328" s="7" t="str">
        <f t="shared" si="92"/>
        <v>Eligible for contextual assessment using the Health Facility Selection Framework (HFSF).</v>
      </c>
    </row>
    <row r="329" spans="1:15" ht="42" hidden="1" customHeight="1">
      <c r="A329" s="7" t="e">
        <f>#REF!</f>
        <v>#REF!</v>
      </c>
      <c r="B329" s="7" t="e">
        <f>#REF!</f>
        <v>#REF!</v>
      </c>
      <c r="C329" s="7" t="e">
        <f>#REF!</f>
        <v>#REF!</v>
      </c>
      <c r="D329" s="7" t="e">
        <f>#REF!</f>
        <v>#REF!</v>
      </c>
      <c r="E329" s="7" t="e">
        <f>#REF!</f>
        <v>#REF!</v>
      </c>
      <c r="F329" s="7" t="e">
        <f>#REF!</f>
        <v>#REF!</v>
      </c>
      <c r="G329" s="7" t="e">
        <f>#REF!</f>
        <v>#REF!</v>
      </c>
      <c r="H329" s="7" t="e">
        <f>#REF!</f>
        <v>#REF!</v>
      </c>
      <c r="I329" s="7" t="e">
        <f>#REF!</f>
        <v>#REF!</v>
      </c>
      <c r="J329" s="7" t="e">
        <f>IF(D329&lt;&gt;"Valid","",SUM(E329:F329))</f>
        <v>#REF!</v>
      </c>
      <c r="K329" s="7" t="e">
        <f>IF(D329&lt;&gt;"Valid","",SUM(G329:I329))</f>
        <v>#REF!</v>
      </c>
      <c r="L329" s="7" t="e">
        <f>IF($D329&lt;&gt;"Valid",0,IFERROR(AVERAGE(#REF!,#REF!),0))</f>
        <v>#REF!</v>
      </c>
      <c r="M329" s="21" t="str">
        <f>IF(ISNUMBER(L329),_xlfn.RANK.EQ(L329,$L$2:$L$500,0),"")</f>
        <v/>
      </c>
      <c r="N329" s="7" t="e">
        <f>IF(L329=0,
"Not Assessed",
IF(L329&gt;=0.85,"Very High Performance",
IF(L329&gt;=0.7,"High Performance",
IF(L329&gt;=0.55,"Moderate Performance",
IF(L329&gt;=0.4,"Low Performance",
"Very Low Performance")))))</f>
        <v>#REF!</v>
      </c>
      <c r="O329" s="7" t="e">
        <f>IF($L329=0,
"Failed minimum data validation; requires contextual review in FSF.",
"Ready for contextual review in FSF.")</f>
        <v>#REF!</v>
      </c>
    </row>
    <row r="330" spans="1:15" hidden="1">
      <c r="A330" s="7" t="e">
        <f>#REF!</f>
        <v>#REF!</v>
      </c>
      <c r="B330" s="7" t="e">
        <f>#REF!</f>
        <v>#REF!</v>
      </c>
      <c r="C330" s="7" t="e">
        <f>#REF!</f>
        <v>#REF!</v>
      </c>
      <c r="D330" s="7" t="e">
        <f>#REF!</f>
        <v>#REF!</v>
      </c>
      <c r="E330" s="7" t="e">
        <f>#REF!</f>
        <v>#REF!</v>
      </c>
      <c r="F330" s="7" t="e">
        <f>#REF!</f>
        <v>#REF!</v>
      </c>
      <c r="G330" s="7" t="e">
        <f>#REF!</f>
        <v>#REF!</v>
      </c>
      <c r="H330" s="7" t="e">
        <f>#REF!</f>
        <v>#REF!</v>
      </c>
      <c r="I330" s="7" t="e">
        <f>#REF!</f>
        <v>#REF!</v>
      </c>
      <c r="J330" s="7" t="e">
        <f>IF(D330&lt;&gt;"Valid","",SUM(E330:F330))</f>
        <v>#REF!</v>
      </c>
      <c r="K330" s="7" t="e">
        <f>IF(D330&lt;&gt;"Valid","",SUM(G330:I330))</f>
        <v>#REF!</v>
      </c>
      <c r="L330" s="7" t="e">
        <f>IF(D330&lt;&gt;"Valid","",#REF!*0.4+#REF!*0.6)</f>
        <v>#REF!</v>
      </c>
      <c r="M330" s="7"/>
      <c r="N330" s="7" t="e">
        <f>IF(D330&lt;&gt;"Valid","Not Assessed (Insufficient Valid Data)",LOOKUP(L330,tblPerformanceCategory[Min],tblPerformanceCategory[Performance Category]))</f>
        <v>#REF!</v>
      </c>
      <c r="O330" s="7" t="e">
        <f>IF(D330="Valid","Yes","No")</f>
        <v>#REF!</v>
      </c>
    </row>
    <row r="331" spans="1:15" hidden="1">
      <c r="A331" s="7" t="e">
        <f>#REF!</f>
        <v>#REF!</v>
      </c>
      <c r="B331" s="7" t="e">
        <f>#REF!</f>
        <v>#REF!</v>
      </c>
      <c r="C331" s="7" t="e">
        <f>#REF!</f>
        <v>#REF!</v>
      </c>
      <c r="D331" s="7" t="e">
        <f>#REF!</f>
        <v>#REF!</v>
      </c>
      <c r="E331" s="7" t="e">
        <f>#REF!</f>
        <v>#REF!</v>
      </c>
      <c r="F331" s="7" t="e">
        <f>#REF!</f>
        <v>#REF!</v>
      </c>
      <c r="G331" s="7" t="e">
        <f>#REF!</f>
        <v>#REF!</v>
      </c>
      <c r="H331" s="7" t="e">
        <f>#REF!</f>
        <v>#REF!</v>
      </c>
      <c r="I331" s="7" t="e">
        <f>#REF!</f>
        <v>#REF!</v>
      </c>
      <c r="J331" s="7" t="e">
        <f>IF(D331&lt;&gt;"Valid","",SUM(E331:F331))</f>
        <v>#REF!</v>
      </c>
      <c r="K331" s="7" t="e">
        <f>IF(D331&lt;&gt;"Valid","",SUM(G331:I331))</f>
        <v>#REF!</v>
      </c>
      <c r="L331" s="7" t="e">
        <f>IF(D331&lt;&gt;"Valid","",#REF!*0.4+#REF!*0.6)</f>
        <v>#REF!</v>
      </c>
      <c r="M331" s="7"/>
      <c r="N331" s="7" t="e">
        <f>IF(D331&lt;&gt;"Valid","Not Assessed (Insufficient Valid Data)",LOOKUP(L331,tblPerformanceCategory[Min],tblPerformanceCategory[Performance Category]))</f>
        <v>#REF!</v>
      </c>
      <c r="O331" s="7" t="e">
        <f>IF(D331="Valid","Yes","No")</f>
        <v>#REF!</v>
      </c>
    </row>
    <row r="332" spans="1:15" hidden="1">
      <c r="A332" s="7" t="e">
        <f>#REF!</f>
        <v>#REF!</v>
      </c>
      <c r="B332" s="7" t="e">
        <f>#REF!</f>
        <v>#REF!</v>
      </c>
      <c r="C332" s="7" t="e">
        <f>#REF!</f>
        <v>#REF!</v>
      </c>
      <c r="D332" s="7" t="e">
        <f>#REF!</f>
        <v>#REF!</v>
      </c>
      <c r="E332" s="7" t="e">
        <f>#REF!</f>
        <v>#REF!</v>
      </c>
      <c r="F332" s="7" t="e">
        <f>#REF!</f>
        <v>#REF!</v>
      </c>
      <c r="G332" s="7" t="e">
        <f>#REF!</f>
        <v>#REF!</v>
      </c>
      <c r="H332" s="7" t="e">
        <f>#REF!</f>
        <v>#REF!</v>
      </c>
      <c r="I332" s="7" t="e">
        <f>#REF!</f>
        <v>#REF!</v>
      </c>
      <c r="J332" s="7" t="e">
        <f>IF(D332&lt;&gt;"Valid","",SUM(E332:F332))</f>
        <v>#REF!</v>
      </c>
      <c r="K332" s="7" t="e">
        <f>IF(D332&lt;&gt;"Valid","",SUM(G332:I332))</f>
        <v>#REF!</v>
      </c>
      <c r="L332" s="7" t="e">
        <f>IF(D332&lt;&gt;"Valid","",#REF!*0.4+#REF!*0.6)</f>
        <v>#REF!</v>
      </c>
      <c r="M332" s="7"/>
      <c r="N332" s="7" t="e">
        <f>IF(D332&lt;&gt;"Valid","Not Assessed (Insufficient Valid Data)",LOOKUP(L332,tblPerformanceCategory[Min],tblPerformanceCategory[Performance Category]))</f>
        <v>#REF!</v>
      </c>
      <c r="O332" s="7" t="e">
        <f>IF(D332="Valid","Yes","No")</f>
        <v>#REF!</v>
      </c>
    </row>
    <row r="333" spans="1:15" ht="42" hidden="1" customHeight="1">
      <c r="A333" s="7" t="e">
        <f>#REF!</f>
        <v>#REF!</v>
      </c>
      <c r="B333" s="7" t="e">
        <f>#REF!</f>
        <v>#REF!</v>
      </c>
      <c r="C333" s="7" t="e">
        <f>#REF!</f>
        <v>#REF!</v>
      </c>
      <c r="D333" s="7" t="e">
        <f>#REF!</f>
        <v>#REF!</v>
      </c>
      <c r="E333" s="7" t="e">
        <f>#REF!</f>
        <v>#REF!</v>
      </c>
      <c r="F333" s="7" t="e">
        <f>#REF!</f>
        <v>#REF!</v>
      </c>
      <c r="G333" s="7" t="e">
        <f>#REF!</f>
        <v>#REF!</v>
      </c>
      <c r="H333" s="7" t="e">
        <f>#REF!</f>
        <v>#REF!</v>
      </c>
      <c r="I333" s="7" t="e">
        <f>#REF!</f>
        <v>#REF!</v>
      </c>
      <c r="J333" s="7" t="e">
        <f>IF(D333&lt;&gt;"Valid","",SUM(E333:F333))</f>
        <v>#REF!</v>
      </c>
      <c r="K333" s="7" t="e">
        <f>IF(D333&lt;&gt;"Valid","",SUM(G333:I333))</f>
        <v>#REF!</v>
      </c>
      <c r="L333" s="7" t="e">
        <f>IF($D333&lt;&gt;"Valid",0,IFERROR(AVERAGE(#REF!,#REF!),0))</f>
        <v>#REF!</v>
      </c>
      <c r="M333" s="21" t="str">
        <f>IF(ISNUMBER(L333),_xlfn.RANK.EQ(L333,$L$2:$L$500,0),"")</f>
        <v/>
      </c>
      <c r="N333" s="7" t="e">
        <f>IF(L333=0,
"Not Assessed",
IF(L333&gt;=0.85,"Very High Performance",
IF(L333&gt;=0.7,"High Performance",
IF(L333&gt;=0.55,"Moderate Performance",
IF(L333&gt;=0.4,"Low Performance",
"Very Low Performance")))))</f>
        <v>#REF!</v>
      </c>
      <c r="O333" s="7" t="e">
        <f>IF($L333=0,
"Failed minimum data validation; requires contextual review in FSF.",
"Ready for contextual review in FSF.")</f>
        <v>#REF!</v>
      </c>
    </row>
    <row r="334" spans="1:15" ht="42" customHeight="1">
      <c r="A334" s="7" t="str">
        <f>Derived_Indicators!A334</f>
        <v>Bwari Local Government Area</v>
      </c>
      <c r="B334" s="7" t="str">
        <f>Derived_Indicators!B334</f>
        <v>Shere Ward</v>
      </c>
      <c r="C334" s="7" t="str">
        <f>Derived_Indicators!C334</f>
        <v>Sherepe Primary Health Clinic</v>
      </c>
      <c r="D334" s="7" t="str">
        <f>Derived_Indicators!Q334</f>
        <v>Incomplete</v>
      </c>
      <c r="E334" s="23">
        <f>Derived_Indicators!D334</f>
        <v>1</v>
      </c>
      <c r="F334" s="23">
        <f>Derived_Indicators!E334</f>
        <v>0.7</v>
      </c>
      <c r="G334" s="23">
        <f>Derived_Indicators!K334</f>
        <v>1.32</v>
      </c>
      <c r="H334" s="23" t="str">
        <f>Derived_Indicators!M334</f>
        <v/>
      </c>
      <c r="I334" s="23" t="str">
        <f>Derived_Indicators!N334</f>
        <v/>
      </c>
      <c r="J334" s="23" t="str">
        <f>IF($D334&lt;&gt;"Valid","",AVERAGE(E334:F334))</f>
        <v/>
      </c>
      <c r="K334" s="23" t="str">
        <f>IF($D334&lt;&gt;"Valid","",AVERAGE(G334:I334))</f>
        <v/>
      </c>
      <c r="L334" s="23" t="str">
        <f>IF($D334&lt;&gt;"Valid","",AVERAGE(J334,K334))</f>
        <v/>
      </c>
      <c r="M334" s="21" t="str">
        <f>IF(AND($D334="Valid",ISNUMBER(L334)),RANK(L334,$L$2:$L$500,0),"")</f>
        <v/>
      </c>
      <c r="N334" s="7" t="str">
        <f>IF(L334="",
"Not Assessed",
IF(L334&gt;=0.85,"Excellent",
IF(L334&gt;=0.7,"Good",
IF(L334&gt;=0.55,"Moderate",
IF(L334&gt;=0.4,"Low",
"Very Low")))))</f>
        <v>Not Assessed</v>
      </c>
      <c r="O334" s="7" t="str">
        <f>IF($D334&lt;&gt;"Valid",
"Failed data validation; excluded from HFSI and requires contextual review in the Health Facility Selection Framework (HFSF).",
"Eligible for contextual assessment using the Health Facility Selection Framework (HFSF).")</f>
        <v>Failed data validation; excluded from HFSI and requires contextual review in the Health Facility Selection Framework (HFSF).</v>
      </c>
    </row>
    <row r="335" spans="1:15" ht="42" hidden="1" customHeight="1">
      <c r="A335" s="7" t="e">
        <f>#REF!</f>
        <v>#REF!</v>
      </c>
      <c r="B335" s="7" t="e">
        <f>#REF!</f>
        <v>#REF!</v>
      </c>
      <c r="C335" s="7" t="e">
        <f>#REF!</f>
        <v>#REF!</v>
      </c>
      <c r="D335" s="7" t="e">
        <f>#REF!</f>
        <v>#REF!</v>
      </c>
      <c r="E335" s="7" t="e">
        <f>#REF!</f>
        <v>#REF!</v>
      </c>
      <c r="F335" s="7" t="e">
        <f>#REF!</f>
        <v>#REF!</v>
      </c>
      <c r="G335" s="7" t="e">
        <f>#REF!</f>
        <v>#REF!</v>
      </c>
      <c r="H335" s="7" t="e">
        <f>#REF!</f>
        <v>#REF!</v>
      </c>
      <c r="I335" s="7" t="e">
        <f>#REF!</f>
        <v>#REF!</v>
      </c>
      <c r="J335" s="7" t="e">
        <f t="shared" ref="J335:J345" si="93">IF(D335&lt;&gt;"Valid","",SUM(E335:F335))</f>
        <v>#REF!</v>
      </c>
      <c r="K335" s="7" t="e">
        <f t="shared" ref="K335:K345" si="94">IF(D335&lt;&gt;"Valid","",SUM(G335:I335))</f>
        <v>#REF!</v>
      </c>
      <c r="L335" s="7" t="e">
        <f>IF($D335&lt;&gt;"Valid",0,IFERROR(AVERAGE(#REF!,#REF!),0))</f>
        <v>#REF!</v>
      </c>
      <c r="M335" s="21" t="str">
        <f>IF(ISNUMBER(L335),_xlfn.RANK.EQ(L335,$L$2:$L$500,0),"")</f>
        <v/>
      </c>
      <c r="N335" s="7" t="e">
        <f>IF(L335=0,
"Not Assessed",
IF(L335&gt;=0.85,"Very High Performance",
IF(L335&gt;=0.7,"High Performance",
IF(L335&gt;=0.55,"Moderate Performance",
IF(L335&gt;=0.4,"Low Performance",
"Very Low Performance")))))</f>
        <v>#REF!</v>
      </c>
      <c r="O335" s="7" t="e">
        <f>IF($L335=0,
"Failed minimum data validation; requires contextual review in FSF.",
"Ready for contextual review in FSF.")</f>
        <v>#REF!</v>
      </c>
    </row>
    <row r="336" spans="1:15" ht="42" hidden="1" customHeight="1">
      <c r="A336" s="7" t="e">
        <f>#REF!</f>
        <v>#REF!</v>
      </c>
      <c r="B336" s="7" t="e">
        <f>#REF!</f>
        <v>#REF!</v>
      </c>
      <c r="C336" s="7" t="e">
        <f>#REF!</f>
        <v>#REF!</v>
      </c>
      <c r="D336" s="7" t="e">
        <f>#REF!</f>
        <v>#REF!</v>
      </c>
      <c r="E336" s="7" t="e">
        <f>#REF!</f>
        <v>#REF!</v>
      </c>
      <c r="F336" s="7" t="e">
        <f>#REF!</f>
        <v>#REF!</v>
      </c>
      <c r="G336" s="7" t="e">
        <f>#REF!</f>
        <v>#REF!</v>
      </c>
      <c r="H336" s="7" t="e">
        <f>#REF!</f>
        <v>#REF!</v>
      </c>
      <c r="I336" s="7" t="e">
        <f>#REF!</f>
        <v>#REF!</v>
      </c>
      <c r="J336" s="7" t="e">
        <f t="shared" si="93"/>
        <v>#REF!</v>
      </c>
      <c r="K336" s="7" t="e">
        <f t="shared" si="94"/>
        <v>#REF!</v>
      </c>
      <c r="L336" s="7" t="e">
        <f>IF($D336&lt;&gt;"Valid",0,IFERROR(AVERAGE(#REF!,#REF!),0))</f>
        <v>#REF!</v>
      </c>
      <c r="M336" s="21" t="str">
        <f>IF(ISNUMBER(L336),_xlfn.RANK.EQ(L336,$L$2:$L$500,0),"")</f>
        <v/>
      </c>
      <c r="N336" s="7" t="e">
        <f>IF(L336=0,
"Not Assessed",
IF(L336&gt;=0.85,"Very High Performance",
IF(L336&gt;=0.7,"High Performance",
IF(L336&gt;=0.55,"Moderate Performance",
IF(L336&gt;=0.4,"Low Performance",
"Very Low Performance")))))</f>
        <v>#REF!</v>
      </c>
      <c r="O336" s="7" t="e">
        <f>IF($L336=0,
"Failed minimum data validation; requires contextual review in FSF.",
"Ready for contextual review in FSF.")</f>
        <v>#REF!</v>
      </c>
    </row>
    <row r="337" spans="1:15" ht="42" hidden="1" customHeight="1">
      <c r="A337" s="7" t="e">
        <f>#REF!</f>
        <v>#REF!</v>
      </c>
      <c r="B337" s="7" t="e">
        <f>#REF!</f>
        <v>#REF!</v>
      </c>
      <c r="C337" s="7" t="e">
        <f>#REF!</f>
        <v>#REF!</v>
      </c>
      <c r="D337" s="7" t="e">
        <f>#REF!</f>
        <v>#REF!</v>
      </c>
      <c r="E337" s="7" t="e">
        <f>#REF!</f>
        <v>#REF!</v>
      </c>
      <c r="F337" s="7" t="e">
        <f>#REF!</f>
        <v>#REF!</v>
      </c>
      <c r="G337" s="7" t="e">
        <f>#REF!</f>
        <v>#REF!</v>
      </c>
      <c r="H337" s="7" t="e">
        <f>#REF!</f>
        <v>#REF!</v>
      </c>
      <c r="I337" s="7" t="e">
        <f>#REF!</f>
        <v>#REF!</v>
      </c>
      <c r="J337" s="7" t="e">
        <f t="shared" si="93"/>
        <v>#REF!</v>
      </c>
      <c r="K337" s="7" t="e">
        <f t="shared" si="94"/>
        <v>#REF!</v>
      </c>
      <c r="L337" s="7" t="e">
        <f>IF($D337&lt;&gt;"Valid",0,IFERROR(AVERAGE(#REF!,#REF!),0))</f>
        <v>#REF!</v>
      </c>
      <c r="M337" s="21" t="str">
        <f>IF(ISNUMBER(L337),_xlfn.RANK.EQ(L337,$L$2:$L$500,0),"")</f>
        <v/>
      </c>
      <c r="N337" s="7" t="e">
        <f>IF(L337=0,
"Not Assessed",
IF(L337&gt;=0.85,"Very High Performance",
IF(L337&gt;=0.7,"High Performance",
IF(L337&gt;=0.55,"Moderate Performance",
IF(L337&gt;=0.4,"Low Performance",
"Very Low Performance")))))</f>
        <v>#REF!</v>
      </c>
      <c r="O337" s="7" t="e">
        <f>IF($L337=0,
"Failed minimum data validation; requires contextual review in FSF.",
"Ready for contextual review in FSF.")</f>
        <v>#REF!</v>
      </c>
    </row>
    <row r="338" spans="1:15" ht="42" hidden="1" customHeight="1">
      <c r="A338" s="7" t="e">
        <f>#REF!</f>
        <v>#REF!</v>
      </c>
      <c r="B338" s="7" t="e">
        <f>#REF!</f>
        <v>#REF!</v>
      </c>
      <c r="C338" s="7" t="e">
        <f>#REF!</f>
        <v>#REF!</v>
      </c>
      <c r="D338" s="7" t="e">
        <f>#REF!</f>
        <v>#REF!</v>
      </c>
      <c r="E338" s="7" t="e">
        <f>#REF!</f>
        <v>#REF!</v>
      </c>
      <c r="F338" s="7" t="e">
        <f>#REF!</f>
        <v>#REF!</v>
      </c>
      <c r="G338" s="7" t="e">
        <f>#REF!</f>
        <v>#REF!</v>
      </c>
      <c r="H338" s="7" t="e">
        <f>#REF!</f>
        <v>#REF!</v>
      </c>
      <c r="I338" s="7" t="e">
        <f>#REF!</f>
        <v>#REF!</v>
      </c>
      <c r="J338" s="7" t="e">
        <f t="shared" si="93"/>
        <v>#REF!</v>
      </c>
      <c r="K338" s="7" t="e">
        <f t="shared" si="94"/>
        <v>#REF!</v>
      </c>
      <c r="L338" s="7" t="e">
        <f>IF($D338&lt;&gt;"Valid",0,IFERROR(AVERAGE(#REF!,#REF!),0))</f>
        <v>#REF!</v>
      </c>
      <c r="M338" s="21" t="str">
        <f>IF(ISNUMBER(L338),_xlfn.RANK.EQ(L338,$L$2:$L$500,0),"")</f>
        <v/>
      </c>
      <c r="N338" s="7" t="e">
        <f>IF(L338=0,
"Not Assessed",
IF(L338&gt;=0.85,"Very High Performance",
IF(L338&gt;=0.7,"High Performance",
IF(L338&gt;=0.55,"Moderate Performance",
IF(L338&gt;=0.4,"Low Performance",
"Very Low Performance")))))</f>
        <v>#REF!</v>
      </c>
      <c r="O338" s="7" t="e">
        <f>IF($L338=0,
"Failed minimum data validation; requires contextual review in FSF.",
"Ready for contextual review in FSF.")</f>
        <v>#REF!</v>
      </c>
    </row>
    <row r="339" spans="1:15" hidden="1">
      <c r="A339" s="7" t="e">
        <f>#REF!</f>
        <v>#REF!</v>
      </c>
      <c r="B339" s="7" t="e">
        <f>#REF!</f>
        <v>#REF!</v>
      </c>
      <c r="C339" s="7" t="e">
        <f>#REF!</f>
        <v>#REF!</v>
      </c>
      <c r="D339" s="7" t="e">
        <f>#REF!</f>
        <v>#REF!</v>
      </c>
      <c r="E339" s="7" t="e">
        <f>#REF!</f>
        <v>#REF!</v>
      </c>
      <c r="F339" s="7" t="e">
        <f>#REF!</f>
        <v>#REF!</v>
      </c>
      <c r="G339" s="7" t="e">
        <f>#REF!</f>
        <v>#REF!</v>
      </c>
      <c r="H339" s="7" t="e">
        <f>#REF!</f>
        <v>#REF!</v>
      </c>
      <c r="I339" s="7" t="e">
        <f>#REF!</f>
        <v>#REF!</v>
      </c>
      <c r="J339" s="7" t="e">
        <f t="shared" si="93"/>
        <v>#REF!</v>
      </c>
      <c r="K339" s="7" t="e">
        <f t="shared" si="94"/>
        <v>#REF!</v>
      </c>
      <c r="L339" s="7" t="e">
        <f>IF(D339&lt;&gt;"Valid","",#REF!*0.4+#REF!*0.6)</f>
        <v>#REF!</v>
      </c>
      <c r="M339" s="7"/>
      <c r="N339" s="7" t="e">
        <f>IF(D339&lt;&gt;"Valid","Not Assessed (Insufficient Valid Data)",LOOKUP(L339,tblPerformanceCategory[Min],tblPerformanceCategory[Performance Category]))</f>
        <v>#REF!</v>
      </c>
      <c r="O339" s="7" t="e">
        <f>IF(D339="Valid","Yes","No")</f>
        <v>#REF!</v>
      </c>
    </row>
    <row r="340" spans="1:15" hidden="1">
      <c r="A340" s="7" t="e">
        <f>#REF!</f>
        <v>#REF!</v>
      </c>
      <c r="B340" s="7" t="e">
        <f>#REF!</f>
        <v>#REF!</v>
      </c>
      <c r="C340" s="7" t="e">
        <f>#REF!</f>
        <v>#REF!</v>
      </c>
      <c r="D340" s="7" t="e">
        <f>#REF!</f>
        <v>#REF!</v>
      </c>
      <c r="E340" s="7" t="e">
        <f>#REF!</f>
        <v>#REF!</v>
      </c>
      <c r="F340" s="7" t="e">
        <f>#REF!</f>
        <v>#REF!</v>
      </c>
      <c r="G340" s="7" t="e">
        <f>#REF!</f>
        <v>#REF!</v>
      </c>
      <c r="H340" s="7" t="e">
        <f>#REF!</f>
        <v>#REF!</v>
      </c>
      <c r="I340" s="7" t="e">
        <f>#REF!</f>
        <v>#REF!</v>
      </c>
      <c r="J340" s="7" t="e">
        <f t="shared" si="93"/>
        <v>#REF!</v>
      </c>
      <c r="K340" s="7" t="e">
        <f t="shared" si="94"/>
        <v>#REF!</v>
      </c>
      <c r="L340" s="7" t="e">
        <f>IF(D340&lt;&gt;"Valid","",#REF!*0.4+#REF!*0.6)</f>
        <v>#REF!</v>
      </c>
      <c r="M340" s="7"/>
      <c r="N340" s="7" t="e">
        <f>IF(D340&lt;&gt;"Valid","Not Assessed (Insufficient Valid Data)",LOOKUP(L340,tblPerformanceCategory[Min],tblPerformanceCategory[Performance Category]))</f>
        <v>#REF!</v>
      </c>
      <c r="O340" s="7" t="e">
        <f>IF(D340="Valid","Yes","No")</f>
        <v>#REF!</v>
      </c>
    </row>
    <row r="341" spans="1:15" ht="42" hidden="1" customHeight="1">
      <c r="A341" s="7" t="e">
        <f>#REF!</f>
        <v>#REF!</v>
      </c>
      <c r="B341" s="7" t="e">
        <f>#REF!</f>
        <v>#REF!</v>
      </c>
      <c r="C341" s="7" t="e">
        <f>#REF!</f>
        <v>#REF!</v>
      </c>
      <c r="D341" s="7" t="e">
        <f>#REF!</f>
        <v>#REF!</v>
      </c>
      <c r="E341" s="7" t="e">
        <f>#REF!</f>
        <v>#REF!</v>
      </c>
      <c r="F341" s="7" t="e">
        <f>#REF!</f>
        <v>#REF!</v>
      </c>
      <c r="G341" s="7" t="e">
        <f>#REF!</f>
        <v>#REF!</v>
      </c>
      <c r="H341" s="7" t="e">
        <f>#REF!</f>
        <v>#REF!</v>
      </c>
      <c r="I341" s="7" t="e">
        <f>#REF!</f>
        <v>#REF!</v>
      </c>
      <c r="J341" s="7" t="e">
        <f t="shared" si="93"/>
        <v>#REF!</v>
      </c>
      <c r="K341" s="7" t="e">
        <f t="shared" si="94"/>
        <v>#REF!</v>
      </c>
      <c r="L341" s="7" t="e">
        <f>IF($D341&lt;&gt;"Valid",0,IFERROR(AVERAGE(#REF!,#REF!),0))</f>
        <v>#REF!</v>
      </c>
      <c r="M341" s="21" t="str">
        <f>IF(ISNUMBER(L341),_xlfn.RANK.EQ(L341,$L$2:$L$500,0),"")</f>
        <v/>
      </c>
      <c r="N341" s="7" t="e">
        <f>IF(L341=0,
"Not Assessed",
IF(L341&gt;=0.85,"Very High Performance",
IF(L341&gt;=0.7,"High Performance",
IF(L341&gt;=0.55,"Moderate Performance",
IF(L341&gt;=0.4,"Low Performance",
"Very Low Performance")))))</f>
        <v>#REF!</v>
      </c>
      <c r="O341" s="7" t="e">
        <f>IF($L341=0,
"Failed minimum data validation; requires contextual review in FSF.",
"Ready for contextual review in FSF.")</f>
        <v>#REF!</v>
      </c>
    </row>
    <row r="342" spans="1:15" hidden="1">
      <c r="A342" s="7" t="e">
        <f>#REF!</f>
        <v>#REF!</v>
      </c>
      <c r="B342" s="7" t="e">
        <f>#REF!</f>
        <v>#REF!</v>
      </c>
      <c r="C342" s="7" t="e">
        <f>#REF!</f>
        <v>#REF!</v>
      </c>
      <c r="D342" s="7" t="e">
        <f>#REF!</f>
        <v>#REF!</v>
      </c>
      <c r="E342" s="7" t="e">
        <f>#REF!</f>
        <v>#REF!</v>
      </c>
      <c r="F342" s="7" t="e">
        <f>#REF!</f>
        <v>#REF!</v>
      </c>
      <c r="G342" s="7" t="e">
        <f>#REF!</f>
        <v>#REF!</v>
      </c>
      <c r="H342" s="7" t="e">
        <f>#REF!</f>
        <v>#REF!</v>
      </c>
      <c r="I342" s="7" t="e">
        <f>#REF!</f>
        <v>#REF!</v>
      </c>
      <c r="J342" s="7" t="e">
        <f t="shared" si="93"/>
        <v>#REF!</v>
      </c>
      <c r="K342" s="7" t="e">
        <f t="shared" si="94"/>
        <v>#REF!</v>
      </c>
      <c r="L342" s="7" t="e">
        <f>IF(D342&lt;&gt;"Valid","",#REF!*0.4+#REF!*0.6)</f>
        <v>#REF!</v>
      </c>
      <c r="M342" s="7"/>
      <c r="N342" s="7" t="e">
        <f>IF(D342&lt;&gt;"Valid","Not Assessed (Insufficient Valid Data)",LOOKUP(L342,tblPerformanceCategory[Min],tblPerformanceCategory[Performance Category]))</f>
        <v>#REF!</v>
      </c>
      <c r="O342" s="7" t="e">
        <f>IF(D342="Valid","Yes","No")</f>
        <v>#REF!</v>
      </c>
    </row>
    <row r="343" spans="1:15" ht="42" hidden="1" customHeight="1">
      <c r="A343" s="7" t="e">
        <f>#REF!</f>
        <v>#REF!</v>
      </c>
      <c r="B343" s="7" t="e">
        <f>#REF!</f>
        <v>#REF!</v>
      </c>
      <c r="C343" s="7" t="e">
        <f>#REF!</f>
        <v>#REF!</v>
      </c>
      <c r="D343" s="7" t="e">
        <f>#REF!</f>
        <v>#REF!</v>
      </c>
      <c r="E343" s="7" t="e">
        <f>#REF!</f>
        <v>#REF!</v>
      </c>
      <c r="F343" s="7" t="e">
        <f>#REF!</f>
        <v>#REF!</v>
      </c>
      <c r="G343" s="7" t="e">
        <f>#REF!</f>
        <v>#REF!</v>
      </c>
      <c r="H343" s="7" t="e">
        <f>#REF!</f>
        <v>#REF!</v>
      </c>
      <c r="I343" s="7" t="e">
        <f>#REF!</f>
        <v>#REF!</v>
      </c>
      <c r="J343" s="7" t="e">
        <f t="shared" si="93"/>
        <v>#REF!</v>
      </c>
      <c r="K343" s="7" t="e">
        <f t="shared" si="94"/>
        <v>#REF!</v>
      </c>
      <c r="L343" s="7" t="e">
        <f>IF($D343&lt;&gt;"Valid",0,IFERROR(AVERAGE(#REF!,#REF!),0))</f>
        <v>#REF!</v>
      </c>
      <c r="M343" s="21" t="str">
        <f>IF(ISNUMBER(L343),_xlfn.RANK.EQ(L343,$L$2:$L$500,0),"")</f>
        <v/>
      </c>
      <c r="N343" s="7" t="e">
        <f>IF(L343=0,
"Not Assessed",
IF(L343&gt;=0.85,"Very High Performance",
IF(L343&gt;=0.7,"High Performance",
IF(L343&gt;=0.55,"Moderate Performance",
IF(L343&gt;=0.4,"Low Performance",
"Very Low Performance")))))</f>
        <v>#REF!</v>
      </c>
      <c r="O343" s="7" t="e">
        <f>IF($L343=0,
"Failed minimum data validation; requires contextual review in FSF.",
"Ready for contextual review in FSF.")</f>
        <v>#REF!</v>
      </c>
    </row>
    <row r="344" spans="1:15" ht="42" hidden="1" customHeight="1">
      <c r="A344" s="7" t="e">
        <f>#REF!</f>
        <v>#REF!</v>
      </c>
      <c r="B344" s="7" t="e">
        <f>#REF!</f>
        <v>#REF!</v>
      </c>
      <c r="C344" s="7" t="e">
        <f>#REF!</f>
        <v>#REF!</v>
      </c>
      <c r="D344" s="7" t="e">
        <f>#REF!</f>
        <v>#REF!</v>
      </c>
      <c r="E344" s="7" t="e">
        <f>#REF!</f>
        <v>#REF!</v>
      </c>
      <c r="F344" s="7" t="e">
        <f>#REF!</f>
        <v>#REF!</v>
      </c>
      <c r="G344" s="7" t="e">
        <f>#REF!</f>
        <v>#REF!</v>
      </c>
      <c r="H344" s="7" t="e">
        <f>#REF!</f>
        <v>#REF!</v>
      </c>
      <c r="I344" s="7" t="e">
        <f>#REF!</f>
        <v>#REF!</v>
      </c>
      <c r="J344" s="7" t="e">
        <f t="shared" si="93"/>
        <v>#REF!</v>
      </c>
      <c r="K344" s="7" t="e">
        <f t="shared" si="94"/>
        <v>#REF!</v>
      </c>
      <c r="L344" s="7" t="e">
        <f>IF($D344&lt;&gt;"Valid",0,IFERROR(AVERAGE(#REF!,#REF!),0))</f>
        <v>#REF!</v>
      </c>
      <c r="M344" s="21" t="str">
        <f>IF(ISNUMBER(L344),_xlfn.RANK.EQ(L344,$L$2:$L$500,0),"")</f>
        <v/>
      </c>
      <c r="N344" s="7" t="e">
        <f>IF(L344=0,
"Not Assessed",
IF(L344&gt;=0.85,"Very High Performance",
IF(L344&gt;=0.7,"High Performance",
IF(L344&gt;=0.55,"Moderate Performance",
IF(L344&gt;=0.4,"Low Performance",
"Very Low Performance")))))</f>
        <v>#REF!</v>
      </c>
      <c r="O344" s="7" t="e">
        <f>IF($L344=0,
"Failed minimum data validation; requires contextual review in FSF.",
"Ready for contextual review in FSF.")</f>
        <v>#REF!</v>
      </c>
    </row>
    <row r="345" spans="1:15" ht="42" hidden="1" customHeight="1">
      <c r="A345" s="7" t="e">
        <f>#REF!</f>
        <v>#REF!</v>
      </c>
      <c r="B345" s="7" t="e">
        <f>#REF!</f>
        <v>#REF!</v>
      </c>
      <c r="C345" s="7" t="e">
        <f>#REF!</f>
        <v>#REF!</v>
      </c>
      <c r="D345" s="7" t="e">
        <f>#REF!</f>
        <v>#REF!</v>
      </c>
      <c r="E345" s="7" t="e">
        <f>#REF!</f>
        <v>#REF!</v>
      </c>
      <c r="F345" s="7" t="e">
        <f>#REF!</f>
        <v>#REF!</v>
      </c>
      <c r="G345" s="7" t="e">
        <f>#REF!</f>
        <v>#REF!</v>
      </c>
      <c r="H345" s="7" t="e">
        <f>#REF!</f>
        <v>#REF!</v>
      </c>
      <c r="I345" s="7" t="e">
        <f>#REF!</f>
        <v>#REF!</v>
      </c>
      <c r="J345" s="7" t="e">
        <f t="shared" si="93"/>
        <v>#REF!</v>
      </c>
      <c r="K345" s="7" t="e">
        <f t="shared" si="94"/>
        <v>#REF!</v>
      </c>
      <c r="L345" s="7" t="e">
        <f>IF($D345&lt;&gt;"Valid",0,IFERROR(AVERAGE(#REF!,#REF!),0))</f>
        <v>#REF!</v>
      </c>
      <c r="M345" s="21" t="str">
        <f>IF(ISNUMBER(L345),_xlfn.RANK.EQ(L345,$L$2:$L$500,0),"")</f>
        <v/>
      </c>
      <c r="N345" s="7" t="e">
        <f>IF(L345=0,
"Not Assessed",
IF(L345&gt;=0.85,"Very High Performance",
IF(L345&gt;=0.7,"High Performance",
IF(L345&gt;=0.55,"Moderate Performance",
IF(L345&gt;=0.4,"Low Performance",
"Very Low Performance")))))</f>
        <v>#REF!</v>
      </c>
      <c r="O345" s="7" t="e">
        <f>IF($L345=0,
"Failed minimum data validation; requires contextual review in FSF.",
"Ready for contextual review in FSF.")</f>
        <v>#REF!</v>
      </c>
    </row>
    <row r="346" spans="1:15" ht="42" customHeight="1">
      <c r="A346" s="7" t="str">
        <f>Derived_Indicators!A346</f>
        <v>Abuja Municipal Area Council</v>
      </c>
      <c r="B346" s="7" t="str">
        <f>Derived_Indicators!B346</f>
        <v>Kabusa Ward</v>
      </c>
      <c r="C346" s="7" t="str">
        <f>Derived_Indicators!C346</f>
        <v>Talek Clinic</v>
      </c>
      <c r="D346" s="7" t="str">
        <f>Derived_Indicators!Q346</f>
        <v>Invalid</v>
      </c>
      <c r="E346" s="23" t="str">
        <f>Derived_Indicators!D346</f>
        <v/>
      </c>
      <c r="F346" s="23" t="str">
        <f>Derived_Indicators!E346</f>
        <v/>
      </c>
      <c r="G346" s="23">
        <f>Derived_Indicators!K346</f>
        <v>1.0247524752475248</v>
      </c>
      <c r="H346" s="23">
        <f>Derived_Indicators!M346</f>
        <v>0.36764705882352944</v>
      </c>
      <c r="I346" s="23">
        <f>Derived_Indicators!N346</f>
        <v>0.38235294117647056</v>
      </c>
      <c r="J346" s="23" t="str">
        <f t="shared" ref="J346:J347" si="95">IF($D346&lt;&gt;"Valid","",AVERAGE(E346:F346))</f>
        <v/>
      </c>
      <c r="K346" s="23" t="str">
        <f t="shared" ref="K346:K347" si="96">IF($D346&lt;&gt;"Valid","",AVERAGE(G346:I346))</f>
        <v/>
      </c>
      <c r="L346" s="23" t="str">
        <f t="shared" ref="L346:L347" si="97">IF($D346&lt;&gt;"Valid","",AVERAGE(J346,K346))</f>
        <v/>
      </c>
      <c r="M346" s="21" t="str">
        <f t="shared" ref="M346:M347" si="98">IF(AND($D346="Valid",ISNUMBER(L346)),RANK(L346,$L$2:$L$500,0),"")</f>
        <v/>
      </c>
      <c r="N346" s="7" t="str">
        <f t="shared" ref="N346:N347" si="99">IF(L346="",
"Not Assessed",
IF(L346&gt;=0.85,"Excellent",
IF(L346&gt;=0.7,"Good",
IF(L346&gt;=0.55,"Moderate",
IF(L346&gt;=0.4,"Low",
"Very Low")))))</f>
        <v>Not Assessed</v>
      </c>
      <c r="O346" s="7" t="str">
        <f t="shared" ref="O346:O347" si="100">IF($D346&lt;&gt;"Valid",
"Failed data validation; excluded from HFSI and requires contextual review in the Health Facility Selection Framework (HFSF).",
"Eligible for contextual assessment using the Health Facility Selection Framework (HFSF).")</f>
        <v>Failed data validation; excluded from HFSI and requires contextual review in the Health Facility Selection Framework (HFSF).</v>
      </c>
    </row>
    <row r="347" spans="1:15" ht="42" customHeight="1">
      <c r="A347" s="7" t="str">
        <f>Derived_Indicators!A347</f>
        <v>Abuja Municipal Area Council</v>
      </c>
      <c r="B347" s="7" t="str">
        <f>Derived_Indicators!B347</f>
        <v>Kabusa Ward</v>
      </c>
      <c r="C347" s="7" t="str">
        <f>Derived_Indicators!C347</f>
        <v>Taprobane Medical Centre</v>
      </c>
      <c r="D347" s="7" t="str">
        <f>Derived_Indicators!Q347</f>
        <v>No Data</v>
      </c>
      <c r="E347" s="23">
        <f>Derived_Indicators!D347</f>
        <v>0.5</v>
      </c>
      <c r="F347" s="23" t="str">
        <f>Derived_Indicators!E347</f>
        <v/>
      </c>
      <c r="G347" s="23" t="str">
        <f>Derived_Indicators!K347</f>
        <v/>
      </c>
      <c r="H347" s="23" t="str">
        <f>Derived_Indicators!M347</f>
        <v/>
      </c>
      <c r="I347" s="23" t="str">
        <f>Derived_Indicators!N347</f>
        <v/>
      </c>
      <c r="J347" s="23" t="str">
        <f t="shared" si="95"/>
        <v/>
      </c>
      <c r="K347" s="23" t="str">
        <f t="shared" si="96"/>
        <v/>
      </c>
      <c r="L347" s="23" t="str">
        <f t="shared" si="97"/>
        <v/>
      </c>
      <c r="M347" s="21" t="str">
        <f t="shared" si="98"/>
        <v/>
      </c>
      <c r="N347" s="7" t="str">
        <f t="shared" si="99"/>
        <v>Not Assessed</v>
      </c>
      <c r="O347" s="7" t="str">
        <f t="shared" si="100"/>
        <v>Failed data validation; excluded from HFSI and requires contextual review in the Health Facility Selection Framework (HFSF).</v>
      </c>
    </row>
    <row r="348" spans="1:15" hidden="1">
      <c r="A348" s="7" t="e">
        <f>#REF!</f>
        <v>#REF!</v>
      </c>
      <c r="B348" s="7" t="e">
        <f>#REF!</f>
        <v>#REF!</v>
      </c>
      <c r="C348" s="7" t="e">
        <f>#REF!</f>
        <v>#REF!</v>
      </c>
      <c r="D348" s="7" t="e">
        <f>#REF!</f>
        <v>#REF!</v>
      </c>
      <c r="E348" s="7" t="e">
        <f>#REF!</f>
        <v>#REF!</v>
      </c>
      <c r="F348" s="7" t="e">
        <f>#REF!</f>
        <v>#REF!</v>
      </c>
      <c r="G348" s="7" t="e">
        <f>#REF!</f>
        <v>#REF!</v>
      </c>
      <c r="H348" s="7" t="e">
        <f>#REF!</f>
        <v>#REF!</v>
      </c>
      <c r="I348" s="7" t="e">
        <f>#REF!</f>
        <v>#REF!</v>
      </c>
      <c r="J348" s="7" t="e">
        <f t="shared" ref="J348:J367" si="101">IF(D348&lt;&gt;"Valid","",SUM(E348:F348))</f>
        <v>#REF!</v>
      </c>
      <c r="K348" s="7" t="e">
        <f t="shared" ref="K348:K367" si="102">IF(D348&lt;&gt;"Valid","",SUM(G348:I348))</f>
        <v>#REF!</v>
      </c>
      <c r="L348" s="7" t="e">
        <f>IF(D348&lt;&gt;"Valid","",#REF!*0.4+#REF!*0.6)</f>
        <v>#REF!</v>
      </c>
      <c r="M348" s="7"/>
      <c r="N348" s="7" t="e">
        <f>IF(D348&lt;&gt;"Valid","Not Assessed (Insufficient Valid Data)",LOOKUP(L348,tblPerformanceCategory[Min],tblPerformanceCategory[Performance Category]))</f>
        <v>#REF!</v>
      </c>
      <c r="O348" s="7" t="e">
        <f>IF(D348="Valid","Yes","No")</f>
        <v>#REF!</v>
      </c>
    </row>
    <row r="349" spans="1:15" ht="42" hidden="1" customHeight="1">
      <c r="A349" s="7" t="e">
        <f>#REF!</f>
        <v>#REF!</v>
      </c>
      <c r="B349" s="7" t="e">
        <f>#REF!</f>
        <v>#REF!</v>
      </c>
      <c r="C349" s="7" t="e">
        <f>#REF!</f>
        <v>#REF!</v>
      </c>
      <c r="D349" s="7" t="e">
        <f>#REF!</f>
        <v>#REF!</v>
      </c>
      <c r="E349" s="7" t="e">
        <f>#REF!</f>
        <v>#REF!</v>
      </c>
      <c r="F349" s="7" t="e">
        <f>#REF!</f>
        <v>#REF!</v>
      </c>
      <c r="G349" s="7" t="e">
        <f>#REF!</f>
        <v>#REF!</v>
      </c>
      <c r="H349" s="7" t="e">
        <f>#REF!</f>
        <v>#REF!</v>
      </c>
      <c r="I349" s="7" t="e">
        <f>#REF!</f>
        <v>#REF!</v>
      </c>
      <c r="J349" s="7" t="e">
        <f t="shared" si="101"/>
        <v>#REF!</v>
      </c>
      <c r="K349" s="7" t="e">
        <f t="shared" si="102"/>
        <v>#REF!</v>
      </c>
      <c r="L349" s="7" t="e">
        <f>IF($D349&lt;&gt;"Valid",0,IFERROR(AVERAGE(#REF!,#REF!),0))</f>
        <v>#REF!</v>
      </c>
      <c r="M349" s="21" t="str">
        <f>IF(ISNUMBER(L349),_xlfn.RANK.EQ(L349,$L$2:$L$500,0),"")</f>
        <v/>
      </c>
      <c r="N349" s="7" t="e">
        <f>IF(L349=0,
"Not Assessed",
IF(L349&gt;=0.85,"Very High Performance",
IF(L349&gt;=0.7,"High Performance",
IF(L349&gt;=0.55,"Moderate Performance",
IF(L349&gt;=0.4,"Low Performance",
"Very Low Performance")))))</f>
        <v>#REF!</v>
      </c>
      <c r="O349" s="7" t="e">
        <f>IF($L349=0,
"Failed minimum data validation; requires contextual review in FSF.",
"Ready for contextual review in FSF.")</f>
        <v>#REF!</v>
      </c>
    </row>
    <row r="350" spans="1:15" ht="42" hidden="1" customHeight="1">
      <c r="A350" s="7" t="e">
        <f>#REF!</f>
        <v>#REF!</v>
      </c>
      <c r="B350" s="7" t="e">
        <f>#REF!</f>
        <v>#REF!</v>
      </c>
      <c r="C350" s="7" t="e">
        <f>#REF!</f>
        <v>#REF!</v>
      </c>
      <c r="D350" s="7" t="e">
        <f>#REF!</f>
        <v>#REF!</v>
      </c>
      <c r="E350" s="7" t="e">
        <f>#REF!</f>
        <v>#REF!</v>
      </c>
      <c r="F350" s="7" t="e">
        <f>#REF!</f>
        <v>#REF!</v>
      </c>
      <c r="G350" s="7" t="e">
        <f>#REF!</f>
        <v>#REF!</v>
      </c>
      <c r="H350" s="7" t="e">
        <f>#REF!</f>
        <v>#REF!</v>
      </c>
      <c r="I350" s="7" t="e">
        <f>#REF!</f>
        <v>#REF!</v>
      </c>
      <c r="J350" s="7" t="e">
        <f t="shared" si="101"/>
        <v>#REF!</v>
      </c>
      <c r="K350" s="7" t="e">
        <f t="shared" si="102"/>
        <v>#REF!</v>
      </c>
      <c r="L350" s="7" t="e">
        <f>IF($D350&lt;&gt;"Valid",0,IFERROR(AVERAGE(#REF!,#REF!),0))</f>
        <v>#REF!</v>
      </c>
      <c r="M350" s="21" t="str">
        <f>IF(ISNUMBER(L350),_xlfn.RANK.EQ(L350,$L$2:$L$500,0),"")</f>
        <v/>
      </c>
      <c r="N350" s="7" t="e">
        <f>IF(L350=0,
"Not Assessed",
IF(L350&gt;=0.85,"Very High Performance",
IF(L350&gt;=0.7,"High Performance",
IF(L350&gt;=0.55,"Moderate Performance",
IF(L350&gt;=0.4,"Low Performance",
"Very Low Performance")))))</f>
        <v>#REF!</v>
      </c>
      <c r="O350" s="7" t="e">
        <f>IF($L350=0,
"Failed minimum data validation; requires contextual review in FSF.",
"Ready for contextual review in FSF.")</f>
        <v>#REF!</v>
      </c>
    </row>
    <row r="351" spans="1:15" ht="42" hidden="1" customHeight="1">
      <c r="A351" s="7" t="e">
        <f>#REF!</f>
        <v>#REF!</v>
      </c>
      <c r="B351" s="7" t="e">
        <f>#REF!</f>
        <v>#REF!</v>
      </c>
      <c r="C351" s="7" t="e">
        <f>#REF!</f>
        <v>#REF!</v>
      </c>
      <c r="D351" s="7" t="e">
        <f>#REF!</f>
        <v>#REF!</v>
      </c>
      <c r="E351" s="7" t="e">
        <f>#REF!</f>
        <v>#REF!</v>
      </c>
      <c r="F351" s="7" t="e">
        <f>#REF!</f>
        <v>#REF!</v>
      </c>
      <c r="G351" s="7" t="e">
        <f>#REF!</f>
        <v>#REF!</v>
      </c>
      <c r="H351" s="7" t="e">
        <f>#REF!</f>
        <v>#REF!</v>
      </c>
      <c r="I351" s="7" t="e">
        <f>#REF!</f>
        <v>#REF!</v>
      </c>
      <c r="J351" s="7" t="e">
        <f t="shared" si="101"/>
        <v>#REF!</v>
      </c>
      <c r="K351" s="7" t="e">
        <f t="shared" si="102"/>
        <v>#REF!</v>
      </c>
      <c r="L351" s="7" t="e">
        <f>IF($D351&lt;&gt;"Valid",0,IFERROR(AVERAGE(#REF!,#REF!),0))</f>
        <v>#REF!</v>
      </c>
      <c r="M351" s="21" t="str">
        <f>IF(ISNUMBER(L351),_xlfn.RANK.EQ(L351,$L$2:$L$500,0),"")</f>
        <v/>
      </c>
      <c r="N351" s="7" t="e">
        <f>IF(L351=0,
"Not Assessed",
IF(L351&gt;=0.85,"Very High Performance",
IF(L351&gt;=0.7,"High Performance",
IF(L351&gt;=0.55,"Moderate Performance",
IF(L351&gt;=0.4,"Low Performance",
"Very Low Performance")))))</f>
        <v>#REF!</v>
      </c>
      <c r="O351" s="7" t="e">
        <f>IF($L351=0,
"Failed minimum data validation; requires contextual review in FSF.",
"Ready for contextual review in FSF.")</f>
        <v>#REF!</v>
      </c>
    </row>
    <row r="352" spans="1:15" ht="42" hidden="1" customHeight="1">
      <c r="A352" s="7" t="e">
        <f>#REF!</f>
        <v>#REF!</v>
      </c>
      <c r="B352" s="7" t="e">
        <f>#REF!</f>
        <v>#REF!</v>
      </c>
      <c r="C352" s="7" t="e">
        <f>#REF!</f>
        <v>#REF!</v>
      </c>
      <c r="D352" s="7" t="e">
        <f>#REF!</f>
        <v>#REF!</v>
      </c>
      <c r="E352" s="7" t="e">
        <f>#REF!</f>
        <v>#REF!</v>
      </c>
      <c r="F352" s="7" t="e">
        <f>#REF!</f>
        <v>#REF!</v>
      </c>
      <c r="G352" s="7" t="e">
        <f>#REF!</f>
        <v>#REF!</v>
      </c>
      <c r="H352" s="7" t="e">
        <f>#REF!</f>
        <v>#REF!</v>
      </c>
      <c r="I352" s="7" t="e">
        <f>#REF!</f>
        <v>#REF!</v>
      </c>
      <c r="J352" s="7" t="e">
        <f t="shared" si="101"/>
        <v>#REF!</v>
      </c>
      <c r="K352" s="7" t="e">
        <f t="shared" si="102"/>
        <v>#REF!</v>
      </c>
      <c r="L352" s="7" t="e">
        <f>IF($D352&lt;&gt;"Valid",0,IFERROR(AVERAGE(#REF!,#REF!),0))</f>
        <v>#REF!</v>
      </c>
      <c r="M352" s="21" t="str">
        <f>IF(ISNUMBER(L352),_xlfn.RANK.EQ(L352,$L$2:$L$500,0),"")</f>
        <v/>
      </c>
      <c r="N352" s="7" t="e">
        <f>IF(L352=0,
"Not Assessed",
IF(L352&gt;=0.85,"Very High Performance",
IF(L352&gt;=0.7,"High Performance",
IF(L352&gt;=0.55,"Moderate Performance",
IF(L352&gt;=0.4,"Low Performance",
"Very Low Performance")))))</f>
        <v>#REF!</v>
      </c>
      <c r="O352" s="7" t="e">
        <f>IF($L352=0,
"Failed minimum data validation; requires contextual review in FSF.",
"Ready for contextual review in FSF.")</f>
        <v>#REF!</v>
      </c>
    </row>
    <row r="353" spans="1:15" hidden="1">
      <c r="A353" s="7" t="e">
        <f>#REF!</f>
        <v>#REF!</v>
      </c>
      <c r="B353" s="7" t="e">
        <f>#REF!</f>
        <v>#REF!</v>
      </c>
      <c r="C353" s="7" t="e">
        <f>#REF!</f>
        <v>#REF!</v>
      </c>
      <c r="D353" s="7" t="e">
        <f>#REF!</f>
        <v>#REF!</v>
      </c>
      <c r="E353" s="7" t="e">
        <f>#REF!</f>
        <v>#REF!</v>
      </c>
      <c r="F353" s="7" t="e">
        <f>#REF!</f>
        <v>#REF!</v>
      </c>
      <c r="G353" s="7" t="e">
        <f>#REF!</f>
        <v>#REF!</v>
      </c>
      <c r="H353" s="7" t="e">
        <f>#REF!</f>
        <v>#REF!</v>
      </c>
      <c r="I353" s="7" t="e">
        <f>#REF!</f>
        <v>#REF!</v>
      </c>
      <c r="J353" s="7" t="e">
        <f t="shared" si="101"/>
        <v>#REF!</v>
      </c>
      <c r="K353" s="7" t="e">
        <f t="shared" si="102"/>
        <v>#REF!</v>
      </c>
      <c r="L353" s="7" t="e">
        <f>IF(D353&lt;&gt;"Valid","",#REF!*0.4+#REF!*0.6)</f>
        <v>#REF!</v>
      </c>
      <c r="M353" s="7"/>
      <c r="N353" s="7" t="e">
        <f>IF(D353&lt;&gt;"Valid","Not Assessed (Insufficient Valid Data)",LOOKUP(L353,tblPerformanceCategory[Min],tblPerformanceCategory[Performance Category]))</f>
        <v>#REF!</v>
      </c>
      <c r="O353" s="7" t="e">
        <f>IF(D353="Valid","Yes","No")</f>
        <v>#REF!</v>
      </c>
    </row>
    <row r="354" spans="1:15" ht="42" hidden="1" customHeight="1">
      <c r="A354" s="7" t="e">
        <f>#REF!</f>
        <v>#REF!</v>
      </c>
      <c r="B354" s="7" t="e">
        <f>#REF!</f>
        <v>#REF!</v>
      </c>
      <c r="C354" s="7" t="e">
        <f>#REF!</f>
        <v>#REF!</v>
      </c>
      <c r="D354" s="7" t="e">
        <f>#REF!</f>
        <v>#REF!</v>
      </c>
      <c r="E354" s="7" t="e">
        <f>#REF!</f>
        <v>#REF!</v>
      </c>
      <c r="F354" s="7" t="e">
        <f>#REF!</f>
        <v>#REF!</v>
      </c>
      <c r="G354" s="7" t="e">
        <f>#REF!</f>
        <v>#REF!</v>
      </c>
      <c r="H354" s="7" t="e">
        <f>#REF!</f>
        <v>#REF!</v>
      </c>
      <c r="I354" s="7" t="e">
        <f>#REF!</f>
        <v>#REF!</v>
      </c>
      <c r="J354" s="7" t="e">
        <f t="shared" si="101"/>
        <v>#REF!</v>
      </c>
      <c r="K354" s="7" t="e">
        <f t="shared" si="102"/>
        <v>#REF!</v>
      </c>
      <c r="L354" s="7" t="e">
        <f>IF($D354&lt;&gt;"Valid",0,IFERROR(AVERAGE(#REF!,#REF!),0))</f>
        <v>#REF!</v>
      </c>
      <c r="M354" s="21" t="str">
        <f>IF(ISNUMBER(L354),_xlfn.RANK.EQ(L354,$L$2:$L$500,0),"")</f>
        <v/>
      </c>
      <c r="N354" s="7" t="e">
        <f>IF(L354=0,
"Not Assessed",
IF(L354&gt;=0.85,"Very High Performance",
IF(L354&gt;=0.7,"High Performance",
IF(L354&gt;=0.55,"Moderate Performance",
IF(L354&gt;=0.4,"Low Performance",
"Very Low Performance")))))</f>
        <v>#REF!</v>
      </c>
      <c r="O354" s="7" t="e">
        <f>IF($L354=0,
"Failed minimum data validation; requires contextual review in FSF.",
"Ready for contextual review in FSF.")</f>
        <v>#REF!</v>
      </c>
    </row>
    <row r="355" spans="1:15" hidden="1">
      <c r="A355" s="7" t="e">
        <f>#REF!</f>
        <v>#REF!</v>
      </c>
      <c r="B355" s="7" t="e">
        <f>#REF!</f>
        <v>#REF!</v>
      </c>
      <c r="C355" s="7" t="e">
        <f>#REF!</f>
        <v>#REF!</v>
      </c>
      <c r="D355" s="7" t="e">
        <f>#REF!</f>
        <v>#REF!</v>
      </c>
      <c r="E355" s="7" t="e">
        <f>#REF!</f>
        <v>#REF!</v>
      </c>
      <c r="F355" s="7" t="e">
        <f>#REF!</f>
        <v>#REF!</v>
      </c>
      <c r="G355" s="7" t="e">
        <f>#REF!</f>
        <v>#REF!</v>
      </c>
      <c r="H355" s="7" t="e">
        <f>#REF!</f>
        <v>#REF!</v>
      </c>
      <c r="I355" s="7" t="e">
        <f>#REF!</f>
        <v>#REF!</v>
      </c>
      <c r="J355" s="7" t="e">
        <f t="shared" si="101"/>
        <v>#REF!</v>
      </c>
      <c r="K355" s="7" t="e">
        <f t="shared" si="102"/>
        <v>#REF!</v>
      </c>
      <c r="L355" s="7" t="e">
        <f>IF(D355&lt;&gt;"Valid","",#REF!*0.4+#REF!*0.6)</f>
        <v>#REF!</v>
      </c>
      <c r="M355" s="7"/>
      <c r="N355" s="7" t="e">
        <f>IF(D355&lt;&gt;"Valid","Not Assessed (Insufficient Valid Data)",LOOKUP(L355,tblPerformanceCategory[Min],tblPerformanceCategory[Performance Category]))</f>
        <v>#REF!</v>
      </c>
      <c r="O355" s="7" t="e">
        <f>IF(D355="Valid","Yes","No")</f>
        <v>#REF!</v>
      </c>
    </row>
    <row r="356" spans="1:15" hidden="1">
      <c r="A356" s="7" t="e">
        <f>#REF!</f>
        <v>#REF!</v>
      </c>
      <c r="B356" s="7" t="e">
        <f>#REF!</f>
        <v>#REF!</v>
      </c>
      <c r="C356" s="7" t="e">
        <f>#REF!</f>
        <v>#REF!</v>
      </c>
      <c r="D356" s="7" t="e">
        <f>#REF!</f>
        <v>#REF!</v>
      </c>
      <c r="E356" s="7" t="e">
        <f>#REF!</f>
        <v>#REF!</v>
      </c>
      <c r="F356" s="7" t="e">
        <f>#REF!</f>
        <v>#REF!</v>
      </c>
      <c r="G356" s="7" t="e">
        <f>#REF!</f>
        <v>#REF!</v>
      </c>
      <c r="H356" s="7" t="e">
        <f>#REF!</f>
        <v>#REF!</v>
      </c>
      <c r="I356" s="7" t="e">
        <f>#REF!</f>
        <v>#REF!</v>
      </c>
      <c r="J356" s="7" t="e">
        <f t="shared" si="101"/>
        <v>#REF!</v>
      </c>
      <c r="K356" s="7" t="e">
        <f t="shared" si="102"/>
        <v>#REF!</v>
      </c>
      <c r="L356" s="7" t="e">
        <f>IF(D356&lt;&gt;"Valid","",#REF!*0.4+#REF!*0.6)</f>
        <v>#REF!</v>
      </c>
      <c r="M356" s="7"/>
      <c r="N356" s="7" t="e">
        <f>IF(D356&lt;&gt;"Valid","Not Assessed (Insufficient Valid Data)",LOOKUP(L356,tblPerformanceCategory[Min],tblPerformanceCategory[Performance Category]))</f>
        <v>#REF!</v>
      </c>
      <c r="O356" s="7" t="e">
        <f>IF(D356="Valid","Yes","No")</f>
        <v>#REF!</v>
      </c>
    </row>
    <row r="357" spans="1:15" hidden="1">
      <c r="A357" s="7" t="e">
        <f>#REF!</f>
        <v>#REF!</v>
      </c>
      <c r="B357" s="7" t="e">
        <f>#REF!</f>
        <v>#REF!</v>
      </c>
      <c r="C357" s="7" t="e">
        <f>#REF!</f>
        <v>#REF!</v>
      </c>
      <c r="D357" s="7" t="e">
        <f>#REF!</f>
        <v>#REF!</v>
      </c>
      <c r="E357" s="7" t="e">
        <f>#REF!</f>
        <v>#REF!</v>
      </c>
      <c r="F357" s="7" t="e">
        <f>#REF!</f>
        <v>#REF!</v>
      </c>
      <c r="G357" s="7" t="e">
        <f>#REF!</f>
        <v>#REF!</v>
      </c>
      <c r="H357" s="7" t="e">
        <f>#REF!</f>
        <v>#REF!</v>
      </c>
      <c r="I357" s="7" t="e">
        <f>#REF!</f>
        <v>#REF!</v>
      </c>
      <c r="J357" s="7" t="e">
        <f t="shared" si="101"/>
        <v>#REF!</v>
      </c>
      <c r="K357" s="7" t="e">
        <f t="shared" si="102"/>
        <v>#REF!</v>
      </c>
      <c r="L357" s="7" t="e">
        <f>IF(D357&lt;&gt;"Valid","",#REF!*0.4+#REF!*0.6)</f>
        <v>#REF!</v>
      </c>
      <c r="M357" s="7"/>
      <c r="N357" s="7" t="e">
        <f>IF(D357&lt;&gt;"Valid","Not Assessed (Insufficient Valid Data)",LOOKUP(L357,tblPerformanceCategory[Min],tblPerformanceCategory[Performance Category]))</f>
        <v>#REF!</v>
      </c>
      <c r="O357" s="7" t="e">
        <f>IF(D357="Valid","Yes","No")</f>
        <v>#REF!</v>
      </c>
    </row>
    <row r="358" spans="1:15" ht="42" hidden="1" customHeight="1">
      <c r="A358" s="7" t="e">
        <f>#REF!</f>
        <v>#REF!</v>
      </c>
      <c r="B358" s="7" t="e">
        <f>#REF!</f>
        <v>#REF!</v>
      </c>
      <c r="C358" s="7" t="e">
        <f>#REF!</f>
        <v>#REF!</v>
      </c>
      <c r="D358" s="7" t="e">
        <f>#REF!</f>
        <v>#REF!</v>
      </c>
      <c r="E358" s="7" t="e">
        <f>#REF!</f>
        <v>#REF!</v>
      </c>
      <c r="F358" s="7" t="e">
        <f>#REF!</f>
        <v>#REF!</v>
      </c>
      <c r="G358" s="7" t="e">
        <f>#REF!</f>
        <v>#REF!</v>
      </c>
      <c r="H358" s="7" t="e">
        <f>#REF!</f>
        <v>#REF!</v>
      </c>
      <c r="I358" s="7" t="e">
        <f>#REF!</f>
        <v>#REF!</v>
      </c>
      <c r="J358" s="7" t="e">
        <f t="shared" si="101"/>
        <v>#REF!</v>
      </c>
      <c r="K358" s="7" t="e">
        <f t="shared" si="102"/>
        <v>#REF!</v>
      </c>
      <c r="L358" s="7" t="e">
        <f>IF($D358&lt;&gt;"Valid",0,IFERROR(AVERAGE(#REF!,#REF!),0))</f>
        <v>#REF!</v>
      </c>
      <c r="M358" s="21" t="str">
        <f>IF(ISNUMBER(L358),_xlfn.RANK.EQ(L358,$L$2:$L$500,0),"")</f>
        <v/>
      </c>
      <c r="N358" s="7" t="e">
        <f>IF(L358=0,
"Not Assessed",
IF(L358&gt;=0.85,"Very High Performance",
IF(L358&gt;=0.7,"High Performance",
IF(L358&gt;=0.55,"Moderate Performance",
IF(L358&gt;=0.4,"Low Performance",
"Very Low Performance")))))</f>
        <v>#REF!</v>
      </c>
      <c r="O358" s="7" t="e">
        <f>IF($L358=0,
"Failed minimum data validation; requires contextual review in FSF.",
"Ready for contextual review in FSF.")</f>
        <v>#REF!</v>
      </c>
    </row>
    <row r="359" spans="1:15" hidden="1">
      <c r="A359" s="7" t="e">
        <f>#REF!</f>
        <v>#REF!</v>
      </c>
      <c r="B359" s="7" t="e">
        <f>#REF!</f>
        <v>#REF!</v>
      </c>
      <c r="C359" s="7" t="e">
        <f>#REF!</f>
        <v>#REF!</v>
      </c>
      <c r="D359" s="7" t="e">
        <f>#REF!</f>
        <v>#REF!</v>
      </c>
      <c r="E359" s="7" t="e">
        <f>#REF!</f>
        <v>#REF!</v>
      </c>
      <c r="F359" s="7" t="e">
        <f>#REF!</f>
        <v>#REF!</v>
      </c>
      <c r="G359" s="7" t="e">
        <f>#REF!</f>
        <v>#REF!</v>
      </c>
      <c r="H359" s="7" t="e">
        <f>#REF!</f>
        <v>#REF!</v>
      </c>
      <c r="I359" s="7" t="e">
        <f>#REF!</f>
        <v>#REF!</v>
      </c>
      <c r="J359" s="7" t="e">
        <f t="shared" si="101"/>
        <v>#REF!</v>
      </c>
      <c r="K359" s="7" t="e">
        <f t="shared" si="102"/>
        <v>#REF!</v>
      </c>
      <c r="L359" s="7" t="e">
        <f>IF(D359&lt;&gt;"Valid","",#REF!*0.4+#REF!*0.6)</f>
        <v>#REF!</v>
      </c>
      <c r="M359" s="7"/>
      <c r="N359" s="7" t="e">
        <f>IF(D359&lt;&gt;"Valid","Not Assessed (Insufficient Valid Data)",LOOKUP(L359,tblPerformanceCategory[Min],tblPerformanceCategory[Performance Category]))</f>
        <v>#REF!</v>
      </c>
      <c r="O359" s="7" t="e">
        <f>IF(D359="Valid","Yes","No")</f>
        <v>#REF!</v>
      </c>
    </row>
    <row r="360" spans="1:15" hidden="1">
      <c r="A360" s="7" t="e">
        <f>#REF!</f>
        <v>#REF!</v>
      </c>
      <c r="B360" s="7" t="e">
        <f>#REF!</f>
        <v>#REF!</v>
      </c>
      <c r="C360" s="7" t="e">
        <f>#REF!</f>
        <v>#REF!</v>
      </c>
      <c r="D360" s="7" t="e">
        <f>#REF!</f>
        <v>#REF!</v>
      </c>
      <c r="E360" s="7" t="e">
        <f>#REF!</f>
        <v>#REF!</v>
      </c>
      <c r="F360" s="7" t="e">
        <f>#REF!</f>
        <v>#REF!</v>
      </c>
      <c r="G360" s="7" t="e">
        <f>#REF!</f>
        <v>#REF!</v>
      </c>
      <c r="H360" s="7" t="e">
        <f>#REF!</f>
        <v>#REF!</v>
      </c>
      <c r="I360" s="7" t="e">
        <f>#REF!</f>
        <v>#REF!</v>
      </c>
      <c r="J360" s="7" t="e">
        <f t="shared" si="101"/>
        <v>#REF!</v>
      </c>
      <c r="K360" s="7" t="e">
        <f t="shared" si="102"/>
        <v>#REF!</v>
      </c>
      <c r="L360" s="7" t="e">
        <f>IF(D360&lt;&gt;"Valid","",#REF!*0.4+#REF!*0.6)</f>
        <v>#REF!</v>
      </c>
      <c r="M360" s="7"/>
      <c r="N360" s="7" t="e">
        <f>IF(D360&lt;&gt;"Valid","Not Assessed (Insufficient Valid Data)",LOOKUP(L360,tblPerformanceCategory[Min],tblPerformanceCategory[Performance Category]))</f>
        <v>#REF!</v>
      </c>
      <c r="O360" s="7" t="e">
        <f>IF(D360="Valid","Yes","No")</f>
        <v>#REF!</v>
      </c>
    </row>
    <row r="361" spans="1:15" ht="42" hidden="1" customHeight="1">
      <c r="A361" s="7" t="e">
        <f>#REF!</f>
        <v>#REF!</v>
      </c>
      <c r="B361" s="7" t="e">
        <f>#REF!</f>
        <v>#REF!</v>
      </c>
      <c r="C361" s="7" t="e">
        <f>#REF!</f>
        <v>#REF!</v>
      </c>
      <c r="D361" s="7" t="e">
        <f>#REF!</f>
        <v>#REF!</v>
      </c>
      <c r="E361" s="7" t="e">
        <f>#REF!</f>
        <v>#REF!</v>
      </c>
      <c r="F361" s="7" t="e">
        <f>#REF!</f>
        <v>#REF!</v>
      </c>
      <c r="G361" s="7" t="e">
        <f>#REF!</f>
        <v>#REF!</v>
      </c>
      <c r="H361" s="7" t="e">
        <f>#REF!</f>
        <v>#REF!</v>
      </c>
      <c r="I361" s="7" t="e">
        <f>#REF!</f>
        <v>#REF!</v>
      </c>
      <c r="J361" s="7" t="e">
        <f t="shared" si="101"/>
        <v>#REF!</v>
      </c>
      <c r="K361" s="7" t="e">
        <f t="shared" si="102"/>
        <v>#REF!</v>
      </c>
      <c r="L361" s="7" t="e">
        <f>IF($D361&lt;&gt;"Valid",0,IFERROR(AVERAGE(#REF!,#REF!),0))</f>
        <v>#REF!</v>
      </c>
      <c r="M361" s="21" t="str">
        <f>IF(ISNUMBER(L361),_xlfn.RANK.EQ(L361,$L$2:$L$500,0),"")</f>
        <v/>
      </c>
      <c r="N361" s="7" t="e">
        <f>IF(L361=0,
"Not Assessed",
IF(L361&gt;=0.85,"Very High Performance",
IF(L361&gt;=0.7,"High Performance",
IF(L361&gt;=0.55,"Moderate Performance",
IF(L361&gt;=0.4,"Low Performance",
"Very Low Performance")))))</f>
        <v>#REF!</v>
      </c>
      <c r="O361" s="7" t="e">
        <f>IF($L361=0,
"Failed minimum data validation; requires contextual review in FSF.",
"Ready for contextual review in FSF.")</f>
        <v>#REF!</v>
      </c>
    </row>
    <row r="362" spans="1:15" hidden="1">
      <c r="A362" s="7" t="e">
        <f>#REF!</f>
        <v>#REF!</v>
      </c>
      <c r="B362" s="7" t="e">
        <f>#REF!</f>
        <v>#REF!</v>
      </c>
      <c r="C362" s="7" t="e">
        <f>#REF!</f>
        <v>#REF!</v>
      </c>
      <c r="D362" s="7" t="e">
        <f>#REF!</f>
        <v>#REF!</v>
      </c>
      <c r="E362" s="7" t="e">
        <f>#REF!</f>
        <v>#REF!</v>
      </c>
      <c r="F362" s="7" t="e">
        <f>#REF!</f>
        <v>#REF!</v>
      </c>
      <c r="G362" s="7" t="e">
        <f>#REF!</f>
        <v>#REF!</v>
      </c>
      <c r="H362" s="7" t="e">
        <f>#REF!</f>
        <v>#REF!</v>
      </c>
      <c r="I362" s="7" t="e">
        <f>#REF!</f>
        <v>#REF!</v>
      </c>
      <c r="J362" s="7" t="e">
        <f t="shared" si="101"/>
        <v>#REF!</v>
      </c>
      <c r="K362" s="7" t="e">
        <f t="shared" si="102"/>
        <v>#REF!</v>
      </c>
      <c r="L362" s="7" t="e">
        <f>IF(D362&lt;&gt;"Valid","",#REF!*0.4+#REF!*0.6)</f>
        <v>#REF!</v>
      </c>
      <c r="M362" s="7"/>
      <c r="N362" s="7" t="e">
        <f>IF(D362&lt;&gt;"Valid","Not Assessed (Insufficient Valid Data)",LOOKUP(L362,tblPerformanceCategory[Min],tblPerformanceCategory[Performance Category]))</f>
        <v>#REF!</v>
      </c>
      <c r="O362" s="7" t="e">
        <f>IF(D362="Valid","Yes","No")</f>
        <v>#REF!</v>
      </c>
    </row>
    <row r="363" spans="1:15" ht="42" hidden="1" customHeight="1">
      <c r="A363" s="7" t="e">
        <f>#REF!</f>
        <v>#REF!</v>
      </c>
      <c r="B363" s="7" t="e">
        <f>#REF!</f>
        <v>#REF!</v>
      </c>
      <c r="C363" s="7" t="e">
        <f>#REF!</f>
        <v>#REF!</v>
      </c>
      <c r="D363" s="7" t="e">
        <f>#REF!</f>
        <v>#REF!</v>
      </c>
      <c r="E363" s="7" t="e">
        <f>#REF!</f>
        <v>#REF!</v>
      </c>
      <c r="F363" s="7" t="e">
        <f>#REF!</f>
        <v>#REF!</v>
      </c>
      <c r="G363" s="7" t="e">
        <f>#REF!</f>
        <v>#REF!</v>
      </c>
      <c r="H363" s="7" t="e">
        <f>#REF!</f>
        <v>#REF!</v>
      </c>
      <c r="I363" s="7" t="e">
        <f>#REF!</f>
        <v>#REF!</v>
      </c>
      <c r="J363" s="7" t="e">
        <f t="shared" si="101"/>
        <v>#REF!</v>
      </c>
      <c r="K363" s="7" t="e">
        <f t="shared" si="102"/>
        <v>#REF!</v>
      </c>
      <c r="L363" s="7" t="e">
        <f>IF($D363&lt;&gt;"Valid",0,IFERROR(AVERAGE(#REF!,#REF!),0))</f>
        <v>#REF!</v>
      </c>
      <c r="M363" s="21" t="str">
        <f>IF(ISNUMBER(L363),_xlfn.RANK.EQ(L363,$L$2:$L$500,0),"")</f>
        <v/>
      </c>
      <c r="N363" s="7" t="e">
        <f>IF(L363=0,
"Not Assessed",
IF(L363&gt;=0.85,"Very High Performance",
IF(L363&gt;=0.7,"High Performance",
IF(L363&gt;=0.55,"Moderate Performance",
IF(L363&gt;=0.4,"Low Performance",
"Very Low Performance")))))</f>
        <v>#REF!</v>
      </c>
      <c r="O363" s="7" t="e">
        <f>IF($L363=0,
"Failed minimum data validation; requires contextual review in FSF.",
"Ready for contextual review in FSF.")</f>
        <v>#REF!</v>
      </c>
    </row>
    <row r="364" spans="1:15" hidden="1">
      <c r="A364" s="7" t="e">
        <f>#REF!</f>
        <v>#REF!</v>
      </c>
      <c r="B364" s="7" t="e">
        <f>#REF!</f>
        <v>#REF!</v>
      </c>
      <c r="C364" s="7" t="e">
        <f>#REF!</f>
        <v>#REF!</v>
      </c>
      <c r="D364" s="7" t="e">
        <f>#REF!</f>
        <v>#REF!</v>
      </c>
      <c r="E364" s="7" t="e">
        <f>#REF!</f>
        <v>#REF!</v>
      </c>
      <c r="F364" s="7" t="e">
        <f>#REF!</f>
        <v>#REF!</v>
      </c>
      <c r="G364" s="7" t="e">
        <f>#REF!</f>
        <v>#REF!</v>
      </c>
      <c r="H364" s="7" t="e">
        <f>#REF!</f>
        <v>#REF!</v>
      </c>
      <c r="I364" s="7" t="e">
        <f>#REF!</f>
        <v>#REF!</v>
      </c>
      <c r="J364" s="7" t="e">
        <f t="shared" si="101"/>
        <v>#REF!</v>
      </c>
      <c r="K364" s="7" t="e">
        <f t="shared" si="102"/>
        <v>#REF!</v>
      </c>
      <c r="L364" s="7" t="e">
        <f>IF(D364&lt;&gt;"Valid","",#REF!*0.4+#REF!*0.6)</f>
        <v>#REF!</v>
      </c>
      <c r="M364" s="7"/>
      <c r="N364" s="7" t="e">
        <f>IF(D364&lt;&gt;"Valid","Not Assessed (Insufficient Valid Data)",LOOKUP(L364,tblPerformanceCategory[Min],tblPerformanceCategory[Performance Category]))</f>
        <v>#REF!</v>
      </c>
      <c r="O364" s="7" t="e">
        <f>IF(D364="Valid","Yes","No")</f>
        <v>#REF!</v>
      </c>
    </row>
    <row r="365" spans="1:15" ht="42" hidden="1" customHeight="1">
      <c r="A365" s="7" t="e">
        <f>#REF!</f>
        <v>#REF!</v>
      </c>
      <c r="B365" s="7" t="e">
        <f>#REF!</f>
        <v>#REF!</v>
      </c>
      <c r="C365" s="7" t="e">
        <f>#REF!</f>
        <v>#REF!</v>
      </c>
      <c r="D365" s="7" t="e">
        <f>#REF!</f>
        <v>#REF!</v>
      </c>
      <c r="E365" s="7" t="e">
        <f>#REF!</f>
        <v>#REF!</v>
      </c>
      <c r="F365" s="7" t="e">
        <f>#REF!</f>
        <v>#REF!</v>
      </c>
      <c r="G365" s="7" t="e">
        <f>#REF!</f>
        <v>#REF!</v>
      </c>
      <c r="H365" s="7" t="e">
        <f>#REF!</f>
        <v>#REF!</v>
      </c>
      <c r="I365" s="7" t="e">
        <f>#REF!</f>
        <v>#REF!</v>
      </c>
      <c r="J365" s="7" t="e">
        <f t="shared" si="101"/>
        <v>#REF!</v>
      </c>
      <c r="K365" s="7" t="e">
        <f t="shared" si="102"/>
        <v>#REF!</v>
      </c>
      <c r="L365" s="7" t="e">
        <f>IF($D365&lt;&gt;"Valid",0,IFERROR(AVERAGE(#REF!,#REF!),0))</f>
        <v>#REF!</v>
      </c>
      <c r="M365" s="21" t="str">
        <f>IF(ISNUMBER(L365),_xlfn.RANK.EQ(L365,$L$2:$L$500,0),"")</f>
        <v/>
      </c>
      <c r="N365" s="7" t="e">
        <f>IF(L365=0,
"Not Assessed",
IF(L365&gt;=0.85,"Very High Performance",
IF(L365&gt;=0.7,"High Performance",
IF(L365&gt;=0.55,"Moderate Performance",
IF(L365&gt;=0.4,"Low Performance",
"Very Low Performance")))))</f>
        <v>#REF!</v>
      </c>
      <c r="O365" s="7" t="e">
        <f>IF($L365=0,
"Failed minimum data validation; requires contextual review in FSF.",
"Ready for contextual review in FSF.")</f>
        <v>#REF!</v>
      </c>
    </row>
    <row r="366" spans="1:15" hidden="1">
      <c r="A366" s="7" t="e">
        <f>#REF!</f>
        <v>#REF!</v>
      </c>
      <c r="B366" s="7" t="e">
        <f>#REF!</f>
        <v>#REF!</v>
      </c>
      <c r="C366" s="7" t="e">
        <f>#REF!</f>
        <v>#REF!</v>
      </c>
      <c r="D366" s="7" t="e">
        <f>#REF!</f>
        <v>#REF!</v>
      </c>
      <c r="E366" s="7" t="e">
        <f>#REF!</f>
        <v>#REF!</v>
      </c>
      <c r="F366" s="7" t="e">
        <f>#REF!</f>
        <v>#REF!</v>
      </c>
      <c r="G366" s="7" t="e">
        <f>#REF!</f>
        <v>#REF!</v>
      </c>
      <c r="H366" s="7" t="e">
        <f>#REF!</f>
        <v>#REF!</v>
      </c>
      <c r="I366" s="7" t="e">
        <f>#REF!</f>
        <v>#REF!</v>
      </c>
      <c r="J366" s="7" t="e">
        <f t="shared" si="101"/>
        <v>#REF!</v>
      </c>
      <c r="K366" s="7" t="e">
        <f t="shared" si="102"/>
        <v>#REF!</v>
      </c>
      <c r="L366" s="7" t="e">
        <f>IF(D366&lt;&gt;"Valid","",#REF!*0.4+#REF!*0.6)</f>
        <v>#REF!</v>
      </c>
      <c r="M366" s="7"/>
      <c r="N366" s="7" t="e">
        <f>IF(D366&lt;&gt;"Valid","Not Assessed (Insufficient Valid Data)",LOOKUP(L366,tblPerformanceCategory[Min],tblPerformanceCategory[Performance Category]))</f>
        <v>#REF!</v>
      </c>
      <c r="O366" s="7" t="e">
        <f>IF(D366="Valid","Yes","No")</f>
        <v>#REF!</v>
      </c>
    </row>
    <row r="367" spans="1:15" ht="42" hidden="1" customHeight="1">
      <c r="A367" s="7" t="e">
        <f>#REF!</f>
        <v>#REF!</v>
      </c>
      <c r="B367" s="7" t="e">
        <f>#REF!</f>
        <v>#REF!</v>
      </c>
      <c r="C367" s="7" t="e">
        <f>#REF!</f>
        <v>#REF!</v>
      </c>
      <c r="D367" s="7" t="e">
        <f>#REF!</f>
        <v>#REF!</v>
      </c>
      <c r="E367" s="7" t="e">
        <f>#REF!</f>
        <v>#REF!</v>
      </c>
      <c r="F367" s="7" t="e">
        <f>#REF!</f>
        <v>#REF!</v>
      </c>
      <c r="G367" s="7" t="e">
        <f>#REF!</f>
        <v>#REF!</v>
      </c>
      <c r="H367" s="7" t="e">
        <f>#REF!</f>
        <v>#REF!</v>
      </c>
      <c r="I367" s="7" t="e">
        <f>#REF!</f>
        <v>#REF!</v>
      </c>
      <c r="J367" s="7" t="e">
        <f t="shared" si="101"/>
        <v>#REF!</v>
      </c>
      <c r="K367" s="7" t="e">
        <f t="shared" si="102"/>
        <v>#REF!</v>
      </c>
      <c r="L367" s="7" t="e">
        <f>IF($D367&lt;&gt;"Valid",0,IFERROR(AVERAGE(#REF!,#REF!),0))</f>
        <v>#REF!</v>
      </c>
      <c r="M367" s="21" t="str">
        <f>IF(ISNUMBER(L367),_xlfn.RANK.EQ(L367,$L$2:$L$500,0),"")</f>
        <v/>
      </c>
      <c r="N367" s="7" t="e">
        <f>IF(L367=0,
"Not Assessed",
IF(L367&gt;=0.85,"Very High Performance",
IF(L367&gt;=0.7,"High Performance",
IF(L367&gt;=0.55,"Moderate Performance",
IF(L367&gt;=0.4,"Low Performance",
"Very Low Performance")))))</f>
        <v>#REF!</v>
      </c>
      <c r="O367" s="7" t="e">
        <f>IF($L367=0,
"Failed minimum data validation; requires contextual review in FSF.",
"Ready for contextual review in FSF.")</f>
        <v>#REF!</v>
      </c>
    </row>
    <row r="368" spans="1:15" ht="42" customHeight="1">
      <c r="A368" s="7" t="str">
        <f>Derived_Indicators!A368</f>
        <v>Bwari Local Government Area</v>
      </c>
      <c r="B368" s="7" t="str">
        <f>Derived_Indicators!B368</f>
        <v>Usuma Ward</v>
      </c>
      <c r="C368" s="7" t="str">
        <f>Derived_Indicators!C368</f>
        <v>Unity Clinic &amp; Maternity</v>
      </c>
      <c r="D368" s="7" t="str">
        <f>Derived_Indicators!Q368</f>
        <v>Invalid</v>
      </c>
      <c r="E368" s="23">
        <f>Derived_Indicators!D368</f>
        <v>1</v>
      </c>
      <c r="F368" s="23" t="str">
        <f>Derived_Indicators!E368</f>
        <v/>
      </c>
      <c r="G368" s="23">
        <f>Derived_Indicators!K368</f>
        <v>1.019047619047619</v>
      </c>
      <c r="H368" s="23">
        <f>Derived_Indicators!M368</f>
        <v>1.0472440944881889</v>
      </c>
      <c r="I368" s="23">
        <f>Derived_Indicators!N368</f>
        <v>0.55643044619422577</v>
      </c>
      <c r="J368" s="23" t="str">
        <f>IF($D368&lt;&gt;"Valid","",AVERAGE(E368:F368))</f>
        <v/>
      </c>
      <c r="K368" s="23" t="str">
        <f>IF($D368&lt;&gt;"Valid","",AVERAGE(G368:I368))</f>
        <v/>
      </c>
      <c r="L368" s="23" t="str">
        <f>IF($D368&lt;&gt;"Valid","",AVERAGE(J368,K368))</f>
        <v/>
      </c>
      <c r="M368" s="21" t="str">
        <f>IF(AND($D368="Valid",ISNUMBER(L368)),RANK(L368,$L$2:$L$500,0),"")</f>
        <v/>
      </c>
      <c r="N368" s="7" t="str">
        <f>IF(L368="",
"Not Assessed",
IF(L368&gt;=0.85,"Excellent",
IF(L368&gt;=0.7,"Good",
IF(L368&gt;=0.55,"Moderate",
IF(L368&gt;=0.4,"Low",
"Very Low")))))</f>
        <v>Not Assessed</v>
      </c>
      <c r="O368" s="7" t="str">
        <f>IF($D368&lt;&gt;"Valid",
"Failed data validation; excluded from HFSI and requires contextual review in the Health Facility Selection Framework (HFSF).",
"Eligible for contextual assessment using the Health Facility Selection Framework (HFSF).")</f>
        <v>Failed data validation; excluded from HFSI and requires contextual review in the Health Facility Selection Framework (HFSF).</v>
      </c>
    </row>
    <row r="369" spans="1:15" hidden="1">
      <c r="A369" s="7" t="e">
        <f>#REF!</f>
        <v>#REF!</v>
      </c>
      <c r="B369" s="7" t="e">
        <f>#REF!</f>
        <v>#REF!</v>
      </c>
      <c r="C369" s="7" t="e">
        <f>#REF!</f>
        <v>#REF!</v>
      </c>
      <c r="D369" s="7" t="e">
        <f>#REF!</f>
        <v>#REF!</v>
      </c>
      <c r="E369" s="7" t="e">
        <f>#REF!</f>
        <v>#REF!</v>
      </c>
      <c r="F369" s="7" t="e">
        <f>#REF!</f>
        <v>#REF!</v>
      </c>
      <c r="G369" s="7" t="e">
        <f>#REF!</f>
        <v>#REF!</v>
      </c>
      <c r="H369" s="7" t="e">
        <f>#REF!</f>
        <v>#REF!</v>
      </c>
      <c r="I369" s="7" t="e">
        <f>#REF!</f>
        <v>#REF!</v>
      </c>
      <c r="J369" s="7" t="e">
        <f>IF(D369&lt;&gt;"Valid","",SUM(E369:F369))</f>
        <v>#REF!</v>
      </c>
      <c r="K369" s="7" t="e">
        <f>IF(D369&lt;&gt;"Valid","",SUM(G369:I369))</f>
        <v>#REF!</v>
      </c>
      <c r="L369" s="7" t="e">
        <f>IF(D369&lt;&gt;"Valid","",#REF!*0.4+#REF!*0.6)</f>
        <v>#REF!</v>
      </c>
      <c r="M369" s="7"/>
      <c r="N369" s="7" t="e">
        <f>IF(D369&lt;&gt;"Valid","Not Assessed (Insufficient Valid Data)",LOOKUP(L369,tblPerformanceCategory[Min],tblPerformanceCategory[Performance Category]))</f>
        <v>#REF!</v>
      </c>
      <c r="O369" s="7" t="e">
        <f>IF(D369="Valid","Yes","No")</f>
        <v>#REF!</v>
      </c>
    </row>
    <row r="370" spans="1:15" ht="42" hidden="1" customHeight="1">
      <c r="A370" s="7" t="e">
        <f>#REF!</f>
        <v>#REF!</v>
      </c>
      <c r="B370" s="7" t="e">
        <f>#REF!</f>
        <v>#REF!</v>
      </c>
      <c r="C370" s="7" t="e">
        <f>#REF!</f>
        <v>#REF!</v>
      </c>
      <c r="D370" s="7" t="e">
        <f>#REF!</f>
        <v>#REF!</v>
      </c>
      <c r="E370" s="7" t="e">
        <f>#REF!</f>
        <v>#REF!</v>
      </c>
      <c r="F370" s="7" t="e">
        <f>#REF!</f>
        <v>#REF!</v>
      </c>
      <c r="G370" s="7" t="e">
        <f>#REF!</f>
        <v>#REF!</v>
      </c>
      <c r="H370" s="7" t="e">
        <f>#REF!</f>
        <v>#REF!</v>
      </c>
      <c r="I370" s="7" t="e">
        <f>#REF!</f>
        <v>#REF!</v>
      </c>
      <c r="J370" s="7" t="e">
        <f>IF(D370&lt;&gt;"Valid","",SUM(E370:F370))</f>
        <v>#REF!</v>
      </c>
      <c r="K370" s="7" t="e">
        <f>IF(D370&lt;&gt;"Valid","",SUM(G370:I370))</f>
        <v>#REF!</v>
      </c>
      <c r="L370" s="7" t="e">
        <f>IF($D370&lt;&gt;"Valid",0,IFERROR(AVERAGE(#REF!,#REF!),0))</f>
        <v>#REF!</v>
      </c>
      <c r="M370" s="21" t="str">
        <f>IF(ISNUMBER(L370),_xlfn.RANK.EQ(L370,$L$2:$L$500,0),"")</f>
        <v/>
      </c>
      <c r="N370" s="7" t="e">
        <f>IF(L370=0,
"Not Assessed",
IF(L370&gt;=0.85,"Very High Performance",
IF(L370&gt;=0.7,"High Performance",
IF(L370&gt;=0.55,"Moderate Performance",
IF(L370&gt;=0.4,"Low Performance",
"Very Low Performance")))))</f>
        <v>#REF!</v>
      </c>
      <c r="O370" s="7" t="e">
        <f>IF($L370=0,
"Failed minimum data validation; requires contextual review in FSF.",
"Ready for contextual review in FSF.")</f>
        <v>#REF!</v>
      </c>
    </row>
    <row r="371" spans="1:15" ht="42" customHeight="1">
      <c r="A371" s="7" t="str">
        <f>Derived_Indicators!A371</f>
        <v>Bwari Local Government Area</v>
      </c>
      <c r="B371" s="7" t="str">
        <f>Derived_Indicators!B371</f>
        <v>Ushafa Ward</v>
      </c>
      <c r="C371" s="7" t="str">
        <f>Derived_Indicators!C371</f>
        <v>Ushafa Primary Health Center</v>
      </c>
      <c r="D371" s="7" t="str">
        <f>Derived_Indicators!Q371</f>
        <v>Invalid</v>
      </c>
      <c r="E371" s="23">
        <f>Derived_Indicators!D371</f>
        <v>1</v>
      </c>
      <c r="F371" s="23">
        <f>Derived_Indicators!E371</f>
        <v>1</v>
      </c>
      <c r="G371" s="23">
        <f>Derived_Indicators!K371</f>
        <v>1.6975308641975309</v>
      </c>
      <c r="H371" s="23">
        <f>Derived_Indicators!M371</f>
        <v>0.52134146341463417</v>
      </c>
      <c r="I371" s="23">
        <f>Derived_Indicators!N371</f>
        <v>0.12804878048780488</v>
      </c>
      <c r="J371" s="23" t="str">
        <f t="shared" ref="J371:J372" si="103">IF($D371&lt;&gt;"Valid","",AVERAGE(E371:F371))</f>
        <v/>
      </c>
      <c r="K371" s="23" t="str">
        <f t="shared" ref="K371:K372" si="104">IF($D371&lt;&gt;"Valid","",AVERAGE(G371:I371))</f>
        <v/>
      </c>
      <c r="L371" s="23" t="str">
        <f t="shared" ref="L371:L372" si="105">IF($D371&lt;&gt;"Valid","",AVERAGE(J371,K371))</f>
        <v/>
      </c>
      <c r="M371" s="21" t="str">
        <f t="shared" ref="M371:M372" si="106">IF(AND($D371="Valid",ISNUMBER(L371)),RANK(L371,$L$2:$L$500,0),"")</f>
        <v/>
      </c>
      <c r="N371" s="7" t="str">
        <f t="shared" ref="N371:N372" si="107">IF(L371="",
"Not Assessed",
IF(L371&gt;=0.85,"Excellent",
IF(L371&gt;=0.7,"Good",
IF(L371&gt;=0.55,"Moderate",
IF(L371&gt;=0.4,"Low",
"Very Low")))))</f>
        <v>Not Assessed</v>
      </c>
      <c r="O371" s="7" t="str">
        <f t="shared" ref="O371:O372" si="108">IF($D371&lt;&gt;"Valid",
"Failed data validation; excluded from HFSI and requires contextual review in the Health Facility Selection Framework (HFSF).",
"Eligible for contextual assessment using the Health Facility Selection Framework (HFSF).")</f>
        <v>Failed data validation; excluded from HFSI and requires contextual review in the Health Facility Selection Framework (HFSF).</v>
      </c>
    </row>
    <row r="372" spans="1:15" ht="42" customHeight="1">
      <c r="A372" s="7" t="str">
        <f>Derived_Indicators!A372</f>
        <v>Abuja Municipal Area Council</v>
      </c>
      <c r="B372" s="7" t="str">
        <f>Derived_Indicators!B372</f>
        <v>Garki Ward</v>
      </c>
      <c r="C372" s="7" t="str">
        <f>Derived_Indicators!C372</f>
        <v>Vinnette Medical Center</v>
      </c>
      <c r="D372" s="7" t="str">
        <f>Derived_Indicators!Q372</f>
        <v>Valid</v>
      </c>
      <c r="E372" s="23">
        <f>Derived_Indicators!D372</f>
        <v>1</v>
      </c>
      <c r="F372" s="23" t="str">
        <f>Derived_Indicators!E372</f>
        <v/>
      </c>
      <c r="G372" s="23">
        <f>Derived_Indicators!K372</f>
        <v>1</v>
      </c>
      <c r="H372" s="23">
        <f>Derived_Indicators!M372</f>
        <v>0.60085836909871249</v>
      </c>
      <c r="I372" s="23">
        <f>Derived_Indicators!N372</f>
        <v>0.22746781115879827</v>
      </c>
      <c r="J372" s="23">
        <f t="shared" si="103"/>
        <v>1</v>
      </c>
      <c r="K372" s="23">
        <f t="shared" si="104"/>
        <v>0.6094420600858369</v>
      </c>
      <c r="L372" s="23">
        <f t="shared" si="105"/>
        <v>0.80472103004291839</v>
      </c>
      <c r="M372" s="21" t="e">
        <f t="shared" si="106"/>
        <v>#REF!</v>
      </c>
      <c r="N372" s="7" t="str">
        <f t="shared" si="107"/>
        <v>Good</v>
      </c>
      <c r="O372" s="7" t="str">
        <f t="shared" si="108"/>
        <v>Eligible for contextual assessment using the Health Facility Selection Framework (HFSF).</v>
      </c>
    </row>
    <row r="373" spans="1:15" hidden="1">
      <c r="A373" s="7" t="e">
        <f>#REF!</f>
        <v>#REF!</v>
      </c>
      <c r="B373" s="7" t="e">
        <f>#REF!</f>
        <v>#REF!</v>
      </c>
      <c r="C373" s="7" t="e">
        <f>#REF!</f>
        <v>#REF!</v>
      </c>
      <c r="D373" s="7" t="e">
        <f>#REF!</f>
        <v>#REF!</v>
      </c>
      <c r="E373" s="7" t="e">
        <f>#REF!</f>
        <v>#REF!</v>
      </c>
      <c r="F373" s="7" t="e">
        <f>#REF!</f>
        <v>#REF!</v>
      </c>
      <c r="G373" s="7" t="e">
        <f>#REF!</f>
        <v>#REF!</v>
      </c>
      <c r="H373" s="7" t="e">
        <f>#REF!</f>
        <v>#REF!</v>
      </c>
      <c r="I373" s="7" t="e">
        <f>#REF!</f>
        <v>#REF!</v>
      </c>
      <c r="J373" s="7" t="e">
        <f>IF(D373&lt;&gt;"Valid","",SUM(E373:F373))</f>
        <v>#REF!</v>
      </c>
      <c r="K373" s="7" t="e">
        <f>IF(D373&lt;&gt;"Valid","",SUM(G373:I373))</f>
        <v>#REF!</v>
      </c>
      <c r="L373" s="7" t="e">
        <f>IF(D373&lt;&gt;"Valid","",#REF!*0.4+#REF!*0.6)</f>
        <v>#REF!</v>
      </c>
      <c r="M373" s="7"/>
      <c r="N373" s="7" t="e">
        <f>IF(D373&lt;&gt;"Valid","Not Assessed (Insufficient Valid Data)",LOOKUP(L373,tblPerformanceCategory[Min],tblPerformanceCategory[Performance Category]))</f>
        <v>#REF!</v>
      </c>
      <c r="O373" s="7" t="e">
        <f>IF(D373="Valid","Yes","No")</f>
        <v>#REF!</v>
      </c>
    </row>
    <row r="374" spans="1:15" hidden="1">
      <c r="A374" s="7" t="e">
        <f>#REF!</f>
        <v>#REF!</v>
      </c>
      <c r="B374" s="7" t="e">
        <f>#REF!</f>
        <v>#REF!</v>
      </c>
      <c r="C374" s="7" t="e">
        <f>#REF!</f>
        <v>#REF!</v>
      </c>
      <c r="D374" s="7" t="e">
        <f>#REF!</f>
        <v>#REF!</v>
      </c>
      <c r="E374" s="7" t="e">
        <f>#REF!</f>
        <v>#REF!</v>
      </c>
      <c r="F374" s="7" t="e">
        <f>#REF!</f>
        <v>#REF!</v>
      </c>
      <c r="G374" s="7" t="e">
        <f>#REF!</f>
        <v>#REF!</v>
      </c>
      <c r="H374" s="7" t="e">
        <f>#REF!</f>
        <v>#REF!</v>
      </c>
      <c r="I374" s="7" t="e">
        <f>#REF!</f>
        <v>#REF!</v>
      </c>
      <c r="J374" s="7" t="e">
        <f>IF(D374&lt;&gt;"Valid","",SUM(E374:F374))</f>
        <v>#REF!</v>
      </c>
      <c r="K374" s="7" t="e">
        <f>IF(D374&lt;&gt;"Valid","",SUM(G374:I374))</f>
        <v>#REF!</v>
      </c>
      <c r="L374" s="7" t="e">
        <f>IF(D374&lt;&gt;"Valid","",#REF!*0.4+#REF!*0.6)</f>
        <v>#REF!</v>
      </c>
      <c r="M374" s="7"/>
      <c r="N374" s="7" t="e">
        <f>IF(D374&lt;&gt;"Valid","Not Assessed (Insufficient Valid Data)",LOOKUP(L374,tblPerformanceCategory[Min],tblPerformanceCategory[Performance Category]))</f>
        <v>#REF!</v>
      </c>
      <c r="O374" s="7" t="e">
        <f>IF(D374="Valid","Yes","No")</f>
        <v>#REF!</v>
      </c>
    </row>
    <row r="375" spans="1:15" ht="42" customHeight="1">
      <c r="A375" s="7" t="str">
        <f>Derived_Indicators!A375</f>
        <v>Abuja Municipal Area Council</v>
      </c>
      <c r="B375" s="7" t="str">
        <f>Derived_Indicators!B375</f>
        <v>Kabusa Ward</v>
      </c>
      <c r="C375" s="7" t="str">
        <f>Derived_Indicators!C375</f>
        <v>Waru Primary Health Care Centre</v>
      </c>
      <c r="D375" s="7" t="str">
        <f>Derived_Indicators!Q375</f>
        <v>Invalid</v>
      </c>
      <c r="E375" s="23">
        <f>Derived_Indicators!D375</f>
        <v>0.94</v>
      </c>
      <c r="F375" s="23">
        <f>Derived_Indicators!E375</f>
        <v>1</v>
      </c>
      <c r="G375" s="23">
        <f>Derived_Indicators!K375</f>
        <v>1.0291005291005291</v>
      </c>
      <c r="H375" s="23">
        <f>Derived_Indicators!M375</f>
        <v>0.43667296786389415</v>
      </c>
      <c r="I375" s="23">
        <f>Derived_Indicators!N375</f>
        <v>2.4574669187145556E-2</v>
      </c>
      <c r="J375" s="23" t="str">
        <f>IF($D375&lt;&gt;"Valid","",AVERAGE(E375:F375))</f>
        <v/>
      </c>
      <c r="K375" s="23" t="str">
        <f>IF($D375&lt;&gt;"Valid","",AVERAGE(G375:I375))</f>
        <v/>
      </c>
      <c r="L375" s="23" t="str">
        <f>IF($D375&lt;&gt;"Valid","",AVERAGE(J375,K375))</f>
        <v/>
      </c>
      <c r="M375" s="21" t="str">
        <f>IF(AND($D375="Valid",ISNUMBER(L375)),RANK(L375,$L$2:$L$500,0),"")</f>
        <v/>
      </c>
      <c r="N375" s="7" t="str">
        <f>IF(L375="",
"Not Assessed",
IF(L375&gt;=0.85,"Excellent",
IF(L375&gt;=0.7,"Good",
IF(L375&gt;=0.55,"Moderate",
IF(L375&gt;=0.4,"Low",
"Very Low")))))</f>
        <v>Not Assessed</v>
      </c>
      <c r="O375" s="7" t="str">
        <f>IF($D375&lt;&gt;"Valid",
"Failed data validation; excluded from HFSI and requires contextual review in the Health Facility Selection Framework (HFSF).",
"Eligible for contextual assessment using the Health Facility Selection Framework (HFSF).")</f>
        <v>Failed data validation; excluded from HFSI and requires contextual review in the Health Facility Selection Framework (HFSF).</v>
      </c>
    </row>
    <row r="376" spans="1:15" ht="42" hidden="1" customHeight="1">
      <c r="A376" s="7" t="e">
        <f>#REF!</f>
        <v>#REF!</v>
      </c>
      <c r="B376" s="7" t="e">
        <f>#REF!</f>
        <v>#REF!</v>
      </c>
      <c r="C376" s="7" t="e">
        <f>#REF!</f>
        <v>#REF!</v>
      </c>
      <c r="D376" s="7" t="e">
        <f>#REF!</f>
        <v>#REF!</v>
      </c>
      <c r="E376" s="7" t="e">
        <f>#REF!</f>
        <v>#REF!</v>
      </c>
      <c r="F376" s="7" t="e">
        <f>#REF!</f>
        <v>#REF!</v>
      </c>
      <c r="G376" s="7" t="e">
        <f>#REF!</f>
        <v>#REF!</v>
      </c>
      <c r="H376" s="7" t="e">
        <f>#REF!</f>
        <v>#REF!</v>
      </c>
      <c r="I376" s="7" t="e">
        <f>#REF!</f>
        <v>#REF!</v>
      </c>
      <c r="J376" s="7" t="e">
        <f t="shared" ref="J376:J386" si="109">IF(D376&lt;&gt;"Valid","",SUM(E376:F376))</f>
        <v>#REF!</v>
      </c>
      <c r="K376" s="7" t="e">
        <f t="shared" ref="K376:K386" si="110">IF(D376&lt;&gt;"Valid","",SUM(G376:I376))</f>
        <v>#REF!</v>
      </c>
      <c r="L376" s="7" t="e">
        <f>IF($D376&lt;&gt;"Valid",0,IFERROR(AVERAGE(#REF!,#REF!),0))</f>
        <v>#REF!</v>
      </c>
      <c r="M376" s="21" t="str">
        <f>IF(ISNUMBER(L376),_xlfn.RANK.EQ(L376,$L$2:$L$500,0),"")</f>
        <v/>
      </c>
      <c r="N376" s="7" t="e">
        <f>IF(L376=0,
"Not Assessed",
IF(L376&gt;=0.85,"Very High Performance",
IF(L376&gt;=0.7,"High Performance",
IF(L376&gt;=0.55,"Moderate Performance",
IF(L376&gt;=0.4,"Low Performance",
"Very Low Performance")))))</f>
        <v>#REF!</v>
      </c>
      <c r="O376" s="7" t="e">
        <f>IF($L376=0,
"Failed minimum data validation; requires contextual review in FSF.",
"Ready for contextual review in FSF.")</f>
        <v>#REF!</v>
      </c>
    </row>
    <row r="377" spans="1:15" ht="42" hidden="1" customHeight="1">
      <c r="A377" s="7" t="e">
        <f>#REF!</f>
        <v>#REF!</v>
      </c>
      <c r="B377" s="7" t="e">
        <f>#REF!</f>
        <v>#REF!</v>
      </c>
      <c r="C377" s="7" t="e">
        <f>#REF!</f>
        <v>#REF!</v>
      </c>
      <c r="D377" s="7" t="e">
        <f>#REF!</f>
        <v>#REF!</v>
      </c>
      <c r="E377" s="7" t="e">
        <f>#REF!</f>
        <v>#REF!</v>
      </c>
      <c r="F377" s="7" t="e">
        <f>#REF!</f>
        <v>#REF!</v>
      </c>
      <c r="G377" s="7" t="e">
        <f>#REF!</f>
        <v>#REF!</v>
      </c>
      <c r="H377" s="7" t="e">
        <f>#REF!</f>
        <v>#REF!</v>
      </c>
      <c r="I377" s="7" t="e">
        <f>#REF!</f>
        <v>#REF!</v>
      </c>
      <c r="J377" s="7" t="e">
        <f t="shared" si="109"/>
        <v>#REF!</v>
      </c>
      <c r="K377" s="7" t="e">
        <f t="shared" si="110"/>
        <v>#REF!</v>
      </c>
      <c r="L377" s="7" t="e">
        <f>IF($D377&lt;&gt;"Valid",0,IFERROR(AVERAGE(#REF!,#REF!),0))</f>
        <v>#REF!</v>
      </c>
      <c r="M377" s="21" t="str">
        <f>IF(ISNUMBER(L377),_xlfn.RANK.EQ(L377,$L$2:$L$500,0),"")</f>
        <v/>
      </c>
      <c r="N377" s="7" t="e">
        <f>IF(L377=0,
"Not Assessed",
IF(L377&gt;=0.85,"Very High Performance",
IF(L377&gt;=0.7,"High Performance",
IF(L377&gt;=0.55,"Moderate Performance",
IF(L377&gt;=0.4,"Low Performance",
"Very Low Performance")))))</f>
        <v>#REF!</v>
      </c>
      <c r="O377" s="7" t="e">
        <f>IF($L377=0,
"Failed minimum data validation; requires contextual review in FSF.",
"Ready for contextual review in FSF.")</f>
        <v>#REF!</v>
      </c>
    </row>
    <row r="378" spans="1:15" hidden="1">
      <c r="A378" s="7" t="e">
        <f>#REF!</f>
        <v>#REF!</v>
      </c>
      <c r="B378" s="7" t="e">
        <f>#REF!</f>
        <v>#REF!</v>
      </c>
      <c r="C378" s="7" t="e">
        <f>#REF!</f>
        <v>#REF!</v>
      </c>
      <c r="D378" s="7" t="e">
        <f>#REF!</f>
        <v>#REF!</v>
      </c>
      <c r="E378" s="7" t="e">
        <f>#REF!</f>
        <v>#REF!</v>
      </c>
      <c r="F378" s="7" t="e">
        <f>#REF!</f>
        <v>#REF!</v>
      </c>
      <c r="G378" s="7" t="e">
        <f>#REF!</f>
        <v>#REF!</v>
      </c>
      <c r="H378" s="7" t="e">
        <f>#REF!</f>
        <v>#REF!</v>
      </c>
      <c r="I378" s="7" t="e">
        <f>#REF!</f>
        <v>#REF!</v>
      </c>
      <c r="J378" s="7" t="e">
        <f t="shared" si="109"/>
        <v>#REF!</v>
      </c>
      <c r="K378" s="7" t="e">
        <f t="shared" si="110"/>
        <v>#REF!</v>
      </c>
      <c r="L378" s="7" t="e">
        <f>IF(D378&lt;&gt;"Valid","",#REF!*0.4+#REF!*0.6)</f>
        <v>#REF!</v>
      </c>
      <c r="M378" s="7"/>
      <c r="N378" s="7" t="e">
        <f>IF(D378&lt;&gt;"Valid","Not Assessed (Insufficient Valid Data)",LOOKUP(L378,tblPerformanceCategory[Min],tblPerformanceCategory[Performance Category]))</f>
        <v>#REF!</v>
      </c>
      <c r="O378" s="7" t="e">
        <f>IF(D378="Valid","Yes","No")</f>
        <v>#REF!</v>
      </c>
    </row>
    <row r="379" spans="1:15" hidden="1">
      <c r="A379" s="7" t="e">
        <f>#REF!</f>
        <v>#REF!</v>
      </c>
      <c r="B379" s="7" t="e">
        <f>#REF!</f>
        <v>#REF!</v>
      </c>
      <c r="C379" s="7" t="e">
        <f>#REF!</f>
        <v>#REF!</v>
      </c>
      <c r="D379" s="7" t="e">
        <f>#REF!</f>
        <v>#REF!</v>
      </c>
      <c r="E379" s="7" t="e">
        <f>#REF!</f>
        <v>#REF!</v>
      </c>
      <c r="F379" s="7" t="e">
        <f>#REF!</f>
        <v>#REF!</v>
      </c>
      <c r="G379" s="7" t="e">
        <f>#REF!</f>
        <v>#REF!</v>
      </c>
      <c r="H379" s="7" t="e">
        <f>#REF!</f>
        <v>#REF!</v>
      </c>
      <c r="I379" s="7" t="e">
        <f>#REF!</f>
        <v>#REF!</v>
      </c>
      <c r="J379" s="7" t="e">
        <f t="shared" si="109"/>
        <v>#REF!</v>
      </c>
      <c r="K379" s="7" t="e">
        <f t="shared" si="110"/>
        <v>#REF!</v>
      </c>
      <c r="L379" s="7" t="e">
        <f>IF(D379&lt;&gt;"Valid","",#REF!*0.4+#REF!*0.6)</f>
        <v>#REF!</v>
      </c>
      <c r="M379" s="7"/>
      <c r="N379" s="7" t="e">
        <f>IF(D379&lt;&gt;"Valid","Not Assessed (Insufficient Valid Data)",LOOKUP(L379,tblPerformanceCategory[Min],tblPerformanceCategory[Performance Category]))</f>
        <v>#REF!</v>
      </c>
      <c r="O379" s="7" t="e">
        <f>IF(D379="Valid","Yes","No")</f>
        <v>#REF!</v>
      </c>
    </row>
    <row r="380" spans="1:15" ht="42" hidden="1" customHeight="1">
      <c r="A380" s="7" t="e">
        <f>#REF!</f>
        <v>#REF!</v>
      </c>
      <c r="B380" s="7" t="e">
        <f>#REF!</f>
        <v>#REF!</v>
      </c>
      <c r="C380" s="7" t="e">
        <f>#REF!</f>
        <v>#REF!</v>
      </c>
      <c r="D380" s="7" t="e">
        <f>#REF!</f>
        <v>#REF!</v>
      </c>
      <c r="E380" s="7" t="e">
        <f>#REF!</f>
        <v>#REF!</v>
      </c>
      <c r="F380" s="7" t="e">
        <f>#REF!</f>
        <v>#REF!</v>
      </c>
      <c r="G380" s="7" t="e">
        <f>#REF!</f>
        <v>#REF!</v>
      </c>
      <c r="H380" s="7" t="e">
        <f>#REF!</f>
        <v>#REF!</v>
      </c>
      <c r="I380" s="7" t="e">
        <f>#REF!</f>
        <v>#REF!</v>
      </c>
      <c r="J380" s="7" t="e">
        <f t="shared" si="109"/>
        <v>#REF!</v>
      </c>
      <c r="K380" s="7" t="e">
        <f t="shared" si="110"/>
        <v>#REF!</v>
      </c>
      <c r="L380" s="7" t="e">
        <f>IF($D380&lt;&gt;"Valid",0,IFERROR(AVERAGE(#REF!,#REF!),0))</f>
        <v>#REF!</v>
      </c>
      <c r="M380" s="21" t="str">
        <f>IF(ISNUMBER(L380),_xlfn.RANK.EQ(L380,$L$2:$L$500,0),"")</f>
        <v/>
      </c>
      <c r="N380" s="7" t="e">
        <f>IF(L380=0,
"Not Assessed",
IF(L380&gt;=0.85,"Very High Performance",
IF(L380&gt;=0.7,"High Performance",
IF(L380&gt;=0.55,"Moderate Performance",
IF(L380&gt;=0.4,"Low Performance",
"Very Low Performance")))))</f>
        <v>#REF!</v>
      </c>
      <c r="O380" s="7" t="e">
        <f>IF($L380=0,
"Failed minimum data validation; requires contextual review in FSF.",
"Ready for contextual review in FSF.")</f>
        <v>#REF!</v>
      </c>
    </row>
    <row r="381" spans="1:15" hidden="1">
      <c r="A381" s="7" t="e">
        <f>#REF!</f>
        <v>#REF!</v>
      </c>
      <c r="B381" s="7" t="e">
        <f>#REF!</f>
        <v>#REF!</v>
      </c>
      <c r="C381" s="7" t="e">
        <f>#REF!</f>
        <v>#REF!</v>
      </c>
      <c r="D381" s="7" t="e">
        <f>#REF!</f>
        <v>#REF!</v>
      </c>
      <c r="E381" s="7" t="e">
        <f>#REF!</f>
        <v>#REF!</v>
      </c>
      <c r="F381" s="7" t="e">
        <f>#REF!</f>
        <v>#REF!</v>
      </c>
      <c r="G381" s="7" t="e">
        <f>#REF!</f>
        <v>#REF!</v>
      </c>
      <c r="H381" s="7" t="e">
        <f>#REF!</f>
        <v>#REF!</v>
      </c>
      <c r="I381" s="7" t="e">
        <f>#REF!</f>
        <v>#REF!</v>
      </c>
      <c r="J381" s="7" t="e">
        <f t="shared" si="109"/>
        <v>#REF!</v>
      </c>
      <c r="K381" s="7" t="e">
        <f t="shared" si="110"/>
        <v>#REF!</v>
      </c>
      <c r="L381" s="7" t="e">
        <f>IF(D381&lt;&gt;"Valid","",#REF!*0.4+#REF!*0.6)</f>
        <v>#REF!</v>
      </c>
      <c r="M381" s="7"/>
      <c r="N381" s="7" t="e">
        <f>IF(D381&lt;&gt;"Valid","Not Assessed (Insufficient Valid Data)",LOOKUP(L381,tblPerformanceCategory[Min],tblPerformanceCategory[Performance Category]))</f>
        <v>#REF!</v>
      </c>
      <c r="O381" s="7" t="e">
        <f>IF(D381="Valid","Yes","No")</f>
        <v>#REF!</v>
      </c>
    </row>
    <row r="382" spans="1:15" ht="42" hidden="1" customHeight="1">
      <c r="A382" s="7" t="e">
        <f>#REF!</f>
        <v>#REF!</v>
      </c>
      <c r="B382" s="7" t="e">
        <f>#REF!</f>
        <v>#REF!</v>
      </c>
      <c r="C382" s="7" t="e">
        <f>#REF!</f>
        <v>#REF!</v>
      </c>
      <c r="D382" s="7" t="e">
        <f>#REF!</f>
        <v>#REF!</v>
      </c>
      <c r="E382" s="7" t="e">
        <f>#REF!</f>
        <v>#REF!</v>
      </c>
      <c r="F382" s="7" t="e">
        <f>#REF!</f>
        <v>#REF!</v>
      </c>
      <c r="G382" s="7" t="e">
        <f>#REF!</f>
        <v>#REF!</v>
      </c>
      <c r="H382" s="7" t="e">
        <f>#REF!</f>
        <v>#REF!</v>
      </c>
      <c r="I382" s="7" t="e">
        <f>#REF!</f>
        <v>#REF!</v>
      </c>
      <c r="J382" s="7" t="e">
        <f t="shared" si="109"/>
        <v>#REF!</v>
      </c>
      <c r="K382" s="7" t="e">
        <f t="shared" si="110"/>
        <v>#REF!</v>
      </c>
      <c r="L382" s="7" t="e">
        <f>IF($D382&lt;&gt;"Valid",0,IFERROR(AVERAGE(#REF!,#REF!),0))</f>
        <v>#REF!</v>
      </c>
      <c r="M382" s="21" t="str">
        <f>IF(ISNUMBER(L382),_xlfn.RANK.EQ(L382,$L$2:$L$500,0),"")</f>
        <v/>
      </c>
      <c r="N382" s="7" t="e">
        <f>IF(L382=0,
"Not Assessed",
IF(L382&gt;=0.85,"Very High Performance",
IF(L382&gt;=0.7,"High Performance",
IF(L382&gt;=0.55,"Moderate Performance",
IF(L382&gt;=0.4,"Low Performance",
"Very Low Performance")))))</f>
        <v>#REF!</v>
      </c>
      <c r="O382" s="7" t="e">
        <f>IF($L382=0,
"Failed minimum data validation; requires contextual review in FSF.",
"Ready for contextual review in FSF.")</f>
        <v>#REF!</v>
      </c>
    </row>
    <row r="383" spans="1:15" hidden="1">
      <c r="A383" s="7" t="e">
        <f>#REF!</f>
        <v>#REF!</v>
      </c>
      <c r="B383" s="7" t="e">
        <f>#REF!</f>
        <v>#REF!</v>
      </c>
      <c r="C383" s="7" t="e">
        <f>#REF!</f>
        <v>#REF!</v>
      </c>
      <c r="D383" s="7" t="e">
        <f>#REF!</f>
        <v>#REF!</v>
      </c>
      <c r="E383" s="7" t="e">
        <f>#REF!</f>
        <v>#REF!</v>
      </c>
      <c r="F383" s="7" t="e">
        <f>#REF!</f>
        <v>#REF!</v>
      </c>
      <c r="G383" s="7" t="e">
        <f>#REF!</f>
        <v>#REF!</v>
      </c>
      <c r="H383" s="7" t="e">
        <f>#REF!</f>
        <v>#REF!</v>
      </c>
      <c r="I383" s="7" t="e">
        <f>#REF!</f>
        <v>#REF!</v>
      </c>
      <c r="J383" s="7" t="e">
        <f t="shared" si="109"/>
        <v>#REF!</v>
      </c>
      <c r="K383" s="7" t="e">
        <f t="shared" si="110"/>
        <v>#REF!</v>
      </c>
      <c r="L383" s="7" t="e">
        <f>IF(D383&lt;&gt;"Valid","",#REF!*0.4+#REF!*0.6)</f>
        <v>#REF!</v>
      </c>
      <c r="M383" s="7"/>
      <c r="N383" s="7" t="e">
        <f>IF(D383&lt;&gt;"Valid","Not Assessed (Insufficient Valid Data)",LOOKUP(L383,tblPerformanceCategory[Min],tblPerformanceCategory[Performance Category]))</f>
        <v>#REF!</v>
      </c>
      <c r="O383" s="7" t="e">
        <f>IF(D383="Valid","Yes","No")</f>
        <v>#REF!</v>
      </c>
    </row>
    <row r="384" spans="1:15" hidden="1">
      <c r="A384" s="7" t="e">
        <f>#REF!</f>
        <v>#REF!</v>
      </c>
      <c r="B384" s="7" t="e">
        <f>#REF!</f>
        <v>#REF!</v>
      </c>
      <c r="C384" s="7" t="e">
        <f>#REF!</f>
        <v>#REF!</v>
      </c>
      <c r="D384" s="7" t="e">
        <f>#REF!</f>
        <v>#REF!</v>
      </c>
      <c r="E384" s="7" t="e">
        <f>#REF!</f>
        <v>#REF!</v>
      </c>
      <c r="F384" s="7" t="e">
        <f>#REF!</f>
        <v>#REF!</v>
      </c>
      <c r="G384" s="7" t="e">
        <f>#REF!</f>
        <v>#REF!</v>
      </c>
      <c r="H384" s="7" t="e">
        <f>#REF!</f>
        <v>#REF!</v>
      </c>
      <c r="I384" s="7" t="e">
        <f>#REF!</f>
        <v>#REF!</v>
      </c>
      <c r="J384" s="7" t="e">
        <f t="shared" si="109"/>
        <v>#REF!</v>
      </c>
      <c r="K384" s="7" t="e">
        <f t="shared" si="110"/>
        <v>#REF!</v>
      </c>
      <c r="L384" s="7" t="e">
        <f>IF(D384&lt;&gt;"Valid","",#REF!*0.4+#REF!*0.6)</f>
        <v>#REF!</v>
      </c>
      <c r="M384" s="7"/>
      <c r="N384" s="7" t="e">
        <f>IF(D384&lt;&gt;"Valid","Not Assessed (Insufficient Valid Data)",LOOKUP(L384,tblPerformanceCategory[Min],tblPerformanceCategory[Performance Category]))</f>
        <v>#REF!</v>
      </c>
      <c r="O384" s="7" t="e">
        <f>IF(D384="Valid","Yes","No")</f>
        <v>#REF!</v>
      </c>
    </row>
    <row r="385" spans="1:15" hidden="1">
      <c r="A385" s="7" t="e">
        <f>#REF!</f>
        <v>#REF!</v>
      </c>
      <c r="B385" s="7" t="e">
        <f>#REF!</f>
        <v>#REF!</v>
      </c>
      <c r="C385" s="7" t="e">
        <f>#REF!</f>
        <v>#REF!</v>
      </c>
      <c r="D385" s="7" t="e">
        <f>#REF!</f>
        <v>#REF!</v>
      </c>
      <c r="E385" s="7" t="e">
        <f>#REF!</f>
        <v>#REF!</v>
      </c>
      <c r="F385" s="7" t="e">
        <f>#REF!</f>
        <v>#REF!</v>
      </c>
      <c r="G385" s="7" t="e">
        <f>#REF!</f>
        <v>#REF!</v>
      </c>
      <c r="H385" s="7" t="e">
        <f>#REF!</f>
        <v>#REF!</v>
      </c>
      <c r="I385" s="7" t="e">
        <f>#REF!</f>
        <v>#REF!</v>
      </c>
      <c r="J385" s="7" t="e">
        <f t="shared" si="109"/>
        <v>#REF!</v>
      </c>
      <c r="K385" s="7" t="e">
        <f t="shared" si="110"/>
        <v>#REF!</v>
      </c>
      <c r="L385" s="7" t="e">
        <f>IF(D385&lt;&gt;"Valid","",#REF!*0.4+#REF!*0.6)</f>
        <v>#REF!</v>
      </c>
      <c r="M385" s="7"/>
      <c r="N385" s="7" t="e">
        <f>IF(D385&lt;&gt;"Valid","Not Assessed (Insufficient Valid Data)",LOOKUP(L385,tblPerformanceCategory[Min],tblPerformanceCategory[Performance Category]))</f>
        <v>#REF!</v>
      </c>
      <c r="O385" s="7" t="e">
        <f>IF(D385="Valid","Yes","No")</f>
        <v>#REF!</v>
      </c>
    </row>
    <row r="386" spans="1:15" hidden="1">
      <c r="A386" s="7" t="e">
        <f>#REF!</f>
        <v>#REF!</v>
      </c>
      <c r="B386" s="7" t="e">
        <f>#REF!</f>
        <v>#REF!</v>
      </c>
      <c r="C386" s="7" t="e">
        <f>#REF!</f>
        <v>#REF!</v>
      </c>
      <c r="D386" s="7" t="e">
        <f>#REF!</f>
        <v>#REF!</v>
      </c>
      <c r="E386" s="7" t="e">
        <f>#REF!</f>
        <v>#REF!</v>
      </c>
      <c r="F386" s="7" t="e">
        <f>#REF!</f>
        <v>#REF!</v>
      </c>
      <c r="G386" s="7" t="e">
        <f>#REF!</f>
        <v>#REF!</v>
      </c>
      <c r="H386" s="7" t="e">
        <f>#REF!</f>
        <v>#REF!</v>
      </c>
      <c r="I386" s="7" t="e">
        <f>#REF!</f>
        <v>#REF!</v>
      </c>
      <c r="J386" s="7" t="e">
        <f t="shared" si="109"/>
        <v>#REF!</v>
      </c>
      <c r="K386" s="7" t="e">
        <f t="shared" si="110"/>
        <v>#REF!</v>
      </c>
      <c r="L386" s="7" t="e">
        <f>IF(D386&lt;&gt;"Valid","",#REF!*0.4+#REF!*0.6)</f>
        <v>#REF!</v>
      </c>
      <c r="M386" s="7"/>
      <c r="N386" s="7" t="e">
        <f>IF(D386&lt;&gt;"Valid","Not Assessed (Insufficient Valid Data)",LOOKUP(L386,tblPerformanceCategory[Min],tblPerformanceCategory[Performance Category]))</f>
        <v>#REF!</v>
      </c>
      <c r="O386" s="7" t="e">
        <f>IF(D386="Valid","Yes","No")</f>
        <v>#REF!</v>
      </c>
    </row>
    <row r="387" spans="1:15" ht="42" customHeight="1">
      <c r="A387" s="7" t="str">
        <f>Derived_Indicators!A387</f>
        <v>Bwari Local Government Area</v>
      </c>
      <c r="B387" s="7" t="str">
        <f>Derived_Indicators!B387</f>
        <v>Bwari Central Ward</v>
      </c>
      <c r="C387" s="7" t="str">
        <f>Derived_Indicators!C387</f>
        <v>Yaupe Primary Health Clinic</v>
      </c>
      <c r="D387" s="7" t="str">
        <f>Derived_Indicators!Q387</f>
        <v>Incomplete</v>
      </c>
      <c r="E387" s="23">
        <f>Derived_Indicators!D387</f>
        <v>0.95454545454545459</v>
      </c>
      <c r="F387" s="23" t="str">
        <f>Derived_Indicators!E387</f>
        <v/>
      </c>
      <c r="G387" s="23">
        <f>Derived_Indicators!K387</f>
        <v>1.9019607843137254</v>
      </c>
      <c r="H387" s="23">
        <f>Derived_Indicators!M387</f>
        <v>0.41935483870967744</v>
      </c>
      <c r="I387" s="23" t="str">
        <f>Derived_Indicators!N387</f>
        <v/>
      </c>
      <c r="J387" s="23" t="str">
        <f>IF($D387&lt;&gt;"Valid","",AVERAGE(E387:F387))</f>
        <v/>
      </c>
      <c r="K387" s="23" t="str">
        <f>IF($D387&lt;&gt;"Valid","",AVERAGE(G387:I387))</f>
        <v/>
      </c>
      <c r="L387" s="23" t="str">
        <f>IF($D387&lt;&gt;"Valid","",AVERAGE(J387,K387))</f>
        <v/>
      </c>
      <c r="M387" s="21" t="str">
        <f>IF(AND($D387="Valid",ISNUMBER(L387)),RANK(L387,$L$2:$L$500,0),"")</f>
        <v/>
      </c>
      <c r="N387" s="7" t="str">
        <f>IF(L387="",
"Not Assessed",
IF(L387&gt;=0.85,"Excellent",
IF(L387&gt;=0.7,"Good",
IF(L387&gt;=0.55,"Moderate",
IF(L387&gt;=0.4,"Low",
"Very Low")))))</f>
        <v>Not Assessed</v>
      </c>
      <c r="O387" s="7" t="str">
        <f>IF($D387&lt;&gt;"Valid",
"Failed data validation; excluded from HFSI and requires contextual review in the Health Facility Selection Framework (HFSF).",
"Eligible for contextual assessment using the Health Facility Selection Framework (HFSF).")</f>
        <v>Failed data validation; excluded from HFSI and requires contextual review in the Health Facility Selection Framework (HFSF).</v>
      </c>
    </row>
    <row r="388" spans="1:15" hidden="1">
      <c r="A388" s="7" t="e">
        <f>#REF!</f>
        <v>#REF!</v>
      </c>
      <c r="B388" s="7" t="e">
        <f>#REF!</f>
        <v>#REF!</v>
      </c>
      <c r="C388" s="7" t="e">
        <f>#REF!</f>
        <v>#REF!</v>
      </c>
      <c r="D388" s="7" t="e">
        <f>#REF!</f>
        <v>#REF!</v>
      </c>
      <c r="E388" s="7" t="e">
        <f>#REF!</f>
        <v>#REF!</v>
      </c>
      <c r="F388" s="7" t="e">
        <f>#REF!</f>
        <v>#REF!</v>
      </c>
      <c r="G388" s="7" t="e">
        <f>#REF!</f>
        <v>#REF!</v>
      </c>
      <c r="H388" s="7" t="e">
        <f>#REF!</f>
        <v>#REF!</v>
      </c>
      <c r="I388" s="7" t="e">
        <f>#REF!</f>
        <v>#REF!</v>
      </c>
      <c r="J388" s="7" t="e">
        <f t="shared" ref="J388:J393" si="111">IF(D388&lt;&gt;"Valid","",SUM(E388:F388))</f>
        <v>#REF!</v>
      </c>
      <c r="K388" s="7" t="e">
        <f t="shared" ref="K388:K393" si="112">IF(D388&lt;&gt;"Valid","",SUM(G388:I388))</f>
        <v>#REF!</v>
      </c>
      <c r="L388" s="7" t="e">
        <f>IF(D388&lt;&gt;"Valid","",#REF!*0.4+#REF!*0.6)</f>
        <v>#REF!</v>
      </c>
      <c r="M388" s="7"/>
      <c r="N388" s="7" t="e">
        <f>IF(D388&lt;&gt;"Valid","Not Assessed (Insufficient Valid Data)",LOOKUP(L388,tblPerformanceCategory[Min],tblPerformanceCategory[Performance Category]))</f>
        <v>#REF!</v>
      </c>
      <c r="O388" s="7" t="e">
        <f>IF(D388="Valid","Yes","No")</f>
        <v>#REF!</v>
      </c>
    </row>
    <row r="389" spans="1:15" hidden="1">
      <c r="A389" s="7" t="e">
        <f>#REF!</f>
        <v>#REF!</v>
      </c>
      <c r="B389" s="7" t="e">
        <f>#REF!</f>
        <v>#REF!</v>
      </c>
      <c r="C389" s="7" t="e">
        <f>#REF!</f>
        <v>#REF!</v>
      </c>
      <c r="D389" s="7" t="e">
        <f>#REF!</f>
        <v>#REF!</v>
      </c>
      <c r="E389" s="7" t="e">
        <f>#REF!</f>
        <v>#REF!</v>
      </c>
      <c r="F389" s="7" t="e">
        <f>#REF!</f>
        <v>#REF!</v>
      </c>
      <c r="G389" s="7" t="e">
        <f>#REF!</f>
        <v>#REF!</v>
      </c>
      <c r="H389" s="7" t="e">
        <f>#REF!</f>
        <v>#REF!</v>
      </c>
      <c r="I389" s="7" t="e">
        <f>#REF!</f>
        <v>#REF!</v>
      </c>
      <c r="J389" s="7" t="e">
        <f t="shared" si="111"/>
        <v>#REF!</v>
      </c>
      <c r="K389" s="7" t="e">
        <f t="shared" si="112"/>
        <v>#REF!</v>
      </c>
      <c r="L389" s="7" t="e">
        <f>IF(D389&lt;&gt;"Valid","",#REF!*0.4+#REF!*0.6)</f>
        <v>#REF!</v>
      </c>
      <c r="M389" s="7"/>
      <c r="N389" s="7" t="e">
        <f>IF(D389&lt;&gt;"Valid","Not Assessed (Insufficient Valid Data)",LOOKUP(L389,tblPerformanceCategory[Min],tblPerformanceCategory[Performance Category]))</f>
        <v>#REF!</v>
      </c>
      <c r="O389" s="7" t="e">
        <f>IF(D389="Valid","Yes","No")</f>
        <v>#REF!</v>
      </c>
    </row>
    <row r="390" spans="1:15" hidden="1">
      <c r="A390" s="7" t="e">
        <f>#REF!</f>
        <v>#REF!</v>
      </c>
      <c r="B390" s="7" t="e">
        <f>#REF!</f>
        <v>#REF!</v>
      </c>
      <c r="C390" s="7" t="e">
        <f>#REF!</f>
        <v>#REF!</v>
      </c>
      <c r="D390" s="7" t="e">
        <f>#REF!</f>
        <v>#REF!</v>
      </c>
      <c r="E390" s="7" t="e">
        <f>#REF!</f>
        <v>#REF!</v>
      </c>
      <c r="F390" s="7" t="e">
        <f>#REF!</f>
        <v>#REF!</v>
      </c>
      <c r="G390" s="7" t="e">
        <f>#REF!</f>
        <v>#REF!</v>
      </c>
      <c r="H390" s="7" t="e">
        <f>#REF!</f>
        <v>#REF!</v>
      </c>
      <c r="I390" s="7" t="e">
        <f>#REF!</f>
        <v>#REF!</v>
      </c>
      <c r="J390" s="7" t="e">
        <f t="shared" si="111"/>
        <v>#REF!</v>
      </c>
      <c r="K390" s="7" t="e">
        <f t="shared" si="112"/>
        <v>#REF!</v>
      </c>
      <c r="L390" s="7" t="e">
        <f>IF(D390&lt;&gt;"Valid","",#REF!*0.4+#REF!*0.6)</f>
        <v>#REF!</v>
      </c>
      <c r="M390" s="7"/>
      <c r="N390" s="7" t="e">
        <f>IF(D390&lt;&gt;"Valid","Not Assessed (Insufficient Valid Data)",LOOKUP(L390,tblPerformanceCategory[Min],tblPerformanceCategory[Performance Category]))</f>
        <v>#REF!</v>
      </c>
      <c r="O390" s="7" t="e">
        <f>IF(D390="Valid","Yes","No")</f>
        <v>#REF!</v>
      </c>
    </row>
    <row r="391" spans="1:15" hidden="1">
      <c r="A391" s="7" t="e">
        <f>#REF!</f>
        <v>#REF!</v>
      </c>
      <c r="B391" s="7" t="e">
        <f>#REF!</f>
        <v>#REF!</v>
      </c>
      <c r="C391" s="7" t="e">
        <f>#REF!</f>
        <v>#REF!</v>
      </c>
      <c r="D391" s="7" t="e">
        <f>#REF!</f>
        <v>#REF!</v>
      </c>
      <c r="E391" s="7" t="e">
        <f>#REF!</f>
        <v>#REF!</v>
      </c>
      <c r="F391" s="7" t="e">
        <f>#REF!</f>
        <v>#REF!</v>
      </c>
      <c r="G391" s="7" t="e">
        <f>#REF!</f>
        <v>#REF!</v>
      </c>
      <c r="H391" s="7" t="e">
        <f>#REF!</f>
        <v>#REF!</v>
      </c>
      <c r="I391" s="7" t="e">
        <f>#REF!</f>
        <v>#REF!</v>
      </c>
      <c r="J391" s="7" t="e">
        <f t="shared" si="111"/>
        <v>#REF!</v>
      </c>
      <c r="K391" s="7" t="e">
        <f t="shared" si="112"/>
        <v>#REF!</v>
      </c>
      <c r="L391" s="7" t="e">
        <f>IF(D391&lt;&gt;"Valid","",#REF!*0.4+#REF!*0.6)</f>
        <v>#REF!</v>
      </c>
      <c r="M391" s="7"/>
      <c r="N391" s="7" t="e">
        <f>IF(D391&lt;&gt;"Valid","Not Assessed (Insufficient Valid Data)",LOOKUP(L391,tblPerformanceCategory[Min],tblPerformanceCategory[Performance Category]))</f>
        <v>#REF!</v>
      </c>
      <c r="O391" s="7" t="e">
        <f>IF(D391="Valid","Yes","No")</f>
        <v>#REF!</v>
      </c>
    </row>
    <row r="392" spans="1:15" ht="42" hidden="1" customHeight="1">
      <c r="A392" s="7" t="e">
        <f>#REF!</f>
        <v>#REF!</v>
      </c>
      <c r="B392" s="7" t="e">
        <f>#REF!</f>
        <v>#REF!</v>
      </c>
      <c r="C392" s="7" t="e">
        <f>#REF!</f>
        <v>#REF!</v>
      </c>
      <c r="D392" s="7" t="e">
        <f>#REF!</f>
        <v>#REF!</v>
      </c>
      <c r="E392" s="7" t="e">
        <f>#REF!</f>
        <v>#REF!</v>
      </c>
      <c r="F392" s="7" t="e">
        <f>#REF!</f>
        <v>#REF!</v>
      </c>
      <c r="G392" s="7" t="e">
        <f>#REF!</f>
        <v>#REF!</v>
      </c>
      <c r="H392" s="7" t="e">
        <f>#REF!</f>
        <v>#REF!</v>
      </c>
      <c r="I392" s="7" t="e">
        <f>#REF!</f>
        <v>#REF!</v>
      </c>
      <c r="J392" s="7" t="e">
        <f t="shared" si="111"/>
        <v>#REF!</v>
      </c>
      <c r="K392" s="7" t="e">
        <f t="shared" si="112"/>
        <v>#REF!</v>
      </c>
      <c r="L392" s="7" t="e">
        <f>IF($D392&lt;&gt;"Valid",0,IFERROR(AVERAGE(#REF!,#REF!),0))</f>
        <v>#REF!</v>
      </c>
      <c r="M392" s="21" t="str">
        <f>IF(ISNUMBER(L392),_xlfn.RANK.EQ(L392,$L$2:$L$500,0),"")</f>
        <v/>
      </c>
      <c r="N392" s="7" t="e">
        <f>IF(L392=0,
"Not Assessed",
IF(L392&gt;=0.85,"Very High Performance",
IF(L392&gt;=0.7,"High Performance",
IF(L392&gt;=0.55,"Moderate Performance",
IF(L392&gt;=0.4,"Low Performance",
"Very Low Performance")))))</f>
        <v>#REF!</v>
      </c>
      <c r="O392" s="7" t="e">
        <f>IF($L392=0,
"Failed minimum data validation; requires contextual review in FSF.",
"Ready for contextual review in FSF.")</f>
        <v>#REF!</v>
      </c>
    </row>
    <row r="393" spans="1:15" ht="42" hidden="1" customHeight="1">
      <c r="A393" s="7" t="e">
        <f>#REF!</f>
        <v>#REF!</v>
      </c>
      <c r="B393" s="7" t="e">
        <f>#REF!</f>
        <v>#REF!</v>
      </c>
      <c r="C393" s="7" t="e">
        <f>#REF!</f>
        <v>#REF!</v>
      </c>
      <c r="D393" s="7" t="e">
        <f>#REF!</f>
        <v>#REF!</v>
      </c>
      <c r="E393" s="7" t="e">
        <f>#REF!</f>
        <v>#REF!</v>
      </c>
      <c r="F393" s="7" t="e">
        <f>#REF!</f>
        <v>#REF!</v>
      </c>
      <c r="G393" s="7" t="e">
        <f>#REF!</f>
        <v>#REF!</v>
      </c>
      <c r="H393" s="7" t="e">
        <f>#REF!</f>
        <v>#REF!</v>
      </c>
      <c r="I393" s="7" t="e">
        <f>#REF!</f>
        <v>#REF!</v>
      </c>
      <c r="J393" s="7" t="e">
        <f t="shared" si="111"/>
        <v>#REF!</v>
      </c>
      <c r="K393" s="7" t="e">
        <f t="shared" si="112"/>
        <v>#REF!</v>
      </c>
      <c r="L393" s="7" t="e">
        <f>IF($D393&lt;&gt;"Valid",0,IFERROR(AVERAGE(#REF!,#REF!),0))</f>
        <v>#REF!</v>
      </c>
      <c r="M393" s="21" t="str">
        <f>IF(ISNUMBER(L393),_xlfn.RANK.EQ(L393,$L$2:$L$500,0),"")</f>
        <v/>
      </c>
      <c r="N393" s="7" t="e">
        <f>IF(L393=0,
"Not Assessed",
IF(L393&gt;=0.85,"Very High Performance",
IF(L393&gt;=0.7,"High Performance",
IF(L393&gt;=0.55,"Moderate Performance",
IF(L393&gt;=0.4,"Low Performance",
"Very Low Performance")))))</f>
        <v>#REF!</v>
      </c>
      <c r="O393" s="7" t="e">
        <f>IF($L393=0,
"Failed minimum data validation; requires contextual review in FSF.",
"Ready for contextual review in FSF.")</f>
        <v>#REF!</v>
      </c>
    </row>
    <row r="394" spans="1:15" ht="42" customHeight="1">
      <c r="A394" s="7" t="str">
        <f>Derived_Indicators!A394</f>
        <v>Bwari Local Government Area</v>
      </c>
      <c r="B394" s="7" t="str">
        <f>Derived_Indicators!B394</f>
        <v>Dutse Ward</v>
      </c>
      <c r="C394" s="7" t="str">
        <f>Derived_Indicators!C394</f>
        <v>Zhigakuchi Primary Health Clinic</v>
      </c>
      <c r="D394" s="7" t="str">
        <f>Derived_Indicators!Q394</f>
        <v>Invalid</v>
      </c>
      <c r="E394" s="23">
        <f>Derived_Indicators!D394</f>
        <v>0.90909090909090906</v>
      </c>
      <c r="F394" s="23">
        <f>Derived_Indicators!E394</f>
        <v>0.6</v>
      </c>
      <c r="G394" s="23">
        <f>Derived_Indicators!K394</f>
        <v>1.3488372093023255</v>
      </c>
      <c r="H394" s="23">
        <f>Derived_Indicators!M394</f>
        <v>0.35353535353535354</v>
      </c>
      <c r="I394" s="23">
        <f>Derived_Indicators!N394</f>
        <v>7.0707070707070704E-2</v>
      </c>
      <c r="J394" s="23" t="str">
        <f t="shared" ref="J394:J398" si="113">IF($D394&lt;&gt;"Valid","",AVERAGE(E394:F394))</f>
        <v/>
      </c>
      <c r="K394" s="23" t="str">
        <f t="shared" ref="K394:K398" si="114">IF($D394&lt;&gt;"Valid","",AVERAGE(G394:I394))</f>
        <v/>
      </c>
      <c r="L394" s="23" t="str">
        <f t="shared" ref="L394:L398" si="115">IF($D394&lt;&gt;"Valid","",AVERAGE(J394,K394))</f>
        <v/>
      </c>
      <c r="M394" s="21" t="str">
        <f t="shared" ref="M394:M398" si="116">IF(AND($D394="Valid",ISNUMBER(L394)),RANK(L394,$L$2:$L$500,0),"")</f>
        <v/>
      </c>
      <c r="N394" s="7" t="str">
        <f t="shared" ref="N394:N398" si="117">IF(L394="",
"Not Assessed",
IF(L394&gt;=0.85,"Excellent",
IF(L394&gt;=0.7,"Good",
IF(L394&gt;=0.55,"Moderate",
IF(L394&gt;=0.4,"Low",
"Very Low")))))</f>
        <v>Not Assessed</v>
      </c>
      <c r="O394" s="7" t="str">
        <f t="shared" ref="O394:O398" si="118">IF($D394&lt;&gt;"Valid",
"Failed data validation; excluded from HFSI and requires contextual review in the Health Facility Selection Framework (HFSF).",
"Eligible for contextual assessment using the Health Facility Selection Framework (HFSF).")</f>
        <v>Failed data validation; excluded from HFSI and requires contextual review in the Health Facility Selection Framework (HFSF).</v>
      </c>
    </row>
    <row r="395" spans="1:15" ht="114" customHeight="1">
      <c r="A395" s="7" t="str">
        <f>Derived_Indicators!A395</f>
        <v>Bwari Local Government Area</v>
      </c>
      <c r="B395" s="7" t="str">
        <f>Derived_Indicators!B395</f>
        <v>Byazhin Ward</v>
      </c>
      <c r="C395" s="7" t="str">
        <f>Derived_Indicators!C395</f>
        <v>Zhiko Primary Health Clinic</v>
      </c>
      <c r="D395" s="7" t="str">
        <f>Derived_Indicators!Q395</f>
        <v>Invalid</v>
      </c>
      <c r="E395" s="23">
        <f>Derived_Indicators!D395</f>
        <v>1</v>
      </c>
      <c r="F395" s="23">
        <f>Derived_Indicators!E395</f>
        <v>1</v>
      </c>
      <c r="G395" s="23">
        <f>Derived_Indicators!K395</f>
        <v>0.93684210526315792</v>
      </c>
      <c r="H395" s="23">
        <f>Derived_Indicators!M395</f>
        <v>1.2352941176470589</v>
      </c>
      <c r="I395" s="23">
        <f>Derived_Indicators!N395</f>
        <v>0.35294117647058826</v>
      </c>
      <c r="J395" s="23" t="str">
        <f t="shared" si="113"/>
        <v/>
      </c>
      <c r="K395" s="23" t="str">
        <f t="shared" si="114"/>
        <v/>
      </c>
      <c r="L395" s="23" t="str">
        <f t="shared" si="115"/>
        <v/>
      </c>
      <c r="M395" s="21" t="str">
        <f t="shared" si="116"/>
        <v/>
      </c>
      <c r="N395" s="7" t="str">
        <f t="shared" si="117"/>
        <v>Not Assessed</v>
      </c>
      <c r="O395" s="7" t="str">
        <f t="shared" si="118"/>
        <v>Failed data validation; excluded from HFSI and requires contextual review in the Health Facility Selection Framework (HFSF).</v>
      </c>
    </row>
    <row r="396" spans="1:15" ht="165">
      <c r="A396" s="7" t="str">
        <f>Derived_Indicators!A396</f>
        <v>Kuje Local Government Area</v>
      </c>
      <c r="B396" s="7" t="str">
        <f>Derived_Indicators!B396</f>
        <v>Rubochi Ward</v>
      </c>
      <c r="C396" s="7" t="str">
        <f>Derived_Indicators!C396</f>
        <v>Zokotu Primary Health Centre</v>
      </c>
      <c r="D396" s="7" t="str">
        <f>Derived_Indicators!Q396</f>
        <v>Invalid</v>
      </c>
      <c r="E396" s="23">
        <f>Derived_Indicators!D396</f>
        <v>1</v>
      </c>
      <c r="F396" s="23">
        <f>Derived_Indicators!E396</f>
        <v>1</v>
      </c>
      <c r="G396" s="23">
        <f>Derived_Indicators!K396</f>
        <v>1.1801242236024845</v>
      </c>
      <c r="H396" s="23">
        <f>Derived_Indicators!M396</f>
        <v>0.10810810810810811</v>
      </c>
      <c r="I396" s="23">
        <f>Derived_Indicators!N396</f>
        <v>4.0540540540540543E-2</v>
      </c>
      <c r="J396" s="23" t="str">
        <f t="shared" si="113"/>
        <v/>
      </c>
      <c r="K396" s="23" t="str">
        <f t="shared" si="114"/>
        <v/>
      </c>
      <c r="L396" s="23" t="str">
        <f t="shared" si="115"/>
        <v/>
      </c>
      <c r="M396" s="21" t="str">
        <f t="shared" si="116"/>
        <v/>
      </c>
      <c r="N396" s="7" t="str">
        <f t="shared" si="117"/>
        <v>Not Assessed</v>
      </c>
      <c r="O396" s="7" t="str">
        <f t="shared" si="118"/>
        <v>Failed data validation; excluded from HFSI and requires contextual review in the Health Facility Selection Framework (HFSF).</v>
      </c>
    </row>
    <row r="397" spans="1:15" ht="165">
      <c r="A397" s="7" t="str">
        <f>Derived_Indicators!A397</f>
        <v>Gwagwalada Local Government Area</v>
      </c>
      <c r="B397" s="7" t="str">
        <f>Derived_Indicators!B397</f>
        <v>Zuba Ward</v>
      </c>
      <c r="C397" s="7" t="str">
        <f>Derived_Indicators!C397</f>
        <v>Zuba General Hospital</v>
      </c>
      <c r="D397" s="7" t="str">
        <f>Derived_Indicators!Q397</f>
        <v>Invalid</v>
      </c>
      <c r="E397" s="23">
        <f>Derived_Indicators!D397</f>
        <v>0.79166666666666674</v>
      </c>
      <c r="F397" s="23" t="str">
        <f>Derived_Indicators!E397</f>
        <v/>
      </c>
      <c r="G397" s="23">
        <f>Derived_Indicators!K397</f>
        <v>1.2933333333333332</v>
      </c>
      <c r="H397" s="23">
        <f>Derived_Indicators!M397</f>
        <v>0.8970588235294118</v>
      </c>
      <c r="I397" s="23">
        <f>Derived_Indicators!N397</f>
        <v>0.35294117647058826</v>
      </c>
      <c r="J397" s="23" t="str">
        <f t="shared" si="113"/>
        <v/>
      </c>
      <c r="K397" s="23" t="str">
        <f t="shared" si="114"/>
        <v/>
      </c>
      <c r="L397" s="23" t="str">
        <f t="shared" si="115"/>
        <v/>
      </c>
      <c r="M397" s="21" t="str">
        <f t="shared" si="116"/>
        <v/>
      </c>
      <c r="N397" s="7" t="str">
        <f t="shared" si="117"/>
        <v>Not Assessed</v>
      </c>
      <c r="O397" s="7" t="str">
        <f t="shared" si="118"/>
        <v>Failed data validation; excluded from HFSI and requires contextual review in the Health Facility Selection Framework (HFSF).</v>
      </c>
    </row>
    <row r="398" spans="1:15" ht="165">
      <c r="A398" s="7" t="str">
        <f>Derived_Indicators!A398</f>
        <v>Gwagwalada Local Government Area</v>
      </c>
      <c r="B398" s="7" t="str">
        <f>Derived_Indicators!B398</f>
        <v>Zuba Ward</v>
      </c>
      <c r="C398" s="7" t="str">
        <f>Derived_Indicators!C398</f>
        <v>Zuba Primary Health Center</v>
      </c>
      <c r="D398" s="7" t="str">
        <f>Derived_Indicators!Q398</f>
        <v>Invalid</v>
      </c>
      <c r="E398" s="23">
        <f>Derived_Indicators!D398</f>
        <v>0.84861249999999999</v>
      </c>
      <c r="F398" s="23">
        <f>Derived_Indicators!E398</f>
        <v>1.0041624999999998</v>
      </c>
      <c r="G398" s="23">
        <f>Derived_Indicators!K398</f>
        <v>1.4228468899521531</v>
      </c>
      <c r="H398" s="23">
        <f>Derived_Indicators!M398</f>
        <v>0.33269598470363287</v>
      </c>
      <c r="I398" s="23">
        <f>Derived_Indicators!N398</f>
        <v>4.0152963671128104E-2</v>
      </c>
      <c r="J398" s="23" t="str">
        <f t="shared" si="113"/>
        <v/>
      </c>
      <c r="K398" s="23" t="str">
        <f t="shared" si="114"/>
        <v/>
      </c>
      <c r="L398" s="23" t="str">
        <f t="shared" si="115"/>
        <v/>
      </c>
      <c r="M398" s="21" t="str">
        <f t="shared" si="116"/>
        <v/>
      </c>
      <c r="N398" s="7" t="str">
        <f t="shared" si="117"/>
        <v>Not Assessed</v>
      </c>
      <c r="O398" s="7" t="str">
        <f t="shared" si="118"/>
        <v>Failed data validation; excluded from HFSI and requires contextual review in the Health Facility Selection Framework (HFSF).</v>
      </c>
    </row>
    <row r="399" spans="1:15">
      <c r="M399" s="21"/>
    </row>
    <row r="400" spans="1:15">
      <c r="L400" s="13"/>
      <c r="M400" s="21"/>
    </row>
    <row r="401" spans="12:12">
      <c r="L401" s="13"/>
    </row>
    <row r="402" spans="12:12">
      <c r="L402" s="13"/>
    </row>
    <row r="403" spans="12:12">
      <c r="L403" s="13"/>
    </row>
    <row r="404" spans="12:12">
      <c r="L404" s="13"/>
    </row>
    <row r="405" spans="12:12">
      <c r="L405" s="13"/>
    </row>
    <row r="406" spans="12:12">
      <c r="L406" s="13"/>
    </row>
    <row r="407" spans="12:12">
      <c r="L407" s="13"/>
    </row>
    <row r="408" spans="12:12">
      <c r="L408" s="13"/>
    </row>
    <row r="409" spans="12:12">
      <c r="L409" s="13"/>
    </row>
    <row r="410" spans="12:12">
      <c r="L410" s="13"/>
    </row>
  </sheetData>
  <autoFilter ref="A1:O399" xr:uid="{2A880627-8530-42B0-A986-0DA3EA561F65}">
    <filterColumn colId="0">
      <filters>
        <filter val="Bwari Local Government Area"/>
      </filters>
    </filterColumn>
  </autoFilter>
  <sortState xmlns:xlrd2="http://schemas.microsoft.com/office/spreadsheetml/2017/richdata2" ref="A2:O401">
    <sortCondition descending="1" ref="L2:L401"/>
  </sortState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2E7C4E-CF9F-4EEE-B331-A751A94EE696}">
  <sheetPr>
    <tabColor theme="8" tint="-0.499984740745262"/>
  </sheetPr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8CC52-5B83-4AEF-9D55-195CF867FB63}">
  <sheetPr>
    <tabColor theme="0" tint="-0.499984740745262"/>
  </sheetPr>
  <dimension ref="A1:AJ201"/>
  <sheetViews>
    <sheetView topLeftCell="A173" workbookViewId="0">
      <selection activeCell="C174" sqref="C174"/>
    </sheetView>
  </sheetViews>
  <sheetFormatPr defaultRowHeight="15"/>
  <cols>
    <col min="1" max="1" width="12.42578125" style="4" customWidth="1"/>
    <col min="2" max="2" width="16.5703125" style="4" customWidth="1"/>
    <col min="3" max="3" width="13.28515625" style="4" customWidth="1"/>
    <col min="4" max="4" width="9.140625" style="4"/>
    <col min="5" max="5" width="14.140625" style="4" customWidth="1"/>
    <col min="6" max="6" width="22.5703125" style="4" customWidth="1"/>
    <col min="7" max="7" width="9.140625" style="4"/>
    <col min="8" max="8" width="11.85546875" style="4" customWidth="1"/>
    <col min="9" max="9" width="12.140625" style="4" customWidth="1"/>
    <col min="10" max="14" width="9.140625" style="4"/>
    <col min="15" max="15" width="17.140625" style="4" customWidth="1"/>
    <col min="16" max="16" width="11" style="4" customWidth="1"/>
    <col min="17" max="18" width="9.140625" style="4"/>
    <col min="19" max="19" width="9.7109375" style="4" customWidth="1"/>
    <col min="20" max="20" width="9.140625" style="4"/>
    <col min="21" max="21" width="17.28515625" style="4" customWidth="1"/>
    <col min="22" max="22" width="9.140625" style="4"/>
    <col min="23" max="23" width="20.28515625" style="4" customWidth="1"/>
    <col min="24" max="24" width="9.140625" style="4"/>
    <col min="25" max="25" width="11" style="4" customWidth="1"/>
    <col min="26" max="26" width="12.85546875" style="4" customWidth="1"/>
    <col min="27" max="28" width="9.140625" style="4"/>
    <col min="29" max="29" width="17.140625" style="4" customWidth="1"/>
    <col min="30" max="30" width="22.28515625" style="4" customWidth="1"/>
    <col min="31" max="31" width="9.140625" style="4"/>
    <col min="32" max="32" width="14.28515625" style="4" customWidth="1"/>
    <col min="33" max="33" width="22.42578125" style="4" customWidth="1"/>
    <col min="34" max="34" width="9.140625" style="4"/>
    <col min="35" max="35" width="31.85546875" style="4" customWidth="1"/>
    <col min="36" max="36" width="9.28515625" style="4" customWidth="1"/>
    <col min="37" max="37" width="34.85546875" style="4" customWidth="1"/>
    <col min="38" max="38" width="12.85546875" style="4" customWidth="1"/>
    <col min="39" max="16384" width="9.140625" style="4"/>
  </cols>
  <sheetData>
    <row r="1" spans="1:36" ht="18">
      <c r="A1" s="4" t="s">
        <v>624</v>
      </c>
      <c r="B1" s="4" t="s">
        <v>570</v>
      </c>
      <c r="C1" s="4" t="s">
        <v>625</v>
      </c>
      <c r="AJ1" s="19"/>
    </row>
    <row r="2" spans="1:36" ht="30">
      <c r="A2" s="4" t="s">
        <v>577</v>
      </c>
      <c r="B2" s="4" t="s">
        <v>577</v>
      </c>
      <c r="C2" s="4">
        <v>1</v>
      </c>
      <c r="AJ2" s="20"/>
    </row>
    <row r="3" spans="1:36" ht="45">
      <c r="A3" s="4" t="s">
        <v>693</v>
      </c>
      <c r="B3" s="4" t="s">
        <v>577</v>
      </c>
      <c r="C3" s="4">
        <v>2</v>
      </c>
      <c r="AJ3" s="20"/>
    </row>
    <row r="4" spans="1:36" ht="45">
      <c r="A4" s="4" t="s">
        <v>578</v>
      </c>
      <c r="B4" s="4" t="s">
        <v>578</v>
      </c>
      <c r="C4" s="4">
        <v>3</v>
      </c>
      <c r="AJ4" s="20"/>
    </row>
    <row r="5" spans="1:36" ht="30">
      <c r="A5" s="4" t="s">
        <v>579</v>
      </c>
      <c r="B5" s="4" t="s">
        <v>579</v>
      </c>
      <c r="C5" s="4">
        <v>4</v>
      </c>
    </row>
    <row r="6" spans="1:36" ht="30">
      <c r="A6" s="4" t="s">
        <v>574</v>
      </c>
      <c r="B6" s="4" t="s">
        <v>574</v>
      </c>
      <c r="C6" s="4">
        <v>5</v>
      </c>
    </row>
    <row r="7" spans="1:36" ht="45">
      <c r="A7" s="4" t="s">
        <v>685</v>
      </c>
      <c r="B7" s="4" t="s">
        <v>581</v>
      </c>
      <c r="C7" s="4">
        <v>6</v>
      </c>
    </row>
    <row r="8" spans="1:36" ht="30">
      <c r="A8" s="4" t="s">
        <v>682</v>
      </c>
      <c r="B8" s="4" t="s">
        <v>581</v>
      </c>
      <c r="C8" s="4">
        <v>7</v>
      </c>
    </row>
    <row r="9" spans="1:36" ht="30">
      <c r="A9" s="4" t="s">
        <v>683</v>
      </c>
      <c r="B9" s="4" t="s">
        <v>581</v>
      </c>
      <c r="C9" s="4">
        <v>8</v>
      </c>
    </row>
    <row r="10" spans="1:36" ht="30">
      <c r="A10" s="4" t="s">
        <v>582</v>
      </c>
      <c r="B10" s="4" t="s">
        <v>581</v>
      </c>
      <c r="C10" s="4">
        <v>9</v>
      </c>
    </row>
    <row r="11" spans="1:36" ht="30">
      <c r="A11" s="4" t="s">
        <v>583</v>
      </c>
      <c r="B11" s="4" t="s">
        <v>581</v>
      </c>
      <c r="C11" s="4">
        <v>10</v>
      </c>
    </row>
    <row r="12" spans="1:36" ht="30">
      <c r="A12" s="4" t="s">
        <v>681</v>
      </c>
      <c r="B12" s="4" t="s">
        <v>581</v>
      </c>
      <c r="C12" s="4">
        <v>11</v>
      </c>
    </row>
    <row r="13" spans="1:36" ht="30">
      <c r="A13" s="4" t="s">
        <v>584</v>
      </c>
      <c r="B13" s="4" t="s">
        <v>581</v>
      </c>
      <c r="C13" s="4">
        <v>12</v>
      </c>
    </row>
    <row r="14" spans="1:36" ht="30">
      <c r="A14" s="4" t="s">
        <v>585</v>
      </c>
      <c r="B14" s="4" t="s">
        <v>581</v>
      </c>
      <c r="C14" s="4">
        <v>13</v>
      </c>
      <c r="AJ14" s="20"/>
    </row>
    <row r="15" spans="1:36" ht="30">
      <c r="A15" s="4" t="s">
        <v>694</v>
      </c>
      <c r="B15" s="4" t="s">
        <v>581</v>
      </c>
      <c r="C15" s="4">
        <v>14</v>
      </c>
      <c r="AJ15" s="20"/>
    </row>
    <row r="16" spans="1:36" ht="30">
      <c r="A16" s="4" t="s">
        <v>586</v>
      </c>
      <c r="B16" s="4" t="s">
        <v>581</v>
      </c>
      <c r="C16" s="4">
        <v>15</v>
      </c>
      <c r="AJ16" s="20"/>
    </row>
    <row r="17" spans="1:36" ht="30">
      <c r="A17" s="4" t="s">
        <v>587</v>
      </c>
      <c r="B17" s="4" t="s">
        <v>581</v>
      </c>
      <c r="C17" s="4">
        <v>16</v>
      </c>
      <c r="AJ17" s="20"/>
    </row>
    <row r="18" spans="1:36" ht="30">
      <c r="A18" s="4" t="s">
        <v>684</v>
      </c>
      <c r="B18" s="4" t="s">
        <v>581</v>
      </c>
      <c r="C18" s="4">
        <v>17</v>
      </c>
      <c r="AJ18" s="20"/>
    </row>
    <row r="19" spans="1:36" ht="30">
      <c r="A19" s="4" t="s">
        <v>580</v>
      </c>
      <c r="B19" s="4" t="s">
        <v>581</v>
      </c>
      <c r="C19" s="4">
        <v>18</v>
      </c>
      <c r="AJ19" s="20"/>
    </row>
    <row r="20" spans="1:36" ht="30">
      <c r="A20" s="4" t="s">
        <v>588</v>
      </c>
      <c r="B20" s="4" t="s">
        <v>581</v>
      </c>
      <c r="C20" s="4">
        <v>19</v>
      </c>
      <c r="AJ20" s="20"/>
    </row>
    <row r="21" spans="1:36" ht="30">
      <c r="A21" s="4" t="s">
        <v>634</v>
      </c>
      <c r="B21" s="4" t="s">
        <v>581</v>
      </c>
      <c r="C21" s="4">
        <v>20</v>
      </c>
      <c r="AJ21" s="20"/>
    </row>
    <row r="22" spans="1:36" ht="30">
      <c r="A22" s="4" t="s">
        <v>695</v>
      </c>
      <c r="B22" s="4" t="s">
        <v>581</v>
      </c>
      <c r="C22" s="4">
        <v>21</v>
      </c>
      <c r="AJ22" s="20"/>
    </row>
    <row r="23" spans="1:36" ht="30">
      <c r="A23" s="4" t="s">
        <v>696</v>
      </c>
      <c r="B23" s="4" t="s">
        <v>581</v>
      </c>
      <c r="C23" s="4">
        <v>22</v>
      </c>
    </row>
    <row r="24" spans="1:36">
      <c r="A24" s="4" t="s">
        <v>697</v>
      </c>
      <c r="B24" s="4" t="s">
        <v>589</v>
      </c>
      <c r="C24" s="4">
        <v>23</v>
      </c>
    </row>
    <row r="25" spans="1:36">
      <c r="A25" s="4" t="s">
        <v>698</v>
      </c>
      <c r="B25" s="4" t="s">
        <v>589</v>
      </c>
      <c r="C25" s="4">
        <v>24</v>
      </c>
    </row>
    <row r="26" spans="1:36">
      <c r="A26" s="4" t="s">
        <v>699</v>
      </c>
      <c r="B26" s="4" t="s">
        <v>589</v>
      </c>
      <c r="C26" s="4">
        <v>25</v>
      </c>
    </row>
    <row r="27" spans="1:36">
      <c r="A27" s="4" t="s">
        <v>700</v>
      </c>
      <c r="B27" s="4" t="s">
        <v>589</v>
      </c>
      <c r="C27" s="4">
        <v>26</v>
      </c>
    </row>
    <row r="28" spans="1:36" ht="30">
      <c r="A28" s="4" t="s">
        <v>686</v>
      </c>
      <c r="B28" s="4" t="s">
        <v>589</v>
      </c>
      <c r="C28" s="4">
        <v>27</v>
      </c>
    </row>
    <row r="29" spans="1:36" ht="30">
      <c r="A29" s="4" t="s">
        <v>589</v>
      </c>
      <c r="B29" s="4" t="s">
        <v>589</v>
      </c>
      <c r="C29" s="4">
        <v>28</v>
      </c>
    </row>
    <row r="30" spans="1:36" ht="30">
      <c r="A30" s="4" t="s">
        <v>690</v>
      </c>
      <c r="B30" s="4" t="s">
        <v>589</v>
      </c>
      <c r="C30" s="4">
        <v>29</v>
      </c>
    </row>
    <row r="31" spans="1:36" ht="30">
      <c r="A31" s="4" t="s">
        <v>701</v>
      </c>
      <c r="B31" s="4" t="s">
        <v>589</v>
      </c>
      <c r="C31" s="4">
        <v>30</v>
      </c>
    </row>
    <row r="32" spans="1:36" ht="30">
      <c r="A32" s="4" t="s">
        <v>702</v>
      </c>
      <c r="B32" s="4" t="s">
        <v>589</v>
      </c>
      <c r="C32" s="4">
        <v>31</v>
      </c>
    </row>
    <row r="33" spans="1:3" ht="30">
      <c r="A33" s="4" t="s">
        <v>590</v>
      </c>
      <c r="B33" s="4" t="s">
        <v>590</v>
      </c>
      <c r="C33" s="4">
        <v>32</v>
      </c>
    </row>
    <row r="34" spans="1:3" ht="30">
      <c r="A34" s="4" t="s">
        <v>687</v>
      </c>
      <c r="B34" s="4" t="s">
        <v>591</v>
      </c>
      <c r="C34" s="4">
        <v>33</v>
      </c>
    </row>
    <row r="35" spans="1:3" ht="30">
      <c r="A35" s="4" t="s">
        <v>703</v>
      </c>
      <c r="B35" s="4" t="s">
        <v>591</v>
      </c>
      <c r="C35" s="4">
        <v>34</v>
      </c>
    </row>
    <row r="36" spans="1:3" ht="30">
      <c r="A36" s="4" t="s">
        <v>591</v>
      </c>
      <c r="B36" s="4" t="s">
        <v>591</v>
      </c>
      <c r="C36" s="4">
        <v>35</v>
      </c>
    </row>
    <row r="37" spans="1:3" ht="45">
      <c r="A37" s="4" t="s">
        <v>598</v>
      </c>
      <c r="B37" s="4" t="s">
        <v>597</v>
      </c>
      <c r="C37" s="4">
        <v>36</v>
      </c>
    </row>
    <row r="38" spans="1:3" ht="45">
      <c r="A38" s="4" t="s">
        <v>688</v>
      </c>
      <c r="B38" s="4" t="s">
        <v>597</v>
      </c>
      <c r="C38" s="4">
        <v>37</v>
      </c>
    </row>
    <row r="39" spans="1:3" ht="45">
      <c r="A39" s="4" t="s">
        <v>599</v>
      </c>
      <c r="B39" s="4" t="s">
        <v>597</v>
      </c>
      <c r="C39" s="4">
        <v>38</v>
      </c>
    </row>
    <row r="40" spans="1:3" ht="45">
      <c r="A40" s="4" t="s">
        <v>600</v>
      </c>
      <c r="B40" s="4" t="s">
        <v>597</v>
      </c>
      <c r="C40" s="4">
        <v>39</v>
      </c>
    </row>
    <row r="41" spans="1:3" ht="30">
      <c r="A41" s="4" t="s">
        <v>601</v>
      </c>
      <c r="B41" s="4" t="s">
        <v>597</v>
      </c>
      <c r="C41" s="4">
        <v>40</v>
      </c>
    </row>
    <row r="42" spans="1:3" ht="45">
      <c r="A42" s="4" t="s">
        <v>596</v>
      </c>
      <c r="B42" s="4" t="s">
        <v>597</v>
      </c>
      <c r="C42" s="4">
        <v>41</v>
      </c>
    </row>
    <row r="43" spans="1:3" ht="45">
      <c r="A43" s="4" t="s">
        <v>691</v>
      </c>
      <c r="B43" s="4" t="s">
        <v>597</v>
      </c>
      <c r="C43" s="4">
        <v>42</v>
      </c>
    </row>
    <row r="44" spans="1:3" ht="30">
      <c r="A44" s="4" t="s">
        <v>602</v>
      </c>
      <c r="B44" s="4" t="s">
        <v>597</v>
      </c>
      <c r="C44" s="4">
        <v>43</v>
      </c>
    </row>
    <row r="45" spans="1:3" ht="30">
      <c r="A45" s="4" t="s">
        <v>603</v>
      </c>
      <c r="B45" s="4" t="s">
        <v>597</v>
      </c>
      <c r="C45" s="4">
        <v>44</v>
      </c>
    </row>
    <row r="46" spans="1:3" ht="30">
      <c r="A46" s="4" t="s">
        <v>606</v>
      </c>
      <c r="B46" s="4" t="s">
        <v>606</v>
      </c>
      <c r="C46" s="4">
        <v>45</v>
      </c>
    </row>
    <row r="47" spans="1:3" ht="30">
      <c r="A47" s="4" t="s">
        <v>692</v>
      </c>
      <c r="B47" s="4" t="s">
        <v>606</v>
      </c>
      <c r="C47" s="4">
        <v>46</v>
      </c>
    </row>
    <row r="48" spans="1:3" ht="30">
      <c r="A48" s="4" t="s">
        <v>607</v>
      </c>
      <c r="B48" s="4" t="s">
        <v>606</v>
      </c>
      <c r="C48" s="4">
        <v>47</v>
      </c>
    </row>
    <row r="49" spans="1:6" ht="30">
      <c r="A49" s="4" t="s">
        <v>604</v>
      </c>
      <c r="B49" s="4" t="s">
        <v>597</v>
      </c>
      <c r="C49" s="4">
        <v>48</v>
      </c>
    </row>
    <row r="50" spans="1:6">
      <c r="A50" s="4" t="s">
        <v>605</v>
      </c>
      <c r="B50" s="4" t="s">
        <v>605</v>
      </c>
      <c r="C50" s="4">
        <v>49</v>
      </c>
    </row>
    <row r="51" spans="1:6" ht="30">
      <c r="A51" s="4" t="s">
        <v>639</v>
      </c>
      <c r="B51" s="4" t="s">
        <v>704</v>
      </c>
      <c r="C51" s="4">
        <v>50</v>
      </c>
    </row>
    <row r="52" spans="1:6" ht="30">
      <c r="A52" s="4" t="s">
        <v>640</v>
      </c>
      <c r="B52" s="4" t="s">
        <v>704</v>
      </c>
      <c r="C52" s="4">
        <v>51</v>
      </c>
    </row>
    <row r="53" spans="1:6" ht="30">
      <c r="A53" s="4" t="s">
        <v>705</v>
      </c>
      <c r="B53" s="4" t="s">
        <v>704</v>
      </c>
      <c r="C53" s="4">
        <v>52</v>
      </c>
    </row>
    <row r="54" spans="1:6" ht="30">
      <c r="A54" s="4" t="s">
        <v>641</v>
      </c>
      <c r="B54" s="4" t="s">
        <v>704</v>
      </c>
      <c r="C54" s="4">
        <v>53</v>
      </c>
    </row>
    <row r="55" spans="1:6" ht="30">
      <c r="A55" s="4" t="s">
        <v>706</v>
      </c>
      <c r="B55" s="4" t="s">
        <v>704</v>
      </c>
      <c r="C55" s="4">
        <v>54</v>
      </c>
    </row>
    <row r="56" spans="1:6" ht="30">
      <c r="A56" s="4" t="s">
        <v>707</v>
      </c>
      <c r="B56" s="4" t="s">
        <v>704</v>
      </c>
      <c r="C56" s="4">
        <v>55</v>
      </c>
    </row>
    <row r="57" spans="1:6" ht="30">
      <c r="A57" s="4" t="s">
        <v>708</v>
      </c>
      <c r="B57" s="4" t="s">
        <v>704</v>
      </c>
      <c r="C57" s="4">
        <v>56</v>
      </c>
    </row>
    <row r="58" spans="1:6" ht="30">
      <c r="A58" s="4" t="s">
        <v>709</v>
      </c>
      <c r="B58" s="4" t="s">
        <v>704</v>
      </c>
      <c r="C58" s="4">
        <v>57</v>
      </c>
    </row>
    <row r="59" spans="1:6" ht="30">
      <c r="A59" s="4" t="s">
        <v>593</v>
      </c>
      <c r="B59" s="4" t="s">
        <v>594</v>
      </c>
      <c r="C59" s="4">
        <v>58</v>
      </c>
      <c r="F59" s="17"/>
    </row>
    <row r="60" spans="1:6" ht="30">
      <c r="A60" s="4" t="s">
        <v>595</v>
      </c>
      <c r="B60" s="4" t="s">
        <v>594</v>
      </c>
      <c r="C60" s="4">
        <v>59</v>
      </c>
      <c r="F60" s="17"/>
    </row>
    <row r="61" spans="1:6">
      <c r="A61" s="4" t="s">
        <v>592</v>
      </c>
      <c r="B61" s="4" t="s">
        <v>575</v>
      </c>
      <c r="C61" s="4">
        <v>60</v>
      </c>
      <c r="F61" s="17"/>
    </row>
    <row r="62" spans="1:6" ht="30">
      <c r="A62" s="17" t="s">
        <v>689</v>
      </c>
      <c r="B62" s="17" t="s">
        <v>720</v>
      </c>
      <c r="C62" s="17" t="s">
        <v>720</v>
      </c>
    </row>
    <row r="65" spans="1:3" ht="30">
      <c r="A65" s="4" t="s">
        <v>570</v>
      </c>
      <c r="B65" s="4" t="s">
        <v>712</v>
      </c>
      <c r="C65" s="4" t="s">
        <v>713</v>
      </c>
    </row>
    <row r="66" spans="1:3" ht="30">
      <c r="A66" s="4" t="s">
        <v>577</v>
      </c>
      <c r="B66" s="4" t="s">
        <v>633</v>
      </c>
      <c r="C66" s="4" t="s">
        <v>710</v>
      </c>
    </row>
    <row r="67" spans="1:3" ht="45">
      <c r="A67" s="4" t="s">
        <v>578</v>
      </c>
      <c r="B67" s="4" t="s">
        <v>633</v>
      </c>
      <c r="C67" s="4" t="s">
        <v>710</v>
      </c>
    </row>
    <row r="68" spans="1:3" ht="30">
      <c r="A68" s="4" t="s">
        <v>579</v>
      </c>
      <c r="B68" s="4" t="s">
        <v>633</v>
      </c>
      <c r="C68" s="4" t="s">
        <v>710</v>
      </c>
    </row>
    <row r="69" spans="1:3" ht="30">
      <c r="A69" s="4" t="s">
        <v>574</v>
      </c>
      <c r="B69" s="4" t="s">
        <v>633</v>
      </c>
      <c r="C69" s="4" t="s">
        <v>711</v>
      </c>
    </row>
    <row r="70" spans="1:3" ht="45">
      <c r="A70" s="4" t="s">
        <v>581</v>
      </c>
      <c r="B70" s="4" t="s">
        <v>714</v>
      </c>
      <c r="C70" s="4" t="s">
        <v>715</v>
      </c>
    </row>
    <row r="71" spans="1:3" ht="30">
      <c r="A71" s="4" t="s">
        <v>589</v>
      </c>
      <c r="B71" s="4" t="s">
        <v>716</v>
      </c>
      <c r="C71" s="4" t="s">
        <v>711</v>
      </c>
    </row>
    <row r="72" spans="1:3" ht="30">
      <c r="A72" s="4" t="s">
        <v>590</v>
      </c>
      <c r="B72" s="4" t="s">
        <v>716</v>
      </c>
      <c r="C72" s="4" t="s">
        <v>715</v>
      </c>
    </row>
    <row r="73" spans="1:3" ht="30">
      <c r="A73" s="4" t="s">
        <v>591</v>
      </c>
      <c r="B73" s="4" t="s">
        <v>635</v>
      </c>
      <c r="C73" s="4" t="s">
        <v>711</v>
      </c>
    </row>
    <row r="74" spans="1:3" ht="45">
      <c r="A74" s="4" t="s">
        <v>597</v>
      </c>
      <c r="B74" s="4" t="s">
        <v>633</v>
      </c>
      <c r="C74" s="4" t="s">
        <v>717</v>
      </c>
    </row>
    <row r="75" spans="1:3" ht="30">
      <c r="A75" s="4" t="s">
        <v>606</v>
      </c>
      <c r="B75" s="4" t="s">
        <v>633</v>
      </c>
      <c r="C75" s="4" t="s">
        <v>717</v>
      </c>
    </row>
    <row r="76" spans="1:3">
      <c r="A76" s="4" t="s">
        <v>605</v>
      </c>
      <c r="B76" s="4" t="s">
        <v>633</v>
      </c>
      <c r="C76" s="4" t="s">
        <v>717</v>
      </c>
    </row>
    <row r="77" spans="1:3" ht="30">
      <c r="A77" s="4" t="s">
        <v>704</v>
      </c>
      <c r="B77" s="4" t="s">
        <v>576</v>
      </c>
      <c r="C77" s="4" t="s">
        <v>711</v>
      </c>
    </row>
    <row r="78" spans="1:3" ht="45">
      <c r="A78" s="4" t="s">
        <v>594</v>
      </c>
      <c r="B78" s="4" t="s">
        <v>635</v>
      </c>
      <c r="C78" s="4" t="s">
        <v>718</v>
      </c>
    </row>
    <row r="79" spans="1:3" ht="30">
      <c r="A79" s="4" t="s">
        <v>575</v>
      </c>
      <c r="B79" s="4" t="s">
        <v>635</v>
      </c>
      <c r="C79" s="4" t="s">
        <v>711</v>
      </c>
    </row>
    <row r="80" spans="1:3" ht="30">
      <c r="A80" s="16" t="s">
        <v>689</v>
      </c>
      <c r="B80" s="16" t="s">
        <v>720</v>
      </c>
      <c r="C80" s="16" t="s">
        <v>720</v>
      </c>
    </row>
    <row r="81" spans="1:10">
      <c r="A81" s="16"/>
      <c r="B81" s="16"/>
      <c r="C81" s="16"/>
    </row>
    <row r="83" spans="1:10">
      <c r="A83" s="15" t="s">
        <v>736</v>
      </c>
      <c r="B83" s="15" t="s">
        <v>737</v>
      </c>
      <c r="C83" s="2" t="s">
        <v>608</v>
      </c>
      <c r="D83" s="15" t="s">
        <v>613</v>
      </c>
      <c r="G83" s="15"/>
      <c r="H83" s="15"/>
      <c r="I83" s="2"/>
      <c r="J83" s="15"/>
    </row>
    <row r="84" spans="1:10">
      <c r="A84" s="14">
        <v>0</v>
      </c>
      <c r="B84" s="14">
        <v>0.79990000000000006</v>
      </c>
      <c r="C84" s="3" t="s">
        <v>612</v>
      </c>
      <c r="D84" s="14">
        <v>0</v>
      </c>
      <c r="G84" s="14"/>
      <c r="H84" s="14"/>
      <c r="I84" s="3"/>
      <c r="J84" s="14"/>
    </row>
    <row r="85" spans="1:10">
      <c r="A85" s="14">
        <v>0.8</v>
      </c>
      <c r="B85" s="14">
        <v>0.89990000000000003</v>
      </c>
      <c r="C85" s="3" t="s">
        <v>611</v>
      </c>
      <c r="D85" s="14">
        <v>1</v>
      </c>
      <c r="G85" s="14"/>
      <c r="H85" s="14"/>
      <c r="I85" s="3"/>
      <c r="J85" s="14"/>
    </row>
    <row r="86" spans="1:10">
      <c r="A86" s="14">
        <v>0.9</v>
      </c>
      <c r="B86" s="14">
        <v>0.94989999999999997</v>
      </c>
      <c r="C86" s="3" t="s">
        <v>610</v>
      </c>
      <c r="D86" s="14">
        <v>2</v>
      </c>
      <c r="G86" s="14"/>
      <c r="H86" s="14"/>
      <c r="I86" s="3"/>
      <c r="J86" s="14"/>
    </row>
    <row r="87" spans="1:10">
      <c r="A87" s="14">
        <v>0.95</v>
      </c>
      <c r="B87" s="14">
        <v>1</v>
      </c>
      <c r="C87" s="3" t="s">
        <v>609</v>
      </c>
      <c r="D87" s="14">
        <v>3</v>
      </c>
      <c r="G87" s="14"/>
      <c r="H87" s="14"/>
      <c r="I87" s="3"/>
      <c r="J87" s="14"/>
    </row>
    <row r="90" spans="1:10" ht="45">
      <c r="A90" s="15" t="s">
        <v>736</v>
      </c>
      <c r="B90" s="15" t="s">
        <v>737</v>
      </c>
      <c r="C90" s="2" t="s">
        <v>569</v>
      </c>
      <c r="D90" s="2" t="s">
        <v>738</v>
      </c>
      <c r="E90" s="2" t="s">
        <v>739</v>
      </c>
    </row>
    <row r="91" spans="1:10" ht="30">
      <c r="A91" s="14">
        <v>0</v>
      </c>
      <c r="B91" s="14">
        <v>0.69989999999999997</v>
      </c>
      <c r="C91" s="3" t="s">
        <v>617</v>
      </c>
      <c r="D91" s="3" t="s">
        <v>572</v>
      </c>
      <c r="E91" s="3" t="s">
        <v>731</v>
      </c>
    </row>
    <row r="92" spans="1:10" ht="30">
      <c r="A92" s="14">
        <v>0.7</v>
      </c>
      <c r="B92" s="14">
        <v>0.84989999999999999</v>
      </c>
      <c r="C92" s="3" t="s">
        <v>616</v>
      </c>
      <c r="D92" s="3" t="s">
        <v>572</v>
      </c>
      <c r="E92" s="3" t="s">
        <v>731</v>
      </c>
    </row>
    <row r="93" spans="1:10" ht="30">
      <c r="A93" s="14">
        <v>0.85</v>
      </c>
      <c r="B93" s="14">
        <v>1</v>
      </c>
      <c r="C93" s="3" t="s">
        <v>615</v>
      </c>
      <c r="D93" s="3" t="s">
        <v>571</v>
      </c>
      <c r="E93" s="3" t="s">
        <v>731</v>
      </c>
    </row>
    <row r="96" spans="1:10" ht="30">
      <c r="A96" s="4" t="s">
        <v>623</v>
      </c>
    </row>
    <row r="97" spans="1:1">
      <c r="A97" s="4" t="s">
        <v>620</v>
      </c>
    </row>
    <row r="98" spans="1:1">
      <c r="A98" s="4" t="s">
        <v>621</v>
      </c>
    </row>
    <row r="99" spans="1:1">
      <c r="A99" s="4" t="s">
        <v>622</v>
      </c>
    </row>
    <row r="102" spans="1:1" ht="45">
      <c r="A102" s="11" t="s">
        <v>680</v>
      </c>
    </row>
    <row r="103" spans="1:1" ht="45">
      <c r="A103" s="3" t="s">
        <v>626</v>
      </c>
    </row>
    <row r="104" spans="1:1" ht="45">
      <c r="A104" s="3" t="s">
        <v>627</v>
      </c>
    </row>
    <row r="105" spans="1:1" ht="45">
      <c r="A105" s="3" t="s">
        <v>628</v>
      </c>
    </row>
    <row r="106" spans="1:1" ht="45">
      <c r="A106" s="3" t="s">
        <v>671</v>
      </c>
    </row>
    <row r="107" spans="1:1" ht="60">
      <c r="A107" s="3" t="s">
        <v>672</v>
      </c>
    </row>
    <row r="108" spans="1:1" ht="30">
      <c r="A108" s="3" t="s">
        <v>631</v>
      </c>
    </row>
    <row r="109" spans="1:1" ht="30">
      <c r="A109" s="3" t="s">
        <v>629</v>
      </c>
    </row>
    <row r="110" spans="1:1" ht="45">
      <c r="A110" s="3" t="s">
        <v>636</v>
      </c>
    </row>
    <row r="111" spans="1:1" ht="45">
      <c r="A111" s="3" t="s">
        <v>673</v>
      </c>
    </row>
    <row r="112" spans="1:1" ht="60">
      <c r="A112" s="3" t="s">
        <v>637</v>
      </c>
    </row>
    <row r="113" spans="1:2" ht="60">
      <c r="A113" s="3" t="s">
        <v>638</v>
      </c>
    </row>
    <row r="114" spans="1:2" ht="45">
      <c r="A114" s="3" t="s">
        <v>632</v>
      </c>
    </row>
    <row r="115" spans="1:2" ht="45">
      <c r="A115" s="3" t="s">
        <v>674</v>
      </c>
    </row>
    <row r="116" spans="1:2" ht="30">
      <c r="A116" s="3" t="s">
        <v>675</v>
      </c>
    </row>
    <row r="117" spans="1:2" ht="45">
      <c r="A117" s="3" t="s">
        <v>678</v>
      </c>
    </row>
    <row r="118" spans="1:2" ht="60">
      <c r="A118" s="4" t="s">
        <v>677</v>
      </c>
    </row>
    <row r="119" spans="1:2" ht="60">
      <c r="A119" s="4" t="s">
        <v>676</v>
      </c>
    </row>
    <row r="120" spans="1:2" ht="45">
      <c r="A120" s="4" t="s">
        <v>630</v>
      </c>
    </row>
    <row r="123" spans="1:2">
      <c r="A123" s="2" t="s">
        <v>557</v>
      </c>
      <c r="B123" s="2" t="s">
        <v>661</v>
      </c>
    </row>
    <row r="124" spans="1:2" ht="45">
      <c r="A124" s="3" t="s">
        <v>662</v>
      </c>
      <c r="B124" s="3" t="s">
        <v>663</v>
      </c>
    </row>
    <row r="125" spans="1:2" ht="60">
      <c r="A125" s="3" t="s">
        <v>664</v>
      </c>
      <c r="B125" s="3" t="s">
        <v>665</v>
      </c>
    </row>
    <row r="126" spans="1:2" ht="45">
      <c r="A126" s="3" t="s">
        <v>666</v>
      </c>
      <c r="B126" s="3" t="s">
        <v>665</v>
      </c>
    </row>
    <row r="127" spans="1:2" ht="45">
      <c r="A127" s="3" t="s">
        <v>667</v>
      </c>
      <c r="B127" s="3" t="s">
        <v>668</v>
      </c>
    </row>
    <row r="128" spans="1:2" ht="45">
      <c r="A128" s="3" t="s">
        <v>669</v>
      </c>
      <c r="B128" s="3" t="s">
        <v>668</v>
      </c>
    </row>
    <row r="129" spans="1:2" ht="45">
      <c r="A129" s="3" t="s">
        <v>670</v>
      </c>
      <c r="B129" s="3" t="s">
        <v>668</v>
      </c>
    </row>
    <row r="132" spans="1:2" ht="30">
      <c r="A132" s="2" t="s">
        <v>557</v>
      </c>
      <c r="B132" s="4" t="s">
        <v>719</v>
      </c>
    </row>
    <row r="133" spans="1:2" ht="45">
      <c r="A133" s="3" t="s">
        <v>662</v>
      </c>
      <c r="B133" s="3" t="s">
        <v>618</v>
      </c>
    </row>
    <row r="134" spans="1:2" ht="45">
      <c r="A134" s="3" t="s">
        <v>666</v>
      </c>
      <c r="B134" s="3" t="s">
        <v>618</v>
      </c>
    </row>
    <row r="135" spans="1:2" ht="60">
      <c r="A135" s="3" t="s">
        <v>664</v>
      </c>
      <c r="B135" s="3" t="s">
        <v>619</v>
      </c>
    </row>
    <row r="136" spans="1:2" ht="45">
      <c r="A136" s="3" t="s">
        <v>667</v>
      </c>
      <c r="B136" s="3" t="s">
        <v>619</v>
      </c>
    </row>
    <row r="137" spans="1:2" ht="45">
      <c r="A137" s="3" t="s">
        <v>669</v>
      </c>
      <c r="B137" s="3" t="s">
        <v>619</v>
      </c>
    </row>
    <row r="138" spans="1:2" ht="45">
      <c r="A138" s="3" t="s">
        <v>670</v>
      </c>
      <c r="B138" s="3" t="s">
        <v>619</v>
      </c>
    </row>
    <row r="141" spans="1:2" ht="54">
      <c r="A141" s="19" t="s">
        <v>679</v>
      </c>
    </row>
    <row r="142" spans="1:2" ht="45">
      <c r="A142" s="20" t="s">
        <v>626</v>
      </c>
    </row>
    <row r="143" spans="1:2" ht="45">
      <c r="A143" s="20" t="s">
        <v>627</v>
      </c>
    </row>
    <row r="144" spans="1:2" ht="45">
      <c r="A144" s="20" t="s">
        <v>628</v>
      </c>
    </row>
    <row r="147" spans="1:1" ht="72">
      <c r="A147" s="19" t="s">
        <v>680</v>
      </c>
    </row>
    <row r="148" spans="1:1" ht="45">
      <c r="A148" s="20" t="s">
        <v>671</v>
      </c>
    </row>
    <row r="149" spans="1:1" ht="60">
      <c r="A149" s="20" t="s">
        <v>672</v>
      </c>
    </row>
    <row r="150" spans="1:1" ht="30">
      <c r="A150" s="20" t="s">
        <v>631</v>
      </c>
    </row>
    <row r="151" spans="1:1" ht="30">
      <c r="A151" s="20" t="s">
        <v>629</v>
      </c>
    </row>
    <row r="152" spans="1:1" ht="45">
      <c r="A152" s="20" t="s">
        <v>636</v>
      </c>
    </row>
    <row r="153" spans="1:1" ht="45">
      <c r="A153" s="20" t="s">
        <v>673</v>
      </c>
    </row>
    <row r="154" spans="1:1" ht="60">
      <c r="A154" s="20" t="s">
        <v>637</v>
      </c>
    </row>
    <row r="155" spans="1:1" ht="60">
      <c r="A155" s="20" t="s">
        <v>638</v>
      </c>
    </row>
    <row r="156" spans="1:1" ht="45">
      <c r="A156" s="20" t="s">
        <v>632</v>
      </c>
    </row>
    <row r="157" spans="1:1" ht="45">
      <c r="A157" s="20" t="s">
        <v>674</v>
      </c>
    </row>
    <row r="158" spans="1:1" ht="30">
      <c r="A158" s="20" t="s">
        <v>675</v>
      </c>
    </row>
    <row r="159" spans="1:1" ht="45">
      <c r="A159" s="20" t="s">
        <v>678</v>
      </c>
    </row>
    <row r="160" spans="1:1" ht="60">
      <c r="A160" s="20" t="s">
        <v>677</v>
      </c>
    </row>
    <row r="161" spans="1:6" ht="60">
      <c r="A161" s="20" t="s">
        <v>676</v>
      </c>
    </row>
    <row r="162" spans="1:6" ht="45">
      <c r="A162" s="20" t="s">
        <v>630</v>
      </c>
    </row>
    <row r="165" spans="1:6">
      <c r="A165" s="4" t="s">
        <v>744</v>
      </c>
    </row>
    <row r="166" spans="1:6">
      <c r="A166" s="4">
        <f>COUNTA(Raw_Data!$D$1:$CI$1)</f>
        <v>84</v>
      </c>
    </row>
    <row r="169" spans="1:6" ht="30">
      <c r="A169" s="2" t="s">
        <v>745</v>
      </c>
      <c r="B169" s="15" t="s">
        <v>746</v>
      </c>
      <c r="C169" s="2" t="s">
        <v>750</v>
      </c>
      <c r="D169" s="2" t="s">
        <v>747</v>
      </c>
      <c r="E169" s="2" t="s">
        <v>751</v>
      </c>
    </row>
    <row r="170" spans="1:6" ht="75">
      <c r="A170" s="3" t="s">
        <v>752</v>
      </c>
      <c r="B170" s="41">
        <v>45809</v>
      </c>
      <c r="C170" s="3" t="s">
        <v>753</v>
      </c>
      <c r="D170" s="3" t="s">
        <v>754</v>
      </c>
      <c r="E170" s="3" t="s">
        <v>755</v>
      </c>
    </row>
    <row r="171" spans="1:6" ht="75">
      <c r="A171" s="3" t="s">
        <v>756</v>
      </c>
      <c r="B171" s="41">
        <v>46173</v>
      </c>
      <c r="C171" s="3" t="s">
        <v>753</v>
      </c>
      <c r="D171" s="3" t="s">
        <v>757</v>
      </c>
      <c r="E171" s="3" t="s">
        <v>755</v>
      </c>
      <c r="F171"/>
    </row>
    <row r="172" spans="1:6" ht="60">
      <c r="A172" s="3" t="s">
        <v>758</v>
      </c>
      <c r="B172" s="14">
        <v>12</v>
      </c>
      <c r="C172" s="3" t="s">
        <v>759</v>
      </c>
      <c r="D172" s="3" t="s">
        <v>760</v>
      </c>
      <c r="E172" s="3" t="s">
        <v>761</v>
      </c>
    </row>
    <row r="173" spans="1:6" ht="135">
      <c r="A173" s="3" t="s">
        <v>762</v>
      </c>
      <c r="B173" s="14">
        <v>7</v>
      </c>
      <c r="C173" s="3" t="s">
        <v>763</v>
      </c>
      <c r="D173" s="3" t="s">
        <v>748</v>
      </c>
      <c r="E173" s="3" t="s">
        <v>761</v>
      </c>
    </row>
    <row r="174" spans="1:6" ht="60">
      <c r="A174" s="3" t="s">
        <v>764</v>
      </c>
      <c r="B174" s="14">
        <f>IFERROR(
INDEX(tblParameters[Value],MATCH("ReportingMonths",tblParameters[Parameter],0))*
INDEX(tblParameters[Value],MATCH("MonthlyIndicators",tblParameters[Parameter],0)),
"Parameter Error"
)</f>
        <v>84</v>
      </c>
      <c r="C174" s="3" t="s">
        <v>765</v>
      </c>
      <c r="D174" s="3" t="s">
        <v>749</v>
      </c>
      <c r="E174" s="3" t="s">
        <v>761</v>
      </c>
    </row>
    <row r="175" spans="1:6" ht="75">
      <c r="A175" s="3" t="s">
        <v>766</v>
      </c>
      <c r="B175" s="14">
        <v>0.79990000000000006</v>
      </c>
      <c r="C175" s="3" t="s">
        <v>767</v>
      </c>
      <c r="D175" s="3" t="s">
        <v>768</v>
      </c>
      <c r="E175" s="3" t="s">
        <v>558</v>
      </c>
    </row>
    <row r="176" spans="1:6" ht="75">
      <c r="A176" s="3" t="s">
        <v>769</v>
      </c>
      <c r="B176" s="14">
        <v>0.8</v>
      </c>
      <c r="C176" s="3" t="s">
        <v>767</v>
      </c>
      <c r="D176" s="3" t="s">
        <v>770</v>
      </c>
      <c r="E176" s="3" t="s">
        <v>558</v>
      </c>
    </row>
    <row r="177" spans="1:9" ht="75">
      <c r="A177" s="3" t="s">
        <v>771</v>
      </c>
      <c r="B177" s="14">
        <v>0.89990000000000003</v>
      </c>
      <c r="C177" s="3" t="s">
        <v>767</v>
      </c>
      <c r="D177" s="3" t="s">
        <v>772</v>
      </c>
      <c r="E177" s="3" t="s">
        <v>558</v>
      </c>
    </row>
    <row r="178" spans="1:9" ht="75">
      <c r="A178" s="3" t="s">
        <v>773</v>
      </c>
      <c r="B178" s="14">
        <v>0.9</v>
      </c>
      <c r="C178" s="3" t="s">
        <v>767</v>
      </c>
      <c r="D178" s="3" t="s">
        <v>774</v>
      </c>
      <c r="E178" s="3" t="s">
        <v>558</v>
      </c>
    </row>
    <row r="179" spans="1:9" ht="75">
      <c r="A179" s="3" t="s">
        <v>775</v>
      </c>
      <c r="B179" s="14">
        <v>0.94989999999999997</v>
      </c>
      <c r="C179" s="3" t="s">
        <v>767</v>
      </c>
      <c r="D179" s="3" t="s">
        <v>776</v>
      </c>
      <c r="E179" s="3" t="s">
        <v>558</v>
      </c>
    </row>
    <row r="180" spans="1:9" ht="75">
      <c r="A180" s="3" t="s">
        <v>777</v>
      </c>
      <c r="B180" s="14">
        <v>0.95</v>
      </c>
      <c r="C180" s="3" t="s">
        <v>767</v>
      </c>
      <c r="D180" s="3" t="s">
        <v>778</v>
      </c>
      <c r="E180" s="3" t="s">
        <v>558</v>
      </c>
    </row>
    <row r="181" spans="1:9" ht="150">
      <c r="A181" s="3" t="s">
        <v>779</v>
      </c>
      <c r="B181" s="14">
        <v>0.9</v>
      </c>
      <c r="C181" s="3" t="s">
        <v>767</v>
      </c>
      <c r="D181" s="3" t="s">
        <v>780</v>
      </c>
      <c r="E181" s="3" t="s">
        <v>568</v>
      </c>
    </row>
    <row r="182" spans="1:9" ht="105">
      <c r="A182" s="3" t="s">
        <v>781</v>
      </c>
      <c r="B182" s="14">
        <v>1</v>
      </c>
      <c r="C182" s="3" t="s">
        <v>767</v>
      </c>
      <c r="D182" s="3" t="s">
        <v>782</v>
      </c>
      <c r="E182" s="3" t="s">
        <v>783</v>
      </c>
    </row>
    <row r="183" spans="1:9" ht="90">
      <c r="A183" s="3" t="s">
        <v>784</v>
      </c>
      <c r="B183" s="14">
        <v>0</v>
      </c>
      <c r="C183" s="3" t="s">
        <v>767</v>
      </c>
      <c r="D183" s="3" t="s">
        <v>785</v>
      </c>
      <c r="E183" s="3" t="s">
        <v>783</v>
      </c>
    </row>
    <row r="184" spans="1:9" ht="60">
      <c r="A184" s="3" t="s">
        <v>786</v>
      </c>
      <c r="B184" s="14">
        <v>0</v>
      </c>
      <c r="C184" s="3" t="s">
        <v>787</v>
      </c>
      <c r="D184" s="3" t="s">
        <v>788</v>
      </c>
      <c r="E184" s="3" t="s">
        <v>783</v>
      </c>
    </row>
    <row r="185" spans="1:9" ht="75">
      <c r="A185" s="3" t="s">
        <v>789</v>
      </c>
      <c r="B185" s="14">
        <v>0.85</v>
      </c>
      <c r="C185" s="3" t="s">
        <v>790</v>
      </c>
      <c r="D185" s="3" t="s">
        <v>791</v>
      </c>
      <c r="E185" s="3" t="s">
        <v>792</v>
      </c>
    </row>
    <row r="186" spans="1:9" ht="75">
      <c r="A186" s="3" t="s">
        <v>793</v>
      </c>
      <c r="B186" s="14">
        <v>0.7</v>
      </c>
      <c r="C186" s="3" t="s">
        <v>790</v>
      </c>
      <c r="D186" s="3" t="s">
        <v>794</v>
      </c>
      <c r="E186" s="3" t="s">
        <v>792</v>
      </c>
    </row>
    <row r="187" spans="1:9" ht="90">
      <c r="A187" s="3" t="s">
        <v>795</v>
      </c>
      <c r="B187" s="14">
        <v>0.55000000000000004</v>
      </c>
      <c r="C187" s="3" t="s">
        <v>790</v>
      </c>
      <c r="D187" s="3" t="s">
        <v>796</v>
      </c>
      <c r="E187" s="3" t="s">
        <v>792</v>
      </c>
    </row>
    <row r="188" spans="1:9" ht="75">
      <c r="A188" s="3" t="s">
        <v>797</v>
      </c>
      <c r="B188" s="14">
        <v>0.4</v>
      </c>
      <c r="C188" s="3" t="s">
        <v>790</v>
      </c>
      <c r="D188" s="3" t="s">
        <v>798</v>
      </c>
      <c r="E188" s="3" t="s">
        <v>792</v>
      </c>
    </row>
    <row r="191" spans="1:9">
      <c r="A191" s="2" t="s">
        <v>745</v>
      </c>
      <c r="B191" s="2" t="s">
        <v>746</v>
      </c>
    </row>
    <row r="192" spans="1:9" ht="150">
      <c r="A192" s="3" t="s">
        <v>799</v>
      </c>
      <c r="B192" s="3" t="s">
        <v>800</v>
      </c>
      <c r="I192"/>
    </row>
    <row r="193" spans="1:6">
      <c r="A193" s="3" t="s">
        <v>801</v>
      </c>
      <c r="B193" s="3" t="s">
        <v>802</v>
      </c>
    </row>
    <row r="194" spans="1:6" ht="30">
      <c r="A194" s="3" t="s">
        <v>803</v>
      </c>
      <c r="B194" s="3" t="s">
        <v>804</v>
      </c>
    </row>
    <row r="195" spans="1:6" ht="45">
      <c r="A195" s="3" t="s">
        <v>805</v>
      </c>
      <c r="B195" s="3" t="s">
        <v>806</v>
      </c>
    </row>
    <row r="196" spans="1:6" ht="45">
      <c r="A196" s="3" t="s">
        <v>807</v>
      </c>
      <c r="B196" s="3" t="s">
        <v>808</v>
      </c>
    </row>
    <row r="197" spans="1:6" ht="30">
      <c r="A197" s="3" t="s">
        <v>809</v>
      </c>
      <c r="B197" s="3" t="s">
        <v>810</v>
      </c>
    </row>
    <row r="198" spans="1:6" ht="105">
      <c r="A198" s="3" t="s">
        <v>817</v>
      </c>
      <c r="B198" s="3" t="s">
        <v>818</v>
      </c>
      <c r="F198" s="17"/>
    </row>
    <row r="199" spans="1:6" ht="45">
      <c r="A199" s="3" t="s">
        <v>811</v>
      </c>
      <c r="B199" s="3" t="s">
        <v>812</v>
      </c>
      <c r="F199" s="17"/>
    </row>
    <row r="200" spans="1:6" ht="45">
      <c r="A200" s="3" t="s">
        <v>813</v>
      </c>
      <c r="B200" s="3" t="s">
        <v>814</v>
      </c>
    </row>
    <row r="201" spans="1:6" ht="60">
      <c r="A201" s="3" t="s">
        <v>815</v>
      </c>
      <c r="B201" s="3" t="s">
        <v>816</v>
      </c>
    </row>
  </sheetData>
  <pageMargins left="0.7" right="0.7" top="0.75" bottom="0.75" header="0.3" footer="0.3"/>
  <tableParts count="13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2060"/>
  </sheetPr>
  <dimension ref="A1:O13"/>
  <sheetViews>
    <sheetView workbookViewId="0">
      <selection activeCell="J2" sqref="J2"/>
    </sheetView>
  </sheetViews>
  <sheetFormatPr defaultRowHeight="15"/>
  <sheetData>
    <row r="1" spans="1:15" ht="30">
      <c r="A1" s="2" t="s">
        <v>642</v>
      </c>
      <c r="B1" s="2" t="s">
        <v>643</v>
      </c>
      <c r="D1" s="2" t="s">
        <v>642</v>
      </c>
      <c r="E1" s="2" t="s">
        <v>643</v>
      </c>
      <c r="G1" s="2" t="s">
        <v>642</v>
      </c>
      <c r="H1" s="2" t="s">
        <v>643</v>
      </c>
      <c r="J1" s="2" t="s">
        <v>2</v>
      </c>
      <c r="K1" s="2" t="s">
        <v>557</v>
      </c>
      <c r="L1" s="2" t="s">
        <v>659</v>
      </c>
      <c r="M1" s="15" t="s">
        <v>613</v>
      </c>
      <c r="N1" s="2" t="s">
        <v>614</v>
      </c>
      <c r="O1" s="2" t="s">
        <v>660</v>
      </c>
    </row>
    <row r="2" spans="1:15" ht="45">
      <c r="A2" s="3" t="s">
        <v>644</v>
      </c>
      <c r="B2" s="12">
        <f>COUNTA(Raw_Data!C2:C399)</f>
        <v>397</v>
      </c>
      <c r="D2" s="3" t="s">
        <v>652</v>
      </c>
      <c r="E2" s="12">
        <f>COUNTIF(Data_Quality_Assessment!H:H,"Excellent")</f>
        <v>0</v>
      </c>
      <c r="G2" s="3" t="s">
        <v>615</v>
      </c>
      <c r="H2" s="12" t="e">
        <f>COUNTIF(#REF!,"High-performing")</f>
        <v>#REF!</v>
      </c>
    </row>
    <row r="3" spans="1:15" ht="60">
      <c r="A3" s="3" t="s">
        <v>645</v>
      </c>
      <c r="B3" s="12">
        <f>SUMPRODUCT((Raw_Data!A2:A399&lt;&gt;"")/COUNTIF(Raw_Data!A2:A399,Raw_Data!A2:A399&amp;""))</f>
        <v>5.9999999999999867</v>
      </c>
      <c r="D3" s="3" t="s">
        <v>653</v>
      </c>
      <c r="E3" s="12">
        <f>COUNTIF(Data_Quality_Assessment!H:H,"Good")</f>
        <v>3</v>
      </c>
      <c r="G3" s="3" t="s">
        <v>616</v>
      </c>
      <c r="H3" s="12" t="e">
        <f>COUNTIF(#REF!,"Moderate-performing")</f>
        <v>#REF!</v>
      </c>
    </row>
    <row r="4" spans="1:15" ht="45">
      <c r="A4" s="3" t="s">
        <v>646</v>
      </c>
      <c r="B4" s="12">
        <f t="array" ref="B4">SUM(IF(FREQUENCY(IF(Raw_Data!B2:B398&lt;&gt;"",MATCH(Raw_Data!B2:B398,Raw_Data!B2:B398,0)),ROW(Raw_Data!B2:B398)-ROW(Raw_Data!B2)+1)&gt;0,1))</f>
        <v>62</v>
      </c>
      <c r="D4" s="3" t="s">
        <v>654</v>
      </c>
      <c r="E4" s="12">
        <f>COUNTIF(Data_Quality_Assessment!H:H,"Fair")</f>
        <v>43</v>
      </c>
      <c r="G4" s="3" t="s">
        <v>617</v>
      </c>
      <c r="H4" s="12" t="e">
        <f>COUNTIF(#REF!,"Low-performing")</f>
        <v>#REF!</v>
      </c>
    </row>
    <row r="5" spans="1:15" ht="60">
      <c r="A5" s="3" t="s">
        <v>647</v>
      </c>
      <c r="B5" s="12" t="e">
        <f>COUNTIF(#REF!,"Selected")</f>
        <v>#REF!</v>
      </c>
      <c r="D5" s="3" t="s">
        <v>655</v>
      </c>
      <c r="E5" s="12">
        <f>COUNTIF(Data_Quality_Assessment!H:H,"Poor")</f>
        <v>351</v>
      </c>
      <c r="G5" s="3" t="s">
        <v>656</v>
      </c>
      <c r="H5" s="12" t="e">
        <f>AVERAGE(#REF!)</f>
        <v>#REF!</v>
      </c>
    </row>
    <row r="6" spans="1:15" ht="60">
      <c r="A6" s="3" t="s">
        <v>648</v>
      </c>
      <c r="B6" s="12">
        <f>AVERAGE(Data_Quality_Assessment!G2:G399)</f>
        <v>0.57292791171884361</v>
      </c>
      <c r="D6" s="3" t="s">
        <v>571</v>
      </c>
      <c r="E6" s="12" t="e">
        <f>COUNTIF(#REF!,"Accept")</f>
        <v>#REF!</v>
      </c>
      <c r="G6" s="3" t="s">
        <v>657</v>
      </c>
      <c r="H6" s="12" t="e">
        <f>AVERAGE(#REF!)</f>
        <v>#REF!</v>
      </c>
    </row>
    <row r="7" spans="1:15" ht="45">
      <c r="A7" s="3" t="s">
        <v>649</v>
      </c>
      <c r="B7" s="12" t="e">
        <f>AVERAGE(#REF!)</f>
        <v>#REF!</v>
      </c>
      <c r="D7" s="3" t="s">
        <v>572</v>
      </c>
      <c r="E7" s="12" t="e">
        <f>COUNTIF(#REF!,"Review")</f>
        <v>#REF!</v>
      </c>
      <c r="G7" s="3" t="s">
        <v>658</v>
      </c>
      <c r="H7" s="12" t="e">
        <f>AVERAGE(#REF!)</f>
        <v>#REF!</v>
      </c>
    </row>
    <row r="8" spans="1:15" ht="30">
      <c r="A8" s="3" t="s">
        <v>650</v>
      </c>
      <c r="B8" s="12" t="e">
        <f>MAX(#REF!)</f>
        <v>#REF!</v>
      </c>
      <c r="D8" s="3" t="s">
        <v>573</v>
      </c>
      <c r="E8" s="12" t="e">
        <f>COUNTIF(#REF!,"Incomplete")</f>
        <v>#REF!</v>
      </c>
    </row>
    <row r="9" spans="1:15" ht="30">
      <c r="A9" s="3" t="s">
        <v>651</v>
      </c>
      <c r="B9" s="12" t="e">
        <f>MIN(#REF!)</f>
        <v>#REF!</v>
      </c>
    </row>
    <row r="12" spans="1:15" ht="30">
      <c r="F12" s="3" t="s">
        <v>2</v>
      </c>
      <c r="G12" s="3" t="s">
        <v>557</v>
      </c>
      <c r="H12" s="3" t="s">
        <v>659</v>
      </c>
      <c r="I12" s="3" t="s">
        <v>613</v>
      </c>
      <c r="J12" s="3" t="s">
        <v>614</v>
      </c>
      <c r="K12" s="3" t="s">
        <v>660</v>
      </c>
    </row>
    <row r="13" spans="1:15">
      <c r="F13" t="str">
        <f>IFERROR(INDEX(#REF!,
_xlfn.AGGREGATE(15,6,
(ROW(#REF!)-ROW(#REF!)+1)/
(#REF!="Selected"),
ROWS(F$13:F13))),
"")</f>
        <v/>
      </c>
      <c r="G13" t="str">
        <f>IF($F13="","",
INDEX(#REF!,
_xlfn.AGGREGATE(15,6,
(ROW(#REF!)-ROW(#REF!)+1)/
(#REF!="Selected"),
ROWS(G$13:G13))))</f>
        <v/>
      </c>
      <c r="H13" t="str">
        <f>IF($F13="","",
INDEX(#REF!,
_xlfn.AGGREGATE(15,6,
(ROW(#REF!)-ROW(#REF!)+1)/
(#REF!="Selected"),
ROWS(H$13:H13))))</f>
        <v/>
      </c>
      <c r="I13" t="str">
        <f>IF($F13="","",
INDEX(#REF!,
_xlfn.AGGREGATE(15,6,
(ROW(#REF!)-ROW(#REF!)+1)/
(#REF!="Selected"),
ROWS(I$13:I13))))</f>
        <v/>
      </c>
      <c r="J13" t="str">
        <f>IF($F13="","",
INDEX(#REF!,
_xlfn.AGGREGATE(15,6,
(ROW(#REF!)-ROW(#REF!)+1)/
(#REF!="Selected"),
ROWS(J$13:J13))))</f>
        <v/>
      </c>
      <c r="K13" t="str">
        <f>IF($F13="","",
INDEX(#REF!,
_xlfn.AGGREGATE(15,6,
(ROW(#REF!)-ROW(#REF!)+1)/
(#REF!="Selected"),
ROWS(K$13:K13))))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7030A0"/>
  </sheetPr>
  <dimension ref="A1:A3"/>
  <sheetViews>
    <sheetView workbookViewId="0">
      <selection activeCell="O10" sqref="O10"/>
    </sheetView>
  </sheetViews>
  <sheetFormatPr defaultRowHeight="15"/>
  <sheetData>
    <row r="1" spans="1:1">
      <c r="A1" s="1" t="s">
        <v>560</v>
      </c>
    </row>
    <row r="2" spans="1:1">
      <c r="A2" t="s">
        <v>561</v>
      </c>
    </row>
    <row r="3" spans="1:1">
      <c r="A3" t="s">
        <v>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Raw_Data</vt:lpstr>
      <vt:lpstr>Data_Quality_Assessment</vt:lpstr>
      <vt:lpstr>Derived_Indicators</vt:lpstr>
      <vt:lpstr>HF_Stratification_Index</vt:lpstr>
      <vt:lpstr>Facility_Selection</vt:lpstr>
      <vt:lpstr>Lookup_Tables</vt:lpstr>
      <vt:lpstr>Dashboard</vt:lpstr>
      <vt:lpstr>Methodology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2026-07-05T09:44:07Z</dcterms:created>
  <dcterms:modified xsi:type="dcterms:W3CDTF">2026-07-13T06:22:29Z</dcterms:modified>
</cp:coreProperties>
</file>